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nazawa/Desktop/SS26/"/>
    </mc:Choice>
  </mc:AlternateContent>
  <xr:revisionPtr revIDLastSave="0" documentId="13_ncr:1_{75740DCC-4CFA-974E-B7DD-D3A0386632BD}" xr6:coauthVersionLast="47" xr6:coauthVersionMax="47" xr10:uidLastSave="{00000000-0000-0000-0000-000000000000}"/>
  <bookViews>
    <workbookView xWindow="160" yWindow="740" windowWidth="29240" windowHeight="16840" xr2:uid="{00000000-000D-0000-FFFF-FFFF00000000}"/>
  </bookViews>
  <sheets>
    <sheet name="AW25_shunya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wdPBTsetffvlFydBCYnv8x2JHsWWgkat15m0vUqTdc4="/>
    </ext>
  </extLst>
</workbook>
</file>

<file path=xl/calcChain.xml><?xml version="1.0" encoding="utf-8"?>
<calcChain xmlns="http://schemas.openxmlformats.org/spreadsheetml/2006/main">
  <c r="B15" i="1" l="1"/>
  <c r="H239" i="1"/>
  <c r="H238" i="1"/>
  <c r="H237" i="1"/>
  <c r="G173" i="1"/>
  <c r="H173" i="1"/>
  <c r="H165" i="1"/>
  <c r="H166" i="1"/>
  <c r="H164" i="1"/>
  <c r="H228" i="1" l="1"/>
  <c r="H229" i="1"/>
  <c r="H230" i="1"/>
  <c r="H231" i="1"/>
  <c r="H232" i="1"/>
  <c r="H233" i="1"/>
  <c r="H234" i="1"/>
  <c r="H235" i="1"/>
  <c r="H227" i="1"/>
  <c r="H215" i="1"/>
  <c r="H216" i="1"/>
  <c r="H217" i="1"/>
  <c r="H218" i="1"/>
  <c r="H219" i="1"/>
  <c r="H220" i="1"/>
  <c r="H221" i="1"/>
  <c r="H222" i="1"/>
  <c r="H223" i="1"/>
  <c r="H224" i="1"/>
  <c r="H225" i="1"/>
  <c r="H214" i="1"/>
  <c r="H205" i="1"/>
  <c r="H206" i="1"/>
  <c r="H207" i="1"/>
  <c r="H208" i="1"/>
  <c r="H209" i="1"/>
  <c r="H210" i="1"/>
  <c r="H211" i="1"/>
  <c r="H212" i="1"/>
  <c r="H204" i="1"/>
  <c r="H195" i="1"/>
  <c r="H196" i="1"/>
  <c r="H197" i="1"/>
  <c r="H198" i="1"/>
  <c r="H199" i="1"/>
  <c r="H200" i="1"/>
  <c r="H201" i="1"/>
  <c r="H202" i="1"/>
  <c r="H194" i="1"/>
  <c r="H185" i="1"/>
  <c r="H186" i="1"/>
  <c r="H187" i="1"/>
  <c r="H188" i="1"/>
  <c r="H189" i="1"/>
  <c r="H190" i="1"/>
  <c r="H191" i="1"/>
  <c r="H184" i="1"/>
  <c r="H175" i="1" l="1"/>
  <c r="H176" i="1"/>
  <c r="H177" i="1"/>
  <c r="H178" i="1"/>
  <c r="H179" i="1"/>
  <c r="H180" i="1"/>
  <c r="H181" i="1"/>
  <c r="H174" i="1"/>
  <c r="H155" i="1"/>
  <c r="H156" i="1"/>
  <c r="H157" i="1"/>
  <c r="H158" i="1"/>
  <c r="H159" i="1"/>
  <c r="H154" i="1"/>
  <c r="H145" i="1"/>
  <c r="H146" i="1"/>
  <c r="H147" i="1"/>
  <c r="H148" i="1"/>
  <c r="H149" i="1"/>
  <c r="H144" i="1"/>
  <c r="H135" i="1"/>
  <c r="H136" i="1"/>
  <c r="H137" i="1"/>
  <c r="H138" i="1"/>
  <c r="H139" i="1"/>
  <c r="H140" i="1"/>
  <c r="H141" i="1"/>
  <c r="H142" i="1"/>
  <c r="H134" i="1"/>
  <c r="H124" i="1"/>
  <c r="H125" i="1"/>
  <c r="H126" i="1"/>
  <c r="H127" i="1"/>
  <c r="H128" i="1"/>
  <c r="H129" i="1"/>
  <c r="H130" i="1"/>
  <c r="H131" i="1"/>
  <c r="H132" i="1"/>
  <c r="H123" i="1"/>
  <c r="H114" i="1"/>
  <c r="H115" i="1"/>
  <c r="H116" i="1"/>
  <c r="H117" i="1"/>
  <c r="H118" i="1"/>
  <c r="H113" i="1"/>
  <c r="H100" i="1" l="1"/>
  <c r="H101" i="1"/>
  <c r="H102" i="1"/>
  <c r="H103" i="1"/>
  <c r="H104" i="1"/>
  <c r="H105" i="1"/>
  <c r="H106" i="1"/>
  <c r="H107" i="1"/>
  <c r="H108" i="1"/>
  <c r="H109" i="1"/>
  <c r="H110" i="1"/>
  <c r="H111" i="1"/>
  <c r="H88" i="1"/>
  <c r="H89" i="1"/>
  <c r="H90" i="1"/>
  <c r="H91" i="1"/>
  <c r="H92" i="1"/>
  <c r="H93" i="1"/>
  <c r="H94" i="1"/>
  <c r="H95" i="1"/>
  <c r="H96" i="1"/>
  <c r="H97" i="1"/>
  <c r="H98" i="1"/>
  <c r="H87" i="1"/>
  <c r="G86" i="1"/>
  <c r="H77" i="1"/>
  <c r="H67" i="1"/>
  <c r="H42" i="1"/>
  <c r="H39" i="1"/>
  <c r="H40" i="1"/>
  <c r="H41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8" i="1"/>
  <c r="G27" i="1"/>
  <c r="H18" i="1"/>
  <c r="H213" i="1"/>
  <c r="G213" i="1"/>
  <c r="G236" i="1"/>
  <c r="G226" i="1"/>
  <c r="G203" i="1"/>
  <c r="G193" i="1"/>
  <c r="G183" i="1"/>
  <c r="G237" i="1"/>
  <c r="G163" i="1"/>
  <c r="G153" i="1"/>
  <c r="G143" i="1"/>
  <c r="G133" i="1"/>
  <c r="G122" i="1"/>
  <c r="G112" i="1"/>
  <c r="G99" i="1"/>
  <c r="H82" i="1"/>
  <c r="H81" i="1"/>
  <c r="H80" i="1"/>
  <c r="H79" i="1"/>
  <c r="H78" i="1"/>
  <c r="G76" i="1"/>
  <c r="H75" i="1"/>
  <c r="H74" i="1"/>
  <c r="H73" i="1"/>
  <c r="H72" i="1"/>
  <c r="H71" i="1"/>
  <c r="H70" i="1"/>
  <c r="H69" i="1"/>
  <c r="H68" i="1"/>
  <c r="G66" i="1"/>
  <c r="H65" i="1"/>
  <c r="H64" i="1"/>
  <c r="H63" i="1"/>
  <c r="H62" i="1"/>
  <c r="H61" i="1"/>
  <c r="H60" i="1"/>
  <c r="H59" i="1"/>
  <c r="H58" i="1"/>
  <c r="H57" i="1"/>
  <c r="G56" i="1"/>
  <c r="H38" i="1"/>
  <c r="G37" i="1"/>
  <c r="H36" i="1"/>
  <c r="H35" i="1"/>
  <c r="H34" i="1"/>
  <c r="H33" i="1"/>
  <c r="H32" i="1"/>
  <c r="H31" i="1"/>
  <c r="H30" i="1"/>
  <c r="H29" i="1"/>
  <c r="H26" i="1"/>
  <c r="H25" i="1"/>
  <c r="H24" i="1"/>
  <c r="H23" i="1"/>
  <c r="H22" i="1"/>
  <c r="H21" i="1"/>
  <c r="H20" i="1"/>
  <c r="H19" i="1"/>
  <c r="H86" i="1" l="1"/>
  <c r="H27" i="1"/>
  <c r="H203" i="1"/>
  <c r="H183" i="1"/>
  <c r="H56" i="1"/>
  <c r="H193" i="1"/>
  <c r="H143" i="1"/>
  <c r="H76" i="1"/>
  <c r="H112" i="1"/>
  <c r="H133" i="1"/>
  <c r="H163" i="1"/>
  <c r="H226" i="1"/>
  <c r="H99" i="1"/>
  <c r="H66" i="1"/>
  <c r="H37" i="1"/>
  <c r="H122" i="1"/>
  <c r="H236" i="1"/>
  <c r="H153" i="1"/>
</calcChain>
</file>

<file path=xl/sharedStrings.xml><?xml version="1.0" encoding="utf-8"?>
<sst xmlns="http://schemas.openxmlformats.org/spreadsheetml/2006/main" count="430" uniqueCount="116">
  <si>
    <t>S</t>
  </si>
  <si>
    <t>GREEN</t>
  </si>
  <si>
    <t>L</t>
  </si>
  <si>
    <t>BLACK</t>
  </si>
  <si>
    <t>M</t>
  </si>
  <si>
    <t>GRAY</t>
  </si>
  <si>
    <t>XL</t>
  </si>
  <si>
    <t>WHITE</t>
  </si>
  <si>
    <t>BLUE</t>
  </si>
  <si>
    <t>PINK</t>
  </si>
  <si>
    <t>03-5458-7431</t>
    <phoneticPr fontId="12"/>
  </si>
  <si>
    <t>03-5458-7432</t>
    <phoneticPr fontId="12"/>
  </si>
  <si>
    <r>
      <rPr>
        <sz val="10"/>
        <color rgb="FF000000"/>
        <rFont val="MS Mincho"/>
        <family val="2"/>
        <charset val="128"/>
      </rPr>
      <t>納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MS Mincho"/>
        <family val="2"/>
        <charset val="128"/>
      </rPr>
      <t>品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MS Mincho"/>
        <family val="2"/>
        <charset val="128"/>
      </rPr>
      <t>予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MS Mincho"/>
        <family val="2"/>
        <charset val="128"/>
      </rPr>
      <t>定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MS Mincho"/>
        <family val="2"/>
        <charset val="128"/>
      </rPr>
      <t>日</t>
    </r>
    <phoneticPr fontId="2"/>
  </si>
  <si>
    <r>
      <rPr>
        <sz val="10"/>
        <color rgb="FF000000"/>
        <rFont val="MS Mincho"/>
        <family val="2"/>
        <charset val="128"/>
      </rPr>
      <t>納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MS Mincho"/>
        <family val="2"/>
        <charset val="128"/>
      </rPr>
      <t>品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MS Mincho"/>
        <family val="2"/>
        <charset val="128"/>
      </rPr>
      <t>場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MS Mincho"/>
        <family val="2"/>
        <charset val="128"/>
      </rPr>
      <t>所</t>
    </r>
    <phoneticPr fontId="2"/>
  </si>
  <si>
    <r>
      <rPr>
        <sz val="10"/>
        <color rgb="FF000000"/>
        <rFont val="MS Mincho"/>
        <family val="2"/>
        <charset val="128"/>
      </rPr>
      <t>支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MS Mincho"/>
        <family val="2"/>
        <charset val="128"/>
      </rPr>
      <t>払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MS Mincho"/>
        <family val="2"/>
        <charset val="128"/>
      </rPr>
      <t>条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MS Mincho"/>
        <family val="2"/>
        <charset val="128"/>
      </rPr>
      <t>件</t>
    </r>
    <phoneticPr fontId="2"/>
  </si>
  <si>
    <t>M</t>
    <phoneticPr fontId="2"/>
  </si>
  <si>
    <t>L</t>
    <phoneticPr fontId="2"/>
  </si>
  <si>
    <r>
      <rPr>
        <sz val="12"/>
        <color rgb="FF000000"/>
        <rFont val="MS Mincho"/>
        <family val="2"/>
        <charset val="128"/>
      </rPr>
      <t>〒</t>
    </r>
    <r>
      <rPr>
        <sz val="12"/>
        <color rgb="FF000000"/>
        <rFont val="Helvetica"/>
        <family val="2"/>
      </rPr>
      <t>150-0043</t>
    </r>
    <phoneticPr fontId="2"/>
  </si>
  <si>
    <r>
      <rPr>
        <sz val="12"/>
        <color rgb="FF000000"/>
        <rFont val="MS Mincho"/>
        <family val="2"/>
        <charset val="128"/>
      </rPr>
      <t>東京都渋谷区道玄坂</t>
    </r>
    <r>
      <rPr>
        <sz val="12"/>
        <color rgb="FF000000"/>
        <rFont val="Helvetica"/>
        <family val="2"/>
      </rPr>
      <t>1-19-2</t>
    </r>
    <phoneticPr fontId="2"/>
  </si>
  <si>
    <r>
      <rPr>
        <sz val="12"/>
        <color rgb="FF000000"/>
        <rFont val="MS Mincho"/>
        <family val="2"/>
        <charset val="128"/>
      </rPr>
      <t>スプラインビル</t>
    </r>
    <r>
      <rPr>
        <sz val="12"/>
        <color rgb="FF000000"/>
        <rFont val="Helvetica"/>
        <family val="2"/>
      </rPr>
      <t>2F</t>
    </r>
    <phoneticPr fontId="2"/>
  </si>
  <si>
    <r>
      <rPr>
        <sz val="12"/>
        <color rgb="FF000000"/>
        <rFont val="MS Mincho"/>
        <family val="2"/>
        <charset val="128"/>
      </rPr>
      <t>　〒</t>
    </r>
    <r>
      <rPr>
        <sz val="12"/>
        <color rgb="FF000000"/>
        <rFont val="Helvetica"/>
        <family val="2"/>
      </rPr>
      <t xml:space="preserve">150-0043								</t>
    </r>
    <phoneticPr fontId="2"/>
  </si>
  <si>
    <r>
      <rPr>
        <sz val="12"/>
        <color rgb="FF000000"/>
        <rFont val="MS Mincho"/>
        <family val="2"/>
        <charset val="128"/>
      </rPr>
      <t>　東京都渋谷区道玄坂</t>
    </r>
    <r>
      <rPr>
        <sz val="12"/>
        <color rgb="FF000000"/>
        <rFont val="Helvetica"/>
        <family val="2"/>
      </rPr>
      <t xml:space="preserve">1-22-10 </t>
    </r>
    <phoneticPr fontId="2"/>
  </si>
  <si>
    <r>
      <rPr>
        <sz val="12"/>
        <color rgb="FF000000"/>
        <rFont val="MS Mincho"/>
        <family val="2"/>
        <charset val="128"/>
      </rPr>
      <t>　見真ビル</t>
    </r>
    <r>
      <rPr>
        <sz val="12"/>
        <color rgb="FF000000"/>
        <rFont val="Helvetica"/>
        <family val="2"/>
      </rPr>
      <t>1F</t>
    </r>
    <phoneticPr fontId="2"/>
  </si>
  <si>
    <r>
      <rPr>
        <sz val="12"/>
        <color rgb="FF000000"/>
        <rFont val="MS Mincho"/>
        <family val="2"/>
        <charset val="128"/>
      </rPr>
      <t>　株式会社</t>
    </r>
    <r>
      <rPr>
        <sz val="12"/>
        <color rgb="FF000000"/>
        <rFont val="Helvetica"/>
        <family val="2"/>
      </rPr>
      <t>shunya</t>
    </r>
    <r>
      <rPr>
        <sz val="12"/>
        <color rgb="FF000000"/>
        <rFont val="MS Mincho"/>
        <family val="2"/>
        <charset val="128"/>
      </rPr>
      <t>様</t>
    </r>
    <phoneticPr fontId="2"/>
  </si>
  <si>
    <r>
      <rPr>
        <sz val="9"/>
        <color rgb="FF000000"/>
        <rFont val="ＭＳ Ｐゴシック"/>
        <family val="3"/>
        <charset val="128"/>
      </rPr>
      <t>発注</t>
    </r>
    <r>
      <rPr>
        <sz val="9"/>
        <color rgb="FF000000"/>
        <rFont val="Helvetica"/>
        <family val="2"/>
      </rPr>
      <t>No:</t>
    </r>
  </si>
  <si>
    <r>
      <rPr>
        <sz val="12"/>
        <color rgb="FF000000"/>
        <rFont val="MS Mincho"/>
        <family val="2"/>
        <charset val="128"/>
      </rPr>
      <t>有限会社プレステージ</t>
    </r>
    <rPh sb="0" eb="4">
      <t>ユウゲn</t>
    </rPh>
    <phoneticPr fontId="2"/>
  </si>
  <si>
    <r>
      <rPr>
        <sz val="10"/>
        <color rgb="FF000000"/>
        <rFont val="MS Mincho"/>
        <family val="2"/>
        <charset val="128"/>
      </rPr>
      <t>月末締め翌月末払い</t>
    </r>
    <phoneticPr fontId="2"/>
  </si>
  <si>
    <r>
      <rPr>
        <sz val="20"/>
        <color rgb="FF000000"/>
        <rFont val="MS Mincho"/>
        <family val="2"/>
        <charset val="128"/>
      </rPr>
      <t>合計金額</t>
    </r>
    <rPh sb="0" eb="2">
      <t>ゴウケイ</t>
    </rPh>
    <rPh sb="2" eb="4">
      <t>キンガク</t>
    </rPh>
    <phoneticPr fontId="2"/>
  </si>
  <si>
    <r>
      <rPr>
        <sz val="10"/>
        <color rgb="FF000000"/>
        <rFont val="MS Mincho"/>
        <family val="2"/>
        <charset val="128"/>
      </rPr>
      <t>商品</t>
    </r>
    <rPh sb="0" eb="2">
      <t>ショウヒn</t>
    </rPh>
    <phoneticPr fontId="2"/>
  </si>
  <si>
    <r>
      <rPr>
        <sz val="10"/>
        <color rgb="FF000000"/>
        <rFont val="MS Mincho"/>
        <family val="2"/>
        <charset val="128"/>
      </rPr>
      <t>商品コード</t>
    </r>
    <rPh sb="0" eb="2">
      <t>ショウヒn</t>
    </rPh>
    <phoneticPr fontId="2"/>
  </si>
  <si>
    <r>
      <rPr>
        <sz val="10"/>
        <color rgb="FF000000"/>
        <rFont val="MS Mincho"/>
        <family val="2"/>
        <charset val="128"/>
      </rPr>
      <t>商品名</t>
    </r>
    <rPh sb="0" eb="2">
      <t>ショウヒn</t>
    </rPh>
    <rPh sb="2" eb="3">
      <t>メイ</t>
    </rPh>
    <phoneticPr fontId="2"/>
  </si>
  <si>
    <r>
      <rPr>
        <sz val="10"/>
        <color rgb="FF000000"/>
        <rFont val="MS Mincho"/>
        <family val="2"/>
        <charset val="128"/>
      </rPr>
      <t>サイズ</t>
    </r>
    <phoneticPr fontId="2"/>
  </si>
  <si>
    <r>
      <rPr>
        <sz val="10"/>
        <color rgb="FF000000"/>
        <rFont val="MS Mincho"/>
        <family val="2"/>
        <charset val="128"/>
      </rPr>
      <t>色</t>
    </r>
    <rPh sb="0" eb="1">
      <t xml:space="preserve">イロ </t>
    </rPh>
    <phoneticPr fontId="2"/>
  </si>
  <si>
    <r>
      <rPr>
        <sz val="10"/>
        <color rgb="FF000000"/>
        <rFont val="MS Mincho"/>
        <family val="2"/>
        <charset val="128"/>
      </rPr>
      <t>単価</t>
    </r>
    <rPh sb="0" eb="2">
      <t>タンカ</t>
    </rPh>
    <phoneticPr fontId="2"/>
  </si>
  <si>
    <r>
      <rPr>
        <sz val="10"/>
        <color rgb="FF000000"/>
        <rFont val="MS Mincho"/>
        <family val="2"/>
        <charset val="128"/>
      </rPr>
      <t>数量</t>
    </r>
    <rPh sb="0" eb="2">
      <t>スウ</t>
    </rPh>
    <phoneticPr fontId="2"/>
  </si>
  <si>
    <r>
      <rPr>
        <sz val="10"/>
        <color rgb="FF000000"/>
        <rFont val="MS Mincho"/>
        <family val="2"/>
        <charset val="128"/>
      </rPr>
      <t>合計</t>
    </r>
    <rPh sb="0" eb="2">
      <t>ゴウケイ</t>
    </rPh>
    <phoneticPr fontId="2"/>
  </si>
  <si>
    <r>
      <rPr>
        <sz val="10"/>
        <color rgb="FF000000"/>
        <rFont val="MS Mincho"/>
        <family val="2"/>
        <charset val="128"/>
      </rPr>
      <t>小計</t>
    </r>
    <rPh sb="0" eb="2">
      <t>ショウケイ</t>
    </rPh>
    <phoneticPr fontId="2"/>
  </si>
  <si>
    <r>
      <rPr>
        <sz val="10"/>
        <color rgb="FF000000"/>
        <rFont val="MS Mincho"/>
        <family val="2"/>
        <charset val="128"/>
      </rPr>
      <t>消費税</t>
    </r>
    <rPh sb="0" eb="3">
      <t>ショウヒゼイ</t>
    </rPh>
    <phoneticPr fontId="2"/>
  </si>
  <si>
    <r>
      <rPr>
        <sz val="12"/>
        <color rgb="FF000000"/>
        <rFont val="MS Mincho"/>
        <family val="2"/>
        <charset val="128"/>
      </rPr>
      <t>件名　</t>
    </r>
    <r>
      <rPr>
        <sz val="12"/>
        <color rgb="FF000000"/>
        <rFont val="Helvetica"/>
        <family val="2"/>
      </rPr>
      <t xml:space="preserve">PRESTIGE APPAREL SS26 </t>
    </r>
    <r>
      <rPr>
        <sz val="12"/>
        <color rgb="FF000000"/>
        <rFont val="MS Mincho"/>
        <family val="2"/>
        <charset val="128"/>
      </rPr>
      <t>オーダー</t>
    </r>
    <rPh sb="0" eb="2">
      <t>ケンメイ</t>
    </rPh>
    <phoneticPr fontId="2"/>
  </si>
  <si>
    <t>26S-JK01</t>
  </si>
  <si>
    <t>HARRINGTON JACKET</t>
  </si>
  <si>
    <t>BEIGE</t>
  </si>
  <si>
    <t>M：サンプル</t>
  </si>
  <si>
    <t>LIGHTPINK</t>
  </si>
  <si>
    <t>26S-JK02</t>
  </si>
  <si>
    <t>NYLON AND LEATHER TRUCKER JACKET</t>
  </si>
  <si>
    <t>ORANGE</t>
  </si>
  <si>
    <t>26S-JK03</t>
  </si>
  <si>
    <t>DENIM TOP NYLON BLOUSON JACKET</t>
  </si>
  <si>
    <t>BLACK×襟BLUEDENIM</t>
  </si>
  <si>
    <t>BLACK×襟BLACKDENIM</t>
  </si>
  <si>
    <t>GREEN×襟BEIGE</t>
  </si>
  <si>
    <t>GREEN×襟DARKBROWN</t>
  </si>
  <si>
    <t>GRAY×襟PINK</t>
  </si>
  <si>
    <t>GRAY×襟DARKBROWN</t>
  </si>
  <si>
    <t>26S-CS01</t>
  </si>
  <si>
    <t>DOUBLE ZIP HOODIE</t>
  </si>
  <si>
    <t>26S-SH01</t>
  </si>
  <si>
    <t>MOHAIR TOUCH SIHRTS</t>
  </si>
  <si>
    <t>LIGHTBLUE</t>
  </si>
  <si>
    <t>26S-SH02</t>
  </si>
  <si>
    <t>BACK SWEAT SHIRTS</t>
  </si>
  <si>
    <t>BLACK×スウェットBLACK</t>
  </si>
  <si>
    <t>WHITE×スウェットBLACK</t>
  </si>
  <si>
    <t>26S-SH03</t>
  </si>
  <si>
    <t>CUT BACK SHIRTS</t>
  </si>
  <si>
    <t>BEIGE×WHITE</t>
  </si>
  <si>
    <t>BLACK×WHITE</t>
  </si>
  <si>
    <t>KHAKI×BROWN</t>
  </si>
  <si>
    <t>26S-SH04</t>
  </si>
  <si>
    <t>SILKY LONG SHIRTS</t>
  </si>
  <si>
    <t>26S-TE01</t>
  </si>
  <si>
    <t>SIDE ZIP TANK TOP</t>
  </si>
  <si>
    <t>LIGHT BLUE</t>
  </si>
  <si>
    <t>26S-TE02</t>
  </si>
  <si>
    <t>SMOOCH LOGO TIGHT TEE</t>
  </si>
  <si>
    <t>FREE</t>
  </si>
  <si>
    <t>BLACK(プリントあり)</t>
  </si>
  <si>
    <t>WHITE(プリントあり)</t>
  </si>
  <si>
    <t>GRAY(プリントあり)</t>
  </si>
  <si>
    <t>PINK(プリントあり)</t>
  </si>
  <si>
    <t>BLUE (プリントあり)</t>
  </si>
  <si>
    <t>WHITE(無地ボディ)</t>
  </si>
  <si>
    <t>GRAY(無地ボディ)</t>
  </si>
  <si>
    <t>PINK(無地ボディ)</t>
  </si>
  <si>
    <t>BLUE (無地ボディ)</t>
  </si>
  <si>
    <t>26S-TE03</t>
  </si>
  <si>
    <t>NYLON ARM TEE</t>
  </si>
  <si>
    <t>WHITE×袖WHITE</t>
  </si>
  <si>
    <t>BLACK×袖BLACK</t>
  </si>
  <si>
    <t>BROWN×袖BEIGE</t>
  </si>
  <si>
    <t>26S-TE04</t>
  </si>
  <si>
    <t>SMOOCH S/S TEE1</t>
  </si>
  <si>
    <t>26S-TE05</t>
  </si>
  <si>
    <t>SMOOCH S/S TEE2</t>
  </si>
  <si>
    <t>26S-TE06</t>
  </si>
  <si>
    <t>PRESTIGE LOGO TEE3</t>
  </si>
  <si>
    <t>26S-PT01</t>
  </si>
  <si>
    <t>BACK ZIP DENIM PANTS</t>
  </si>
  <si>
    <t>26S-PT02</t>
  </si>
  <si>
    <t>SWEATDENIM PANTS</t>
  </si>
  <si>
    <t>BLUE×GRAY</t>
  </si>
  <si>
    <t>BLACK×BLACK</t>
  </si>
  <si>
    <t>26S-PT03</t>
  </si>
  <si>
    <t>NYLON AND LEATHER PANTS</t>
  </si>
  <si>
    <t>26S-PT04</t>
  </si>
  <si>
    <t>NYLON SHORT PANTS2</t>
  </si>
  <si>
    <t>26S-PT05</t>
  </si>
  <si>
    <t>SILKY LONG PANTS</t>
  </si>
  <si>
    <t>26S-AC03</t>
  </si>
  <si>
    <t>SMOOCH SOCKS</t>
  </si>
  <si>
    <r>
      <t xml:space="preserve">PRESTIGE APPAREL </t>
    </r>
    <r>
      <rPr>
        <sz val="10"/>
        <color rgb="FF000000"/>
        <rFont val="MS Mincho"/>
        <family val="2"/>
        <charset val="128"/>
      </rPr>
      <t>佐川八潮倉庫</t>
    </r>
    <rPh sb="19" eb="21">
      <t xml:space="preserve">ヤシオ </t>
    </rPh>
    <rPh sb="21" eb="23">
      <t>ソウコ</t>
    </rPh>
    <phoneticPr fontId="2"/>
  </si>
  <si>
    <r>
      <t>1</t>
    </r>
    <r>
      <rPr>
        <sz val="10"/>
        <color rgb="FF000000"/>
        <rFont val="MS Mincho"/>
        <family val="2"/>
        <charset val="128"/>
      </rPr>
      <t>月末</t>
    </r>
    <phoneticPr fontId="2"/>
  </si>
  <si>
    <r>
      <t>BLACK(</t>
    </r>
    <r>
      <rPr>
        <sz val="8"/>
        <color rgb="FF000000"/>
        <rFont val="MS Mincho"/>
        <family val="2"/>
        <charset val="128"/>
      </rPr>
      <t>無地ボディ</t>
    </r>
    <r>
      <rPr>
        <sz val="8"/>
        <color rgb="FF000000"/>
        <rFont val="Helvetica Neue"/>
        <family val="2"/>
      </rPr>
      <t>)</t>
    </r>
    <phoneticPr fontId="2"/>
  </si>
  <si>
    <r>
      <rPr>
        <b/>
        <sz val="22"/>
        <color theme="1"/>
        <rFont val="ＭＳ Ｐゴシック"/>
        <family val="3"/>
        <charset val="128"/>
      </rPr>
      <t>注　文　書</t>
    </r>
  </si>
  <si>
    <r>
      <rPr>
        <sz val="10"/>
        <color rgb="FF000000"/>
        <rFont val="MS Mincho"/>
        <family val="3"/>
        <charset val="128"/>
      </rPr>
      <t>発行日</t>
    </r>
    <r>
      <rPr>
        <sz val="10"/>
        <color rgb="FF000000"/>
        <rFont val="Helvetica"/>
        <family val="2"/>
      </rPr>
      <t>:11/10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</si>
</sst>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¥&quot;#,##0;[Red]&quot;¥&quot;\-#,##0"/>
    <numFmt numFmtId="176" formatCode="[$¥-411]#,##0"/>
    <numFmt numFmtId="177" formatCode="&quot;¥&quot;#,##0_);[Red]\(&quot;¥&quot;#,##0\)"/>
    <numFmt numFmtId="178" formatCode="&quot;電話番号:&quot;@"/>
    <numFmt numFmtId="179" formatCode="&quot;FAX番号:&quot;@"/>
  </numFmts>
  <fonts count="38">
    <font>
      <sz val="11"/>
      <color rgb="FF000000"/>
      <name val="MS PGothic"/>
      <scheme val="minor"/>
    </font>
    <font>
      <sz val="11"/>
      <color rgb="FF000000"/>
      <name val="MS PGothic"/>
      <family val="2"/>
      <charset val="128"/>
      <scheme val="minor"/>
    </font>
    <font>
      <sz val="6"/>
      <name val="MS PGothic"/>
      <family val="3"/>
      <charset val="128"/>
      <scheme val="minor"/>
    </font>
    <font>
      <sz val="10"/>
      <color rgb="FF000000"/>
      <name val="MS Mincho"/>
      <family val="2"/>
      <charset val="128"/>
    </font>
    <font>
      <sz val="12"/>
      <color rgb="FF000000"/>
      <name val="MS Mincho"/>
      <family val="2"/>
      <charset val="128"/>
    </font>
    <font>
      <sz val="12"/>
      <color rgb="FF000000"/>
      <name val="Helvetica"/>
      <family val="2"/>
    </font>
    <font>
      <sz val="10"/>
      <color rgb="FF000000"/>
      <name val="Helvetica"/>
      <family val="2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0"/>
      <color theme="1"/>
      <name val="Helvetica"/>
      <family val="2"/>
    </font>
    <font>
      <sz val="10"/>
      <name val="Helvetica"/>
      <family val="2"/>
    </font>
    <font>
      <sz val="9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20"/>
      <color rgb="FF000000"/>
      <name val="MS Mincho"/>
      <family val="2"/>
      <charset val="128"/>
    </font>
    <font>
      <sz val="9"/>
      <color rgb="FF000000"/>
      <name val="Helvetica"/>
      <family val="2"/>
    </font>
    <font>
      <sz val="20"/>
      <color rgb="FF000000"/>
      <name val="Helvetica"/>
      <family val="2"/>
    </font>
    <font>
      <sz val="12"/>
      <color rgb="FF000000"/>
      <name val="Helvetica"/>
      <family val="2"/>
      <charset val="128"/>
    </font>
    <font>
      <sz val="10"/>
      <color rgb="FF000000"/>
      <name val="Helvetica Neue"/>
      <family val="2"/>
    </font>
    <font>
      <sz val="11"/>
      <name val="MS PGothic"/>
      <family val="2"/>
      <charset val="128"/>
    </font>
    <font>
      <sz val="8"/>
      <color rgb="FF000000"/>
      <name val="Helvetica Neue"/>
      <family val="2"/>
    </font>
    <font>
      <b/>
      <sz val="10"/>
      <color rgb="FFFF0000"/>
      <name val="Helvetica Neue"/>
      <family val="2"/>
    </font>
    <font>
      <b/>
      <sz val="12"/>
      <color rgb="FF000000"/>
      <name val="Helvetica Neue"/>
      <family val="2"/>
    </font>
    <font>
      <b/>
      <sz val="11"/>
      <color rgb="FF000000"/>
      <name val="Helvetica"/>
      <family val="2"/>
    </font>
    <font>
      <b/>
      <sz val="12"/>
      <color rgb="FF000000"/>
      <name val="Helvetica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Helvetica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8"/>
      <color rgb="FF000000"/>
      <name val="MS PGothic"/>
      <family val="2"/>
      <charset val="128"/>
      <scheme val="minor"/>
    </font>
    <font>
      <sz val="11"/>
      <color rgb="FF000000"/>
      <name val="Helvetica Neue"/>
      <family val="2"/>
    </font>
    <font>
      <b/>
      <sz val="11"/>
      <color rgb="FFFF0000"/>
      <name val="Helvetica Neue"/>
      <family val="2"/>
    </font>
    <font>
      <b/>
      <sz val="16"/>
      <color rgb="FFFF0000"/>
      <name val="Helvetica"/>
      <family val="2"/>
    </font>
    <font>
      <sz val="10"/>
      <color rgb="FF000000"/>
      <name val="Helvetica"/>
      <family val="3"/>
      <charset val="128"/>
    </font>
    <font>
      <sz val="8"/>
      <color rgb="FF000000"/>
      <name val="MS Mincho"/>
      <family val="2"/>
      <charset val="128"/>
    </font>
    <font>
      <b/>
      <sz val="22"/>
      <color theme="1"/>
      <name val="Helvetica"/>
      <family val="2"/>
    </font>
    <font>
      <b/>
      <sz val="22"/>
      <color theme="1"/>
      <name val="ＭＳ Ｐゴシック"/>
      <family val="3"/>
      <charset val="128"/>
    </font>
    <font>
      <sz val="10"/>
      <color rgb="FF000000"/>
      <name val="MS Mincho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FCE5CD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66"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49" fontId="6" fillId="0" borderId="2" xfId="0" applyNumberFormat="1" applyFont="1" applyBorder="1" applyAlignment="1">
      <alignment horizontal="center" vertical="center"/>
    </xf>
    <xf numFmtId="0" fontId="6" fillId="4" borderId="6" xfId="0" applyFont="1" applyFill="1" applyBorder="1" applyAlignment="1">
      <alignment vertical="center"/>
    </xf>
    <xf numFmtId="0" fontId="6" fillId="4" borderId="7" xfId="0" applyFont="1" applyFill="1" applyBorder="1" applyAlignment="1">
      <alignment horizontal="center" vertical="center"/>
    </xf>
    <xf numFmtId="49" fontId="6" fillId="4" borderId="7" xfId="0" applyNumberFormat="1" applyFont="1" applyFill="1" applyBorder="1" applyAlignment="1">
      <alignment horizontal="center" vertical="center" wrapText="1"/>
    </xf>
    <xf numFmtId="49" fontId="6" fillId="4" borderId="8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14" xfId="0" applyFont="1" applyBorder="1" applyAlignment="1">
      <alignment vertical="center"/>
    </xf>
    <xf numFmtId="3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3" fontId="6" fillId="3" borderId="12" xfId="0" applyNumberFormat="1" applyFont="1" applyFill="1" applyBorder="1" applyAlignment="1">
      <alignment horizontal="center" vertical="center"/>
    </xf>
    <xf numFmtId="176" fontId="6" fillId="0" borderId="13" xfId="0" applyNumberFormat="1" applyFont="1" applyBorder="1" applyAlignment="1">
      <alignment vertical="center"/>
    </xf>
    <xf numFmtId="3" fontId="6" fillId="0" borderId="12" xfId="0" applyNumberFormat="1" applyFont="1" applyBorder="1" applyAlignment="1">
      <alignment horizontal="center" vertical="center"/>
    </xf>
    <xf numFmtId="3" fontId="6" fillId="4" borderId="13" xfId="0" applyNumberFormat="1" applyFont="1" applyFill="1" applyBorder="1" applyAlignment="1">
      <alignment vertical="center"/>
    </xf>
    <xf numFmtId="0" fontId="6" fillId="2" borderId="0" xfId="0" applyFont="1" applyFill="1"/>
    <xf numFmtId="0" fontId="14" fillId="2" borderId="0" xfId="0" applyFont="1" applyFill="1"/>
    <xf numFmtId="0" fontId="5" fillId="2" borderId="0" xfId="0" applyFont="1" applyFill="1" applyAlignment="1">
      <alignment horizontal="left" shrinkToFit="1"/>
    </xf>
    <xf numFmtId="0" fontId="5" fillId="2" borderId="0" xfId="0" applyFont="1" applyFill="1" applyAlignment="1">
      <alignment horizontal="left" vertical="center" shrinkToFit="1"/>
    </xf>
    <xf numFmtId="0" fontId="5" fillId="2" borderId="0" xfId="0" applyFont="1" applyFill="1" applyAlignment="1">
      <alignment vertical="center" shrinkToFi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6" fillId="2" borderId="0" xfId="0" applyFont="1" applyFill="1" applyAlignment="1">
      <alignment vertical="center" shrinkToFit="1"/>
    </xf>
    <xf numFmtId="0" fontId="15" fillId="0" borderId="23" xfId="0" applyFont="1" applyBorder="1" applyAlignment="1">
      <alignment vertical="center"/>
    </xf>
    <xf numFmtId="49" fontId="6" fillId="0" borderId="3" xfId="0" applyNumberFormat="1" applyFont="1" applyBorder="1" applyAlignment="1">
      <alignment vertical="center" wrapText="1"/>
    </xf>
    <xf numFmtId="49" fontId="6" fillId="0" borderId="27" xfId="0" applyNumberFormat="1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49" fontId="6" fillId="0" borderId="5" xfId="0" applyNumberFormat="1" applyFont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19" fillId="0" borderId="15" xfId="0" applyFont="1" applyBorder="1" applyAlignment="1">
      <alignment vertical="center"/>
    </xf>
    <xf numFmtId="176" fontId="6" fillId="0" borderId="28" xfId="0" applyNumberFormat="1" applyFont="1" applyBorder="1" applyAlignment="1">
      <alignment vertical="center"/>
    </xf>
    <xf numFmtId="49" fontId="6" fillId="0" borderId="32" xfId="0" applyNumberFormat="1" applyFont="1" applyBorder="1" applyAlignment="1">
      <alignment horizontal="center" vertical="center" wrapText="1"/>
    </xf>
    <xf numFmtId="6" fontId="20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left" vertical="center"/>
    </xf>
    <xf numFmtId="3" fontId="23" fillId="4" borderId="33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3" fontId="23" fillId="4" borderId="36" xfId="0" applyNumberFormat="1" applyFont="1" applyFill="1" applyBorder="1" applyAlignment="1">
      <alignment horizontal="center" vertical="center"/>
    </xf>
    <xf numFmtId="3" fontId="6" fillId="4" borderId="37" xfId="0" applyNumberFormat="1" applyFont="1" applyFill="1" applyBorder="1" applyAlignment="1">
      <alignment vertical="center"/>
    </xf>
    <xf numFmtId="3" fontId="6" fillId="4" borderId="38" xfId="0" applyNumberFormat="1" applyFont="1" applyFill="1" applyBorder="1" applyAlignment="1">
      <alignment vertical="center"/>
    </xf>
    <xf numFmtId="176" fontId="6" fillId="0" borderId="15" xfId="0" applyNumberFormat="1" applyFont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shrinkToFit="1"/>
    </xf>
    <xf numFmtId="0" fontId="5" fillId="2" borderId="0" xfId="0" applyFont="1" applyFill="1" applyAlignment="1">
      <alignment horizontal="center" vertical="center" shrinkToFit="1"/>
    </xf>
    <xf numFmtId="178" fontId="5" fillId="2" borderId="0" xfId="0" applyNumberFormat="1" applyFont="1" applyFill="1" applyAlignment="1">
      <alignment horizontal="center" vertical="center"/>
    </xf>
    <xf numFmtId="179" fontId="5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49" fontId="6" fillId="0" borderId="29" xfId="0" applyNumberFormat="1" applyFont="1" applyBorder="1" applyAlignment="1">
      <alignment horizontal="center" vertical="center" wrapText="1"/>
    </xf>
    <xf numFmtId="176" fontId="6" fillId="4" borderId="0" xfId="0" applyNumberFormat="1" applyFont="1" applyFill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76" fontId="6" fillId="4" borderId="11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4" borderId="29" xfId="0" applyFont="1" applyFill="1" applyBorder="1" applyAlignment="1">
      <alignment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3" fontId="6" fillId="4" borderId="43" xfId="0" applyNumberFormat="1" applyFont="1" applyFill="1" applyBorder="1" applyAlignment="1">
      <alignment vertical="center"/>
    </xf>
    <xf numFmtId="176" fontId="6" fillId="0" borderId="15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9" fillId="0" borderId="44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176" fontId="6" fillId="0" borderId="31" xfId="0" applyNumberFormat="1" applyFont="1" applyBorder="1" applyAlignment="1">
      <alignment horizontal="center" vertical="center"/>
    </xf>
    <xf numFmtId="3" fontId="6" fillId="0" borderId="33" xfId="0" applyNumberFormat="1" applyFont="1" applyBorder="1" applyAlignment="1">
      <alignment horizontal="center" vertical="center"/>
    </xf>
    <xf numFmtId="176" fontId="20" fillId="0" borderId="15" xfId="0" applyNumberFormat="1" applyFont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0" fontId="0" fillId="7" borderId="0" xfId="0" applyFill="1" applyAlignment="1">
      <alignment vertical="center"/>
    </xf>
    <xf numFmtId="49" fontId="6" fillId="4" borderId="11" xfId="0" applyNumberFormat="1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vertical="center"/>
    </xf>
    <xf numFmtId="0" fontId="6" fillId="6" borderId="0" xfId="0" applyFont="1" applyFill="1" applyAlignment="1">
      <alignment vertical="center"/>
    </xf>
    <xf numFmtId="0" fontId="29" fillId="0" borderId="15" xfId="0" applyFont="1" applyBorder="1" applyAlignment="1">
      <alignment vertical="center"/>
    </xf>
    <xf numFmtId="3" fontId="23" fillId="4" borderId="45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3" fontId="22" fillId="4" borderId="36" xfId="0" applyNumberFormat="1" applyFont="1" applyFill="1" applyBorder="1" applyAlignment="1">
      <alignment horizontal="center" vertical="center"/>
    </xf>
    <xf numFmtId="49" fontId="9" fillId="0" borderId="10" xfId="0" applyNumberFormat="1" applyFont="1" applyBorder="1" applyAlignment="1">
      <alignment vertical="center"/>
    </xf>
    <xf numFmtId="0" fontId="19" fillId="0" borderId="44" xfId="0" applyFont="1" applyBorder="1" applyAlignment="1">
      <alignment horizontal="left" vertical="center"/>
    </xf>
    <xf numFmtId="49" fontId="6" fillId="0" borderId="31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9" fillId="0" borderId="15" xfId="0" applyNumberFormat="1" applyFont="1" applyBorder="1" applyAlignment="1">
      <alignment vertical="center"/>
    </xf>
    <xf numFmtId="3" fontId="6" fillId="3" borderId="33" xfId="0" applyNumberFormat="1" applyFont="1" applyFill="1" applyBorder="1" applyAlignment="1">
      <alignment horizontal="center" vertical="center"/>
    </xf>
    <xf numFmtId="3" fontId="6" fillId="4" borderId="28" xfId="0" applyNumberFormat="1" applyFont="1" applyFill="1" applyBorder="1" applyAlignment="1">
      <alignment horizontal="right" vertical="center"/>
    </xf>
    <xf numFmtId="3" fontId="23" fillId="4" borderId="21" xfId="0" applyNumberFormat="1" applyFont="1" applyFill="1" applyBorder="1" applyAlignment="1">
      <alignment horizontal="center" vertical="center"/>
    </xf>
    <xf numFmtId="6" fontId="31" fillId="0" borderId="15" xfId="0" applyNumberFormat="1" applyFont="1" applyBorder="1" applyAlignment="1">
      <alignment horizontal="center" vertical="center"/>
    </xf>
    <xf numFmtId="3" fontId="26" fillId="0" borderId="17" xfId="0" applyNumberFormat="1" applyFont="1" applyBorder="1" applyAlignment="1">
      <alignment horizontal="center" vertical="center"/>
    </xf>
    <xf numFmtId="177" fontId="26" fillId="0" borderId="17" xfId="0" applyNumberFormat="1" applyFont="1" applyBorder="1" applyAlignment="1">
      <alignment horizontal="right" vertical="center"/>
    </xf>
    <xf numFmtId="177" fontId="32" fillId="0" borderId="23" xfId="0" applyNumberFormat="1" applyFont="1" applyBorder="1" applyAlignment="1">
      <alignment horizontal="right" vertical="center"/>
    </xf>
    <xf numFmtId="177" fontId="23" fillId="0" borderId="23" xfId="1" applyNumberFormat="1" applyFont="1" applyBorder="1" applyAlignment="1">
      <alignment horizontal="right" vertical="center"/>
    </xf>
    <xf numFmtId="0" fontId="33" fillId="2" borderId="0" xfId="0" applyFont="1" applyFill="1" applyAlignment="1">
      <alignment horizontal="center"/>
    </xf>
    <xf numFmtId="49" fontId="24" fillId="2" borderId="0" xfId="0" applyNumberFormat="1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vertical="center"/>
    </xf>
    <xf numFmtId="0" fontId="25" fillId="0" borderId="40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49" fontId="17" fillId="0" borderId="5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177" fontId="15" fillId="0" borderId="25" xfId="0" applyNumberFormat="1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17</xdr:row>
      <xdr:rowOff>25400</xdr:rowOff>
    </xdr:from>
    <xdr:ext cx="1155700" cy="1511300"/>
    <xdr:pic>
      <xdr:nvPicPr>
        <xdr:cNvPr id="10" name="image1.png" title="画像">
          <a:extLst>
            <a:ext uri="{FF2B5EF4-FFF2-40B4-BE49-F238E27FC236}">
              <a16:creationId xmlns:a16="http://schemas.microsoft.com/office/drawing/2014/main" id="{F57A4E9C-B9BE-8D4C-8EE6-23C333306A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4076700"/>
          <a:ext cx="1155700" cy="1511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1130300" cy="1485900"/>
    <xdr:pic>
      <xdr:nvPicPr>
        <xdr:cNvPr id="20" name="image6.png" title="画像">
          <a:extLst>
            <a:ext uri="{FF2B5EF4-FFF2-40B4-BE49-F238E27FC236}">
              <a16:creationId xmlns:a16="http://schemas.microsoft.com/office/drawing/2014/main" id="{1D91F7A6-50B8-BD42-8F10-2BE5B13C8E3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5702300"/>
          <a:ext cx="1130300" cy="14859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1130300" cy="1485900"/>
    <xdr:pic>
      <xdr:nvPicPr>
        <xdr:cNvPr id="21" name="image6.png" title="画像">
          <a:extLst>
            <a:ext uri="{FF2B5EF4-FFF2-40B4-BE49-F238E27FC236}">
              <a16:creationId xmlns:a16="http://schemas.microsoft.com/office/drawing/2014/main" id="{32E573DF-355F-EB44-814B-5B937A0E755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17600" y="2286000"/>
          <a:ext cx="1130300" cy="1485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37</xdr:row>
      <xdr:rowOff>0</xdr:rowOff>
    </xdr:from>
    <xdr:to>
      <xdr:col>1</xdr:col>
      <xdr:colOff>17182</xdr:colOff>
      <xdr:row>55</xdr:row>
      <xdr:rowOff>76200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E61CC72-6CC0-4FEC-3EB7-6D7E958F5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353300"/>
          <a:ext cx="1299882" cy="304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25400</xdr:rowOff>
    </xdr:from>
    <xdr:to>
      <xdr:col>0</xdr:col>
      <xdr:colOff>1244600</xdr:colOff>
      <xdr:row>65</xdr:row>
      <xdr:rowOff>76200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FC1B5577-872D-0976-8842-54FBDCB5A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515600"/>
          <a:ext cx="1244600" cy="1536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</xdr:col>
      <xdr:colOff>25400</xdr:colOff>
      <xdr:row>75</xdr:row>
      <xdr:rowOff>47734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8101D621-5CAA-3092-B409-5F7DE10F3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141200"/>
          <a:ext cx="1308100" cy="15336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165099</xdr:rowOff>
    </xdr:from>
    <xdr:to>
      <xdr:col>1</xdr:col>
      <xdr:colOff>0</xdr:colOff>
      <xdr:row>85</xdr:row>
      <xdr:rowOff>17954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131876DC-7B44-FA3D-47A0-5CE69B7E6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3792199"/>
          <a:ext cx="1282700" cy="1503855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86</xdr:row>
      <xdr:rowOff>12700</xdr:rowOff>
    </xdr:from>
    <xdr:ext cx="1295400" cy="2120900"/>
    <xdr:pic>
      <xdr:nvPicPr>
        <xdr:cNvPr id="36" name="image7.png" title="画像">
          <a:extLst>
            <a:ext uri="{FF2B5EF4-FFF2-40B4-BE49-F238E27FC236}">
              <a16:creationId xmlns:a16="http://schemas.microsoft.com/office/drawing/2014/main" id="{4A80AC8B-764F-BF48-854D-EA61ABEBA185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15455900"/>
          <a:ext cx="1295400" cy="2120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99</xdr:row>
      <xdr:rowOff>0</xdr:rowOff>
    </xdr:from>
    <xdr:to>
      <xdr:col>1</xdr:col>
      <xdr:colOff>17182</xdr:colOff>
      <xdr:row>110</xdr:row>
      <xdr:rowOff>152400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EC8F281C-39FA-0510-5DE5-62D1E89B9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7589500"/>
          <a:ext cx="1299882" cy="1968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12699</xdr:rowOff>
    </xdr:from>
    <xdr:to>
      <xdr:col>1</xdr:col>
      <xdr:colOff>12700</xdr:colOff>
      <xdr:row>121</xdr:row>
      <xdr:rowOff>19802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27F588DC-C24C-EA8B-8399-38E765189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9748499"/>
          <a:ext cx="1295400" cy="14930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38100</xdr:rowOff>
    </xdr:from>
    <xdr:to>
      <xdr:col>0</xdr:col>
      <xdr:colOff>1193800</xdr:colOff>
      <xdr:row>131</xdr:row>
      <xdr:rowOff>63500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35181FE5-86B1-C6B2-2C2B-0D7785D53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1424900"/>
          <a:ext cx="1193800" cy="1511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1219200</xdr:colOff>
      <xdr:row>142</xdr:row>
      <xdr:rowOff>43266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25DAFB92-78F6-0662-4466-AF37F830B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3202900"/>
          <a:ext cx="1219200" cy="15291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165099</xdr:rowOff>
    </xdr:from>
    <xdr:to>
      <xdr:col>1</xdr:col>
      <xdr:colOff>25400</xdr:colOff>
      <xdr:row>152</xdr:row>
      <xdr:rowOff>21740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55ACDECD-1E31-D355-57BD-91651A642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4853899"/>
          <a:ext cx="1308100" cy="15076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0</xdr:colOff>
      <xdr:row>161</xdr:row>
      <xdr:rowOff>157566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645D67A7-D566-792E-00FE-49AD3D661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6504900"/>
          <a:ext cx="1282700" cy="14783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165099</xdr:rowOff>
    </xdr:from>
    <xdr:to>
      <xdr:col>1</xdr:col>
      <xdr:colOff>12700</xdr:colOff>
      <xdr:row>172</xdr:row>
      <xdr:rowOff>7102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C44115F-3DA9-0918-6360-CCBA33006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8155899"/>
          <a:ext cx="1295400" cy="14930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165099</xdr:rowOff>
    </xdr:from>
    <xdr:to>
      <xdr:col>1</xdr:col>
      <xdr:colOff>12700</xdr:colOff>
      <xdr:row>182</xdr:row>
      <xdr:rowOff>7102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F055B51-57B3-B6EC-97A2-0C49EDC50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9806899"/>
          <a:ext cx="1295400" cy="14930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</xdr:row>
      <xdr:rowOff>165099</xdr:rowOff>
    </xdr:from>
    <xdr:to>
      <xdr:col>1</xdr:col>
      <xdr:colOff>25400</xdr:colOff>
      <xdr:row>192</xdr:row>
      <xdr:rowOff>21740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1E7EC5BB-A4A7-C68E-0299-27B0ED171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31457899"/>
          <a:ext cx="1308100" cy="15076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28574</xdr:colOff>
      <xdr:row>202</xdr:row>
      <xdr:rowOff>25400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877A3C40-F565-4E54-C8C9-DFA3A027A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33108900"/>
          <a:ext cx="1311274" cy="1511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</xdr:row>
      <xdr:rowOff>165099</xdr:rowOff>
    </xdr:from>
    <xdr:to>
      <xdr:col>1</xdr:col>
      <xdr:colOff>25400</xdr:colOff>
      <xdr:row>212</xdr:row>
      <xdr:rowOff>21739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5858E3FA-C1F2-0694-C4FD-2E33C2CD8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34759899"/>
          <a:ext cx="1308100" cy="15076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1278218</xdr:colOff>
      <xdr:row>225</xdr:row>
      <xdr:rowOff>25400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A54357B7-85E0-0C42-AB3B-D5BB6C9B0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36410900"/>
          <a:ext cx="1278218" cy="2006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1</xdr:col>
      <xdr:colOff>0</xdr:colOff>
      <xdr:row>234</xdr:row>
      <xdr:rowOff>127000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DE809702-41AD-E647-4710-167D21F8F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38557200"/>
          <a:ext cx="1282700" cy="144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0"/>
  <sheetViews>
    <sheetView showGridLines="0" tabSelected="1" zoomScale="75" workbookViewId="0">
      <pane ySplit="17" topLeftCell="A193" activePane="bottomLeft" state="frozen"/>
      <selection pane="bottomLeft" activeCell="F3" sqref="F3"/>
    </sheetView>
  </sheetViews>
  <sheetFormatPr baseColWidth="10" defaultColWidth="12.6640625" defaultRowHeight="15" customHeight="1"/>
  <cols>
    <col min="1" max="1" width="16.83203125" style="13" customWidth="1"/>
    <col min="2" max="2" width="14.33203125" style="13" customWidth="1"/>
    <col min="3" max="3" width="40.6640625" style="13" customWidth="1"/>
    <col min="4" max="4" width="11.83203125" style="13" customWidth="1"/>
    <col min="5" max="5" width="19.83203125" style="13" customWidth="1"/>
    <col min="6" max="7" width="13.83203125" style="14" customWidth="1"/>
    <col min="8" max="8" width="18.5" style="13" customWidth="1"/>
    <col min="9" max="16384" width="12.6640625" style="13"/>
  </cols>
  <sheetData>
    <row r="1" spans="1:17" ht="30" customHeight="1">
      <c r="A1" s="122" t="s">
        <v>114</v>
      </c>
      <c r="B1" s="122"/>
      <c r="C1" s="122"/>
      <c r="D1" s="122"/>
      <c r="E1" s="122"/>
      <c r="F1" s="122"/>
      <c r="G1" s="122"/>
      <c r="H1" s="122"/>
    </row>
    <row r="2" spans="1:17" ht="15" customHeight="1">
      <c r="F2" s="109" t="s">
        <v>115</v>
      </c>
      <c r="H2" s="28" t="s">
        <v>24</v>
      </c>
    </row>
    <row r="3" spans="1:17" ht="15" customHeight="1">
      <c r="E3" s="27"/>
      <c r="F3" s="55"/>
      <c r="G3" s="55"/>
    </row>
    <row r="4" spans="1:17" s="1" customFormat="1" ht="20" customHeight="1">
      <c r="A4" s="1" t="s">
        <v>20</v>
      </c>
      <c r="F4" s="56" t="s">
        <v>25</v>
      </c>
      <c r="G4" s="57"/>
      <c r="H4" s="29"/>
      <c r="I4" s="29"/>
      <c r="J4" s="29"/>
      <c r="K4" s="29"/>
      <c r="L4" s="29"/>
      <c r="M4" s="29"/>
      <c r="N4" s="29"/>
      <c r="O4" s="29"/>
      <c r="P4" s="29"/>
      <c r="Q4" s="29"/>
    </row>
    <row r="5" spans="1:17" s="1" customFormat="1" ht="20" customHeight="1">
      <c r="A5" s="1" t="s">
        <v>21</v>
      </c>
      <c r="F5" s="56" t="s">
        <v>17</v>
      </c>
      <c r="G5" s="57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spans="1:17" s="1" customFormat="1" ht="20" customHeight="1">
      <c r="A6" s="1" t="s">
        <v>22</v>
      </c>
      <c r="F6" s="56" t="s">
        <v>18</v>
      </c>
      <c r="G6" s="58"/>
      <c r="H6" s="30"/>
      <c r="I6" s="31"/>
      <c r="J6" s="31"/>
      <c r="K6" s="31"/>
      <c r="L6" s="31"/>
      <c r="M6" s="32"/>
      <c r="N6" s="33"/>
      <c r="O6" s="33"/>
      <c r="P6" s="33"/>
    </row>
    <row r="7" spans="1:17" s="1" customFormat="1" ht="20" customHeight="1">
      <c r="A7" s="1" t="s">
        <v>23</v>
      </c>
      <c r="F7" s="56" t="s">
        <v>19</v>
      </c>
      <c r="G7" s="58"/>
      <c r="H7" s="30"/>
      <c r="I7" s="30"/>
      <c r="J7" s="30"/>
      <c r="K7" s="30"/>
      <c r="L7" s="30"/>
      <c r="M7" s="30"/>
      <c r="N7" s="30"/>
      <c r="O7" s="30"/>
      <c r="P7" s="30"/>
      <c r="Q7" s="31"/>
    </row>
    <row r="8" spans="1:17" s="1" customFormat="1" ht="20" customHeight="1">
      <c r="F8" s="59" t="s">
        <v>10</v>
      </c>
      <c r="G8" s="58"/>
      <c r="H8" s="30"/>
      <c r="I8" s="30"/>
      <c r="J8" s="30"/>
      <c r="K8" s="30"/>
      <c r="L8" s="30"/>
      <c r="M8" s="30"/>
      <c r="N8" s="30"/>
      <c r="O8" s="30"/>
      <c r="P8" s="30"/>
      <c r="Q8" s="31"/>
    </row>
    <row r="9" spans="1:17" s="1" customFormat="1" ht="20" customHeight="1">
      <c r="A9" s="40" t="s">
        <v>38</v>
      </c>
      <c r="B9" s="20"/>
      <c r="C9" s="20"/>
      <c r="F9" s="60" t="s">
        <v>11</v>
      </c>
      <c r="G9" s="56"/>
      <c r="M9" s="33"/>
      <c r="N9" s="33"/>
      <c r="O9" s="33"/>
      <c r="P9" s="33"/>
    </row>
    <row r="10" spans="1:17" ht="15" customHeight="1">
      <c r="G10" s="61"/>
      <c r="H10" s="3"/>
      <c r="I10" s="3"/>
      <c r="J10" s="3"/>
      <c r="K10" s="3"/>
      <c r="L10" s="3"/>
      <c r="M10" s="34"/>
      <c r="N10" s="34"/>
      <c r="O10" s="34"/>
      <c r="P10" s="34"/>
      <c r="Q10" s="3"/>
    </row>
    <row r="11" spans="1:17" ht="15" customHeight="1">
      <c r="A11" s="15" t="s">
        <v>12</v>
      </c>
      <c r="B11" s="123" t="s">
        <v>112</v>
      </c>
      <c r="C11" s="123"/>
      <c r="F11" s="124"/>
      <c r="G11" s="127"/>
      <c r="H11" s="130"/>
      <c r="I11" s="3"/>
      <c r="J11" s="3"/>
      <c r="K11" s="3"/>
      <c r="L11" s="3"/>
      <c r="M11" s="34"/>
      <c r="N11" s="34"/>
      <c r="O11" s="34"/>
      <c r="P11" s="34"/>
      <c r="Q11" s="3"/>
    </row>
    <row r="12" spans="1:17" ht="15" customHeight="1">
      <c r="A12" s="15" t="s">
        <v>13</v>
      </c>
      <c r="B12" s="123" t="s">
        <v>111</v>
      </c>
      <c r="C12" s="123"/>
      <c r="F12" s="125"/>
      <c r="G12" s="128"/>
      <c r="H12" s="131"/>
      <c r="I12" s="3"/>
      <c r="J12" s="3"/>
      <c r="K12" s="3"/>
      <c r="L12" s="3"/>
      <c r="M12" s="34"/>
      <c r="N12" s="34"/>
      <c r="O12" s="34"/>
      <c r="P12" s="34"/>
      <c r="Q12" s="3"/>
    </row>
    <row r="13" spans="1:17" ht="15" customHeight="1">
      <c r="A13" s="15" t="s">
        <v>14</v>
      </c>
      <c r="B13" s="123" t="s">
        <v>26</v>
      </c>
      <c r="C13" s="123"/>
      <c r="F13" s="126"/>
      <c r="G13" s="129"/>
      <c r="H13" s="132"/>
      <c r="I13" s="3"/>
      <c r="J13" s="3"/>
      <c r="K13" s="3"/>
      <c r="L13" s="3"/>
      <c r="M13" s="3"/>
      <c r="N13" s="35"/>
      <c r="O13" s="35"/>
      <c r="P13" s="35"/>
      <c r="Q13" s="35"/>
    </row>
    <row r="14" spans="1:17" ht="15" customHeight="1" thickBot="1"/>
    <row r="15" spans="1:17" ht="39" customHeight="1" thickBot="1">
      <c r="A15" s="36" t="s">
        <v>27</v>
      </c>
      <c r="B15" s="146">
        <f>H239</f>
        <v>21983850</v>
      </c>
      <c r="C15" s="147"/>
      <c r="G15" s="61"/>
      <c r="H15" s="3"/>
      <c r="I15" s="3"/>
      <c r="J15" s="3"/>
      <c r="K15" s="3"/>
      <c r="L15" s="3"/>
      <c r="M15" s="3"/>
      <c r="N15" s="35"/>
      <c r="O15" s="35"/>
      <c r="P15" s="35"/>
      <c r="Q15" s="35"/>
    </row>
    <row r="16" spans="1:17" ht="9" customHeight="1">
      <c r="A16" s="2"/>
      <c r="B16" s="2"/>
      <c r="C16" s="2"/>
      <c r="D16" s="2"/>
      <c r="E16" s="2"/>
      <c r="F16" s="62"/>
      <c r="G16" s="21"/>
      <c r="H16" s="22"/>
    </row>
    <row r="17" spans="1:8" s="19" customFormat="1" ht="16.5" customHeight="1">
      <c r="A17" s="37" t="s">
        <v>28</v>
      </c>
      <c r="B17" s="37" t="s">
        <v>29</v>
      </c>
      <c r="C17" s="37" t="s">
        <v>30</v>
      </c>
      <c r="D17" s="41" t="s">
        <v>31</v>
      </c>
      <c r="E17" s="41" t="s">
        <v>32</v>
      </c>
      <c r="F17" s="63" t="s">
        <v>33</v>
      </c>
      <c r="G17" s="45" t="s">
        <v>34</v>
      </c>
      <c r="H17" s="38" t="s">
        <v>35</v>
      </c>
    </row>
    <row r="18" spans="1:8" ht="13.5" customHeight="1">
      <c r="A18" s="12"/>
      <c r="B18" s="136" t="s">
        <v>39</v>
      </c>
      <c r="C18" s="119" t="s">
        <v>40</v>
      </c>
      <c r="D18" s="43" t="s">
        <v>0</v>
      </c>
      <c r="E18" s="48" t="s">
        <v>3</v>
      </c>
      <c r="F18" s="46">
        <v>17200</v>
      </c>
      <c r="G18" s="47">
        <v>3</v>
      </c>
      <c r="H18" s="44">
        <f>F18*G18</f>
        <v>51600</v>
      </c>
    </row>
    <row r="19" spans="1:8" ht="13.5" customHeight="1">
      <c r="A19" s="5"/>
      <c r="B19" s="137"/>
      <c r="C19" s="120"/>
      <c r="D19" s="43" t="s">
        <v>4</v>
      </c>
      <c r="E19" s="48" t="s">
        <v>3</v>
      </c>
      <c r="F19" s="46">
        <v>17200</v>
      </c>
      <c r="G19" s="47">
        <v>11</v>
      </c>
      <c r="H19" s="44">
        <f t="shared" ref="H19:H26" si="0">F19*G19</f>
        <v>189200</v>
      </c>
    </row>
    <row r="20" spans="1:8" ht="13.5" customHeight="1">
      <c r="A20" s="5"/>
      <c r="B20" s="137"/>
      <c r="C20" s="120"/>
      <c r="D20" s="43" t="s">
        <v>2</v>
      </c>
      <c r="E20" s="48" t="s">
        <v>3</v>
      </c>
      <c r="F20" s="46">
        <v>17200</v>
      </c>
      <c r="G20" s="47">
        <v>11</v>
      </c>
      <c r="H20" s="44">
        <f t="shared" si="0"/>
        <v>189200</v>
      </c>
    </row>
    <row r="21" spans="1:8" ht="13.5" customHeight="1">
      <c r="A21" s="5"/>
      <c r="B21" s="137"/>
      <c r="C21" s="120"/>
      <c r="D21" s="43" t="s">
        <v>0</v>
      </c>
      <c r="E21" s="48" t="s">
        <v>41</v>
      </c>
      <c r="F21" s="46">
        <v>17200</v>
      </c>
      <c r="G21" s="47">
        <v>4</v>
      </c>
      <c r="H21" s="44">
        <f t="shared" si="0"/>
        <v>68800</v>
      </c>
    </row>
    <row r="22" spans="1:8" ht="13.5" customHeight="1">
      <c r="A22" s="5"/>
      <c r="B22" s="137"/>
      <c r="C22" s="120"/>
      <c r="D22" s="43" t="s">
        <v>15</v>
      </c>
      <c r="E22" s="48" t="s">
        <v>41</v>
      </c>
      <c r="F22" s="46">
        <v>17200</v>
      </c>
      <c r="G22" s="47">
        <v>8</v>
      </c>
      <c r="H22" s="44">
        <f t="shared" si="0"/>
        <v>137600</v>
      </c>
    </row>
    <row r="23" spans="1:8" ht="13.5" customHeight="1">
      <c r="A23" s="5"/>
      <c r="B23" s="137"/>
      <c r="C23" s="120"/>
      <c r="D23" s="43" t="s">
        <v>2</v>
      </c>
      <c r="E23" s="48" t="s">
        <v>41</v>
      </c>
      <c r="F23" s="46">
        <v>17200</v>
      </c>
      <c r="G23" s="47">
        <v>8</v>
      </c>
      <c r="H23" s="44">
        <f t="shared" si="0"/>
        <v>137600</v>
      </c>
    </row>
    <row r="24" spans="1:8" ht="13.5" customHeight="1">
      <c r="A24" s="5"/>
      <c r="B24" s="137"/>
      <c r="C24" s="120"/>
      <c r="D24" s="43" t="s">
        <v>0</v>
      </c>
      <c r="E24" s="48" t="s">
        <v>43</v>
      </c>
      <c r="F24" s="46">
        <v>17200</v>
      </c>
      <c r="G24" s="47">
        <v>1</v>
      </c>
      <c r="H24" s="44">
        <f t="shared" si="0"/>
        <v>17200</v>
      </c>
    </row>
    <row r="25" spans="1:8" ht="13.5" customHeight="1">
      <c r="A25" s="5"/>
      <c r="B25" s="137"/>
      <c r="C25" s="120"/>
      <c r="D25" s="43" t="s">
        <v>4</v>
      </c>
      <c r="E25" s="48" t="s">
        <v>43</v>
      </c>
      <c r="F25" s="46">
        <v>17200</v>
      </c>
      <c r="G25" s="47">
        <v>2</v>
      </c>
      <c r="H25" s="44">
        <f t="shared" si="0"/>
        <v>34400</v>
      </c>
    </row>
    <row r="26" spans="1:8" ht="13.5" customHeight="1">
      <c r="A26" s="7"/>
      <c r="B26" s="138"/>
      <c r="C26" s="121"/>
      <c r="D26" s="43" t="s">
        <v>2</v>
      </c>
      <c r="E26" s="48" t="s">
        <v>43</v>
      </c>
      <c r="F26" s="46">
        <v>17200</v>
      </c>
      <c r="G26" s="47">
        <v>2</v>
      </c>
      <c r="H26" s="44">
        <f t="shared" si="0"/>
        <v>34400</v>
      </c>
    </row>
    <row r="27" spans="1:8" ht="13.5" customHeight="1">
      <c r="A27" s="8"/>
      <c r="B27" s="9"/>
      <c r="C27" s="10"/>
      <c r="D27" s="50"/>
      <c r="E27" s="50"/>
      <c r="F27" s="64"/>
      <c r="G27" s="51">
        <f>SUM(G18:G26)</f>
        <v>50</v>
      </c>
      <c r="H27" s="52">
        <f>SUM(H18:H26)</f>
        <v>860000</v>
      </c>
    </row>
    <row r="28" spans="1:8" ht="13.5" customHeight="1">
      <c r="A28" s="133"/>
      <c r="B28" s="136" t="s">
        <v>44</v>
      </c>
      <c r="C28" s="110" t="s">
        <v>45</v>
      </c>
      <c r="D28" s="43" t="s">
        <v>0</v>
      </c>
      <c r="E28" s="43" t="s">
        <v>3</v>
      </c>
      <c r="F28" s="46">
        <v>17000</v>
      </c>
      <c r="G28" s="47">
        <v>2</v>
      </c>
      <c r="H28" s="54">
        <f>F28*G28</f>
        <v>34000</v>
      </c>
    </row>
    <row r="29" spans="1:8" ht="13.5" customHeight="1">
      <c r="A29" s="134"/>
      <c r="B29" s="137"/>
      <c r="C29" s="111"/>
      <c r="D29" s="43" t="s">
        <v>42</v>
      </c>
      <c r="E29" s="43" t="s">
        <v>3</v>
      </c>
      <c r="F29" s="46">
        <v>17000</v>
      </c>
      <c r="G29" s="47">
        <v>6</v>
      </c>
      <c r="H29" s="54">
        <f t="shared" ref="H29:H36" si="1">F29*G29</f>
        <v>102000</v>
      </c>
    </row>
    <row r="30" spans="1:8" ht="13.5" customHeight="1">
      <c r="A30" s="134"/>
      <c r="B30" s="137"/>
      <c r="C30" s="111"/>
      <c r="D30" s="43" t="s">
        <v>2</v>
      </c>
      <c r="E30" s="43" t="s">
        <v>3</v>
      </c>
      <c r="F30" s="46">
        <v>17000</v>
      </c>
      <c r="G30" s="47">
        <v>8</v>
      </c>
      <c r="H30" s="54">
        <f t="shared" si="1"/>
        <v>136000</v>
      </c>
    </row>
    <row r="31" spans="1:8" ht="13.5" customHeight="1">
      <c r="A31" s="134"/>
      <c r="B31" s="137"/>
      <c r="C31" s="111"/>
      <c r="D31" s="43" t="s">
        <v>0</v>
      </c>
      <c r="E31" s="43" t="s">
        <v>41</v>
      </c>
      <c r="F31" s="46">
        <v>17000</v>
      </c>
      <c r="G31" s="47">
        <v>1</v>
      </c>
      <c r="H31" s="54">
        <f t="shared" si="1"/>
        <v>17000</v>
      </c>
    </row>
    <row r="32" spans="1:8" ht="13.5" customHeight="1">
      <c r="A32" s="134"/>
      <c r="B32" s="137"/>
      <c r="C32" s="111"/>
      <c r="D32" s="43" t="s">
        <v>4</v>
      </c>
      <c r="E32" s="43" t="s">
        <v>41</v>
      </c>
      <c r="F32" s="46">
        <v>17000</v>
      </c>
      <c r="G32" s="47">
        <v>4</v>
      </c>
      <c r="H32" s="54">
        <f t="shared" si="1"/>
        <v>68000</v>
      </c>
    </row>
    <row r="33" spans="1:8" ht="13.5" customHeight="1">
      <c r="A33" s="134"/>
      <c r="B33" s="137"/>
      <c r="C33" s="111"/>
      <c r="D33" s="43" t="s">
        <v>2</v>
      </c>
      <c r="E33" s="43" t="s">
        <v>41</v>
      </c>
      <c r="F33" s="46">
        <v>17000</v>
      </c>
      <c r="G33" s="47">
        <v>6</v>
      </c>
      <c r="H33" s="54">
        <f t="shared" si="1"/>
        <v>102000</v>
      </c>
    </row>
    <row r="34" spans="1:8" ht="13.5" customHeight="1">
      <c r="A34" s="134"/>
      <c r="B34" s="137"/>
      <c r="C34" s="111"/>
      <c r="D34" s="43" t="s">
        <v>0</v>
      </c>
      <c r="E34" s="43" t="s">
        <v>46</v>
      </c>
      <c r="F34" s="46">
        <v>17000</v>
      </c>
      <c r="G34" s="47">
        <v>1</v>
      </c>
      <c r="H34" s="54">
        <f t="shared" si="1"/>
        <v>17000</v>
      </c>
    </row>
    <row r="35" spans="1:8" ht="13.5" customHeight="1">
      <c r="A35" s="134"/>
      <c r="B35" s="137"/>
      <c r="C35" s="111"/>
      <c r="D35" s="43" t="s">
        <v>4</v>
      </c>
      <c r="E35" s="43" t="s">
        <v>46</v>
      </c>
      <c r="F35" s="46">
        <v>17000</v>
      </c>
      <c r="G35" s="47">
        <v>1</v>
      </c>
      <c r="H35" s="54">
        <f t="shared" si="1"/>
        <v>17000</v>
      </c>
    </row>
    <row r="36" spans="1:8" ht="13.5" customHeight="1">
      <c r="A36" s="135"/>
      <c r="B36" s="138"/>
      <c r="C36" s="112"/>
      <c r="D36" s="43" t="s">
        <v>2</v>
      </c>
      <c r="E36" s="43" t="s">
        <v>46</v>
      </c>
      <c r="F36" s="46">
        <v>17000</v>
      </c>
      <c r="G36" s="47">
        <v>1</v>
      </c>
      <c r="H36" s="54">
        <f t="shared" si="1"/>
        <v>17000</v>
      </c>
    </row>
    <row r="37" spans="1:8" ht="13.5" customHeight="1">
      <c r="A37" s="71"/>
      <c r="B37" s="72"/>
      <c r="C37" s="10"/>
      <c r="D37" s="50"/>
      <c r="E37" s="50"/>
      <c r="F37" s="64"/>
      <c r="G37" s="51">
        <f t="shared" ref="G37:H37" si="2">SUM(G28:G36)</f>
        <v>30</v>
      </c>
      <c r="H37" s="75">
        <f t="shared" si="2"/>
        <v>510000</v>
      </c>
    </row>
    <row r="38" spans="1:8" ht="13.5" customHeight="1">
      <c r="A38" s="139"/>
      <c r="B38" s="148" t="s">
        <v>47</v>
      </c>
      <c r="C38" s="113" t="s">
        <v>48</v>
      </c>
      <c r="D38" s="43" t="s">
        <v>0</v>
      </c>
      <c r="E38" s="43" t="s">
        <v>49</v>
      </c>
      <c r="F38" s="46">
        <v>16100</v>
      </c>
      <c r="G38" s="47">
        <v>2</v>
      </c>
      <c r="H38" s="54">
        <f t="shared" ref="H38:H55" si="3">F38*G38</f>
        <v>32200</v>
      </c>
    </row>
    <row r="39" spans="1:8" ht="13.5" customHeight="1">
      <c r="A39" s="140"/>
      <c r="B39" s="148"/>
      <c r="C39" s="114"/>
      <c r="D39" s="43" t="s">
        <v>15</v>
      </c>
      <c r="E39" s="43" t="s">
        <v>49</v>
      </c>
      <c r="F39" s="46">
        <v>16100</v>
      </c>
      <c r="G39" s="47">
        <v>7</v>
      </c>
      <c r="H39" s="54">
        <f t="shared" si="3"/>
        <v>112700</v>
      </c>
    </row>
    <row r="40" spans="1:8" ht="13.5" customHeight="1">
      <c r="A40" s="140"/>
      <c r="B40" s="148"/>
      <c r="C40" s="114"/>
      <c r="D40" s="43" t="s">
        <v>2</v>
      </c>
      <c r="E40" s="43" t="s">
        <v>49</v>
      </c>
      <c r="F40" s="46">
        <v>16100</v>
      </c>
      <c r="G40" s="47">
        <v>6</v>
      </c>
      <c r="H40" s="54">
        <f t="shared" si="3"/>
        <v>96600</v>
      </c>
    </row>
    <row r="41" spans="1:8" ht="13.5" customHeight="1">
      <c r="A41" s="140"/>
      <c r="B41" s="148"/>
      <c r="C41" s="114"/>
      <c r="D41" s="43" t="s">
        <v>0</v>
      </c>
      <c r="E41" s="43" t="s">
        <v>50</v>
      </c>
      <c r="F41" s="46">
        <v>16100</v>
      </c>
      <c r="G41" s="47">
        <v>2</v>
      </c>
      <c r="H41" s="54">
        <f t="shared" si="3"/>
        <v>32200</v>
      </c>
    </row>
    <row r="42" spans="1:8" ht="13.5" customHeight="1">
      <c r="A42" s="140"/>
      <c r="B42" s="148"/>
      <c r="C42" s="114"/>
      <c r="D42" s="43" t="s">
        <v>4</v>
      </c>
      <c r="E42" s="43" t="s">
        <v>50</v>
      </c>
      <c r="F42" s="46">
        <v>16100</v>
      </c>
      <c r="G42" s="47">
        <v>7</v>
      </c>
      <c r="H42" s="54">
        <f>F42*G42</f>
        <v>112700</v>
      </c>
    </row>
    <row r="43" spans="1:8" ht="13.5" customHeight="1">
      <c r="A43" s="140"/>
      <c r="B43" s="148"/>
      <c r="C43" s="114"/>
      <c r="D43" s="43" t="s">
        <v>2</v>
      </c>
      <c r="E43" s="43" t="s">
        <v>50</v>
      </c>
      <c r="F43" s="46">
        <v>16100</v>
      </c>
      <c r="G43" s="47">
        <v>6</v>
      </c>
      <c r="H43" s="54">
        <f t="shared" si="3"/>
        <v>96600</v>
      </c>
    </row>
    <row r="44" spans="1:8" ht="13.5" customHeight="1">
      <c r="A44" s="140"/>
      <c r="B44" s="148"/>
      <c r="C44" s="114"/>
      <c r="D44" s="43" t="s">
        <v>0</v>
      </c>
      <c r="E44" s="43" t="s">
        <v>51</v>
      </c>
      <c r="F44" s="46">
        <v>16100</v>
      </c>
      <c r="G44" s="47">
        <v>1</v>
      </c>
      <c r="H44" s="54">
        <f t="shared" si="3"/>
        <v>16100</v>
      </c>
    </row>
    <row r="45" spans="1:8" ht="13.5" customHeight="1">
      <c r="A45" s="140"/>
      <c r="B45" s="148"/>
      <c r="C45" s="114"/>
      <c r="D45" s="43" t="s">
        <v>4</v>
      </c>
      <c r="E45" s="43" t="s">
        <v>51</v>
      </c>
      <c r="F45" s="46">
        <v>16100</v>
      </c>
      <c r="G45" s="47">
        <v>2</v>
      </c>
      <c r="H45" s="54">
        <f t="shared" si="3"/>
        <v>32200</v>
      </c>
    </row>
    <row r="46" spans="1:8" ht="13.5" customHeight="1">
      <c r="A46" s="140"/>
      <c r="B46" s="148"/>
      <c r="C46" s="114"/>
      <c r="D46" s="43" t="s">
        <v>2</v>
      </c>
      <c r="E46" s="43" t="s">
        <v>51</v>
      </c>
      <c r="F46" s="46">
        <v>16100</v>
      </c>
      <c r="G46" s="47">
        <v>2</v>
      </c>
      <c r="H46" s="54">
        <f t="shared" si="3"/>
        <v>32200</v>
      </c>
    </row>
    <row r="47" spans="1:8" ht="13.5" customHeight="1">
      <c r="A47" s="140"/>
      <c r="B47" s="148"/>
      <c r="C47" s="114"/>
      <c r="D47" s="43" t="s">
        <v>0</v>
      </c>
      <c r="E47" s="43" t="s">
        <v>52</v>
      </c>
      <c r="F47" s="46">
        <v>16100</v>
      </c>
      <c r="G47" s="47">
        <v>1</v>
      </c>
      <c r="H47" s="54">
        <f t="shared" si="3"/>
        <v>16100</v>
      </c>
    </row>
    <row r="48" spans="1:8" ht="13.5" customHeight="1">
      <c r="A48" s="140"/>
      <c r="B48" s="148"/>
      <c r="C48" s="114"/>
      <c r="D48" s="43" t="s">
        <v>4</v>
      </c>
      <c r="E48" s="43" t="s">
        <v>52</v>
      </c>
      <c r="F48" s="46">
        <v>16100</v>
      </c>
      <c r="G48" s="47">
        <v>2</v>
      </c>
      <c r="H48" s="54">
        <f t="shared" si="3"/>
        <v>32200</v>
      </c>
    </row>
    <row r="49" spans="1:8" ht="13.5" customHeight="1">
      <c r="A49" s="140"/>
      <c r="B49" s="148"/>
      <c r="C49" s="114"/>
      <c r="D49" s="43" t="s">
        <v>2</v>
      </c>
      <c r="E49" s="43" t="s">
        <v>52</v>
      </c>
      <c r="F49" s="46">
        <v>16100</v>
      </c>
      <c r="G49" s="47">
        <v>2</v>
      </c>
      <c r="H49" s="54">
        <f t="shared" si="3"/>
        <v>32200</v>
      </c>
    </row>
    <row r="50" spans="1:8" ht="13.5" customHeight="1">
      <c r="A50" s="140"/>
      <c r="B50" s="148"/>
      <c r="C50" s="114"/>
      <c r="D50" s="43" t="s">
        <v>0</v>
      </c>
      <c r="E50" s="43" t="s">
        <v>53</v>
      </c>
      <c r="F50" s="46">
        <v>16100</v>
      </c>
      <c r="G50" s="47">
        <v>1</v>
      </c>
      <c r="H50" s="54">
        <f t="shared" si="3"/>
        <v>16100</v>
      </c>
    </row>
    <row r="51" spans="1:8" ht="13.5" customHeight="1">
      <c r="A51" s="140"/>
      <c r="B51" s="148"/>
      <c r="C51" s="114"/>
      <c r="D51" s="43" t="s">
        <v>4</v>
      </c>
      <c r="E51" s="43" t="s">
        <v>53</v>
      </c>
      <c r="F51" s="46">
        <v>16100</v>
      </c>
      <c r="G51" s="47">
        <v>5</v>
      </c>
      <c r="H51" s="54">
        <f t="shared" si="3"/>
        <v>80500</v>
      </c>
    </row>
    <row r="52" spans="1:8" ht="13.5" customHeight="1">
      <c r="A52" s="140"/>
      <c r="B52" s="148"/>
      <c r="C52" s="114"/>
      <c r="D52" s="43" t="s">
        <v>2</v>
      </c>
      <c r="E52" s="43" t="s">
        <v>53</v>
      </c>
      <c r="F52" s="46">
        <v>16100</v>
      </c>
      <c r="G52" s="47">
        <v>4</v>
      </c>
      <c r="H52" s="54">
        <f t="shared" si="3"/>
        <v>64400</v>
      </c>
    </row>
    <row r="53" spans="1:8" ht="13.5" customHeight="1">
      <c r="A53" s="140"/>
      <c r="B53" s="148"/>
      <c r="C53" s="114"/>
      <c r="D53" s="43" t="s">
        <v>0</v>
      </c>
      <c r="E53" s="43" t="s">
        <v>54</v>
      </c>
      <c r="F53" s="46">
        <v>16100</v>
      </c>
      <c r="G53" s="47">
        <v>1</v>
      </c>
      <c r="H53" s="54">
        <f t="shared" si="3"/>
        <v>16100</v>
      </c>
    </row>
    <row r="54" spans="1:8" ht="13.5" customHeight="1">
      <c r="A54" s="140"/>
      <c r="B54" s="148"/>
      <c r="C54" s="114"/>
      <c r="D54" s="43" t="s">
        <v>4</v>
      </c>
      <c r="E54" s="43" t="s">
        <v>54</v>
      </c>
      <c r="F54" s="46">
        <v>16100</v>
      </c>
      <c r="G54" s="47">
        <v>5</v>
      </c>
      <c r="H54" s="54">
        <f t="shared" si="3"/>
        <v>80500</v>
      </c>
    </row>
    <row r="55" spans="1:8" ht="13.5" customHeight="1">
      <c r="A55" s="141"/>
      <c r="B55" s="148"/>
      <c r="C55" s="115"/>
      <c r="D55" s="43" t="s">
        <v>2</v>
      </c>
      <c r="E55" s="43" t="s">
        <v>54</v>
      </c>
      <c r="F55" s="46">
        <v>16100</v>
      </c>
      <c r="G55" s="47">
        <v>4</v>
      </c>
      <c r="H55" s="54">
        <f t="shared" si="3"/>
        <v>64400</v>
      </c>
    </row>
    <row r="56" spans="1:8" ht="13.5" customHeight="1">
      <c r="A56" s="93"/>
      <c r="B56" s="94"/>
      <c r="C56" s="10"/>
      <c r="D56" s="50"/>
      <c r="E56" s="50"/>
      <c r="F56" s="64"/>
      <c r="G56" s="51">
        <f t="shared" ref="G56:H56" si="4">SUM(G38:G55)</f>
        <v>60</v>
      </c>
      <c r="H56" s="75">
        <f t="shared" si="4"/>
        <v>966000</v>
      </c>
    </row>
    <row r="57" spans="1:8" ht="13.5" customHeight="1">
      <c r="A57" s="139"/>
      <c r="B57" s="148" t="s">
        <v>55</v>
      </c>
      <c r="C57" s="116" t="s">
        <v>56</v>
      </c>
      <c r="D57" s="43" t="s">
        <v>0</v>
      </c>
      <c r="E57" s="43" t="s">
        <v>3</v>
      </c>
      <c r="F57" s="46">
        <v>8500</v>
      </c>
      <c r="G57" s="47">
        <v>2</v>
      </c>
      <c r="H57" s="54">
        <f t="shared" ref="H57:H65" si="5">F57*G57</f>
        <v>17000</v>
      </c>
    </row>
    <row r="58" spans="1:8" ht="13.5" customHeight="1">
      <c r="A58" s="140"/>
      <c r="B58" s="148"/>
      <c r="C58" s="117"/>
      <c r="D58" s="43" t="s">
        <v>4</v>
      </c>
      <c r="E58" s="43" t="s">
        <v>3</v>
      </c>
      <c r="F58" s="46">
        <v>8500</v>
      </c>
      <c r="G58" s="47">
        <v>12</v>
      </c>
      <c r="H58" s="54">
        <f t="shared" si="5"/>
        <v>102000</v>
      </c>
    </row>
    <row r="59" spans="1:8" ht="13.5" customHeight="1">
      <c r="A59" s="140"/>
      <c r="B59" s="148"/>
      <c r="C59" s="117"/>
      <c r="D59" s="43" t="s">
        <v>2</v>
      </c>
      <c r="E59" s="43" t="s">
        <v>3</v>
      </c>
      <c r="F59" s="46">
        <v>8500</v>
      </c>
      <c r="G59" s="47">
        <v>16</v>
      </c>
      <c r="H59" s="54">
        <f t="shared" si="5"/>
        <v>136000</v>
      </c>
    </row>
    <row r="60" spans="1:8" ht="13.5" customHeight="1">
      <c r="A60" s="140"/>
      <c r="B60" s="148"/>
      <c r="C60" s="117"/>
      <c r="D60" s="43" t="s">
        <v>0</v>
      </c>
      <c r="E60" s="43" t="s">
        <v>9</v>
      </c>
      <c r="F60" s="46">
        <v>8500</v>
      </c>
      <c r="G60" s="47">
        <v>2</v>
      </c>
      <c r="H60" s="54">
        <f t="shared" si="5"/>
        <v>17000</v>
      </c>
    </row>
    <row r="61" spans="1:8" ht="13.5" customHeight="1">
      <c r="A61" s="140"/>
      <c r="B61" s="148"/>
      <c r="C61" s="117"/>
      <c r="D61" s="43" t="s">
        <v>4</v>
      </c>
      <c r="E61" s="43" t="s">
        <v>9</v>
      </c>
      <c r="F61" s="46">
        <v>8500</v>
      </c>
      <c r="G61" s="47">
        <v>4</v>
      </c>
      <c r="H61" s="54">
        <f t="shared" si="5"/>
        <v>34000</v>
      </c>
    </row>
    <row r="62" spans="1:8" ht="13.5" customHeight="1">
      <c r="A62" s="140"/>
      <c r="B62" s="148"/>
      <c r="C62" s="117"/>
      <c r="D62" s="43" t="s">
        <v>2</v>
      </c>
      <c r="E62" s="43" t="s">
        <v>9</v>
      </c>
      <c r="F62" s="46">
        <v>8500</v>
      </c>
      <c r="G62" s="47">
        <v>4</v>
      </c>
      <c r="H62" s="54">
        <f t="shared" si="5"/>
        <v>34000</v>
      </c>
    </row>
    <row r="63" spans="1:8" ht="13.5" customHeight="1">
      <c r="A63" s="140"/>
      <c r="B63" s="148"/>
      <c r="C63" s="117"/>
      <c r="D63" s="43" t="s">
        <v>0</v>
      </c>
      <c r="E63" s="43" t="s">
        <v>5</v>
      </c>
      <c r="F63" s="46">
        <v>8500</v>
      </c>
      <c r="G63" s="47">
        <v>2</v>
      </c>
      <c r="H63" s="54">
        <f t="shared" si="5"/>
        <v>17000</v>
      </c>
    </row>
    <row r="64" spans="1:8" ht="13.5" customHeight="1">
      <c r="A64" s="140"/>
      <c r="B64" s="148"/>
      <c r="C64" s="117"/>
      <c r="D64" s="43" t="s">
        <v>42</v>
      </c>
      <c r="E64" s="43" t="s">
        <v>5</v>
      </c>
      <c r="F64" s="46">
        <v>8500</v>
      </c>
      <c r="G64" s="47">
        <v>12</v>
      </c>
      <c r="H64" s="54">
        <f t="shared" si="5"/>
        <v>102000</v>
      </c>
    </row>
    <row r="65" spans="1:8" ht="13.5" customHeight="1">
      <c r="A65" s="141"/>
      <c r="B65" s="148"/>
      <c r="C65" s="118"/>
      <c r="D65" s="43" t="s">
        <v>2</v>
      </c>
      <c r="E65" s="43" t="s">
        <v>5</v>
      </c>
      <c r="F65" s="46">
        <v>8500</v>
      </c>
      <c r="G65" s="47">
        <v>16</v>
      </c>
      <c r="H65" s="54">
        <f t="shared" si="5"/>
        <v>136000</v>
      </c>
    </row>
    <row r="66" spans="1:8" ht="13.5" customHeight="1">
      <c r="A66" s="73"/>
      <c r="B66" s="74"/>
      <c r="C66" s="10"/>
      <c r="D66" s="50"/>
      <c r="E66" s="50"/>
      <c r="F66" s="64"/>
      <c r="G66" s="51">
        <f t="shared" ref="G66:H66" si="6">SUM(G57:G65)</f>
        <v>70</v>
      </c>
      <c r="H66" s="75">
        <f t="shared" si="6"/>
        <v>595000</v>
      </c>
    </row>
    <row r="67" spans="1:8" ht="13.5" customHeight="1">
      <c r="A67" s="70"/>
      <c r="B67" s="142" t="s">
        <v>57</v>
      </c>
      <c r="C67" s="119" t="s">
        <v>58</v>
      </c>
      <c r="D67" s="48" t="s">
        <v>0</v>
      </c>
      <c r="E67" s="43" t="s">
        <v>9</v>
      </c>
      <c r="F67" s="46">
        <v>9900</v>
      </c>
      <c r="G67" s="47">
        <v>6</v>
      </c>
      <c r="H67" s="54">
        <f>F67*G67</f>
        <v>59400</v>
      </c>
    </row>
    <row r="68" spans="1:8" ht="13.5" customHeight="1">
      <c r="A68"/>
      <c r="B68" s="143"/>
      <c r="C68" s="120"/>
      <c r="D68" s="48" t="s">
        <v>42</v>
      </c>
      <c r="E68" s="43" t="s">
        <v>9</v>
      </c>
      <c r="F68" s="46">
        <v>9900</v>
      </c>
      <c r="G68" s="47">
        <v>12</v>
      </c>
      <c r="H68" s="54">
        <f t="shared" ref="H68:H75" si="7">F68*G68</f>
        <v>118800</v>
      </c>
    </row>
    <row r="69" spans="1:8" ht="13.5" customHeight="1">
      <c r="A69"/>
      <c r="B69" s="143"/>
      <c r="C69" s="120"/>
      <c r="D69" s="48" t="s">
        <v>2</v>
      </c>
      <c r="E69" s="43" t="s">
        <v>9</v>
      </c>
      <c r="F69" s="46">
        <v>9900</v>
      </c>
      <c r="G69" s="47">
        <v>12</v>
      </c>
      <c r="H69" s="54">
        <f t="shared" si="7"/>
        <v>118800</v>
      </c>
    </row>
    <row r="70" spans="1:8" ht="13.5" customHeight="1">
      <c r="A70"/>
      <c r="B70" s="143"/>
      <c r="C70" s="120"/>
      <c r="D70" s="48" t="s">
        <v>0</v>
      </c>
      <c r="E70" s="43" t="s">
        <v>59</v>
      </c>
      <c r="F70" s="46">
        <v>9900</v>
      </c>
      <c r="G70" s="47">
        <v>6</v>
      </c>
      <c r="H70" s="54">
        <f t="shared" si="7"/>
        <v>59400</v>
      </c>
    </row>
    <row r="71" spans="1:8" ht="13.5" customHeight="1">
      <c r="A71"/>
      <c r="B71" s="143"/>
      <c r="C71" s="120"/>
      <c r="D71" s="48" t="s">
        <v>4</v>
      </c>
      <c r="E71" s="43" t="s">
        <v>59</v>
      </c>
      <c r="F71" s="46">
        <v>9900</v>
      </c>
      <c r="G71" s="47">
        <v>12</v>
      </c>
      <c r="H71" s="54">
        <f t="shared" si="7"/>
        <v>118800</v>
      </c>
    </row>
    <row r="72" spans="1:8" ht="13.5" customHeight="1">
      <c r="A72"/>
      <c r="B72" s="143"/>
      <c r="C72" s="120"/>
      <c r="D72" s="48" t="s">
        <v>2</v>
      </c>
      <c r="E72" s="43" t="s">
        <v>59</v>
      </c>
      <c r="F72" s="46">
        <v>9900</v>
      </c>
      <c r="G72" s="47">
        <v>12</v>
      </c>
      <c r="H72" s="54">
        <f t="shared" si="7"/>
        <v>118800</v>
      </c>
    </row>
    <row r="73" spans="1:8" ht="13.5" customHeight="1">
      <c r="A73"/>
      <c r="B73" s="143"/>
      <c r="C73" s="120"/>
      <c r="D73" s="48" t="s">
        <v>0</v>
      </c>
      <c r="E73" s="43" t="s">
        <v>5</v>
      </c>
      <c r="F73" s="46">
        <v>9900</v>
      </c>
      <c r="G73" s="47">
        <v>2</v>
      </c>
      <c r="H73" s="54">
        <f t="shared" si="7"/>
        <v>19800</v>
      </c>
    </row>
    <row r="74" spans="1:8" ht="13.5" customHeight="1">
      <c r="A74"/>
      <c r="B74" s="143"/>
      <c r="C74" s="120"/>
      <c r="D74" s="48" t="s">
        <v>4</v>
      </c>
      <c r="E74" s="43" t="s">
        <v>5</v>
      </c>
      <c r="F74" s="46">
        <v>9900</v>
      </c>
      <c r="G74" s="47">
        <v>4</v>
      </c>
      <c r="H74" s="54">
        <f t="shared" si="7"/>
        <v>39600</v>
      </c>
    </row>
    <row r="75" spans="1:8" ht="13.5" customHeight="1">
      <c r="A75"/>
      <c r="B75" s="144"/>
      <c r="C75" s="121"/>
      <c r="D75" s="48" t="s">
        <v>2</v>
      </c>
      <c r="E75" s="43" t="s">
        <v>5</v>
      </c>
      <c r="F75" s="46">
        <v>9900</v>
      </c>
      <c r="G75" s="47">
        <v>4</v>
      </c>
      <c r="H75" s="54">
        <f t="shared" si="7"/>
        <v>39600</v>
      </c>
    </row>
    <row r="76" spans="1:8" ht="13.5" customHeight="1">
      <c r="A76" s="8"/>
      <c r="B76" s="9"/>
      <c r="C76" s="10"/>
      <c r="D76" s="50"/>
      <c r="E76" s="50"/>
      <c r="F76" s="64"/>
      <c r="G76" s="51">
        <f t="shared" ref="G76:H76" si="8">SUM(G67:G75)</f>
        <v>70</v>
      </c>
      <c r="H76" s="53">
        <f t="shared" si="8"/>
        <v>693000</v>
      </c>
    </row>
    <row r="77" spans="1:8" ht="13.5" customHeight="1">
      <c r="A77" s="70"/>
      <c r="B77" s="142" t="s">
        <v>60</v>
      </c>
      <c r="C77" s="119" t="s">
        <v>61</v>
      </c>
      <c r="D77" s="43" t="s">
        <v>0</v>
      </c>
      <c r="E77" s="79" t="s">
        <v>62</v>
      </c>
      <c r="F77" s="83">
        <v>12700</v>
      </c>
      <c r="G77" s="47">
        <v>6</v>
      </c>
      <c r="H77" s="44">
        <f>F77*G77</f>
        <v>76200</v>
      </c>
    </row>
    <row r="78" spans="1:8" ht="13.5" customHeight="1">
      <c r="A78"/>
      <c r="B78" s="143"/>
      <c r="C78" s="120"/>
      <c r="D78" s="43" t="s">
        <v>4</v>
      </c>
      <c r="E78" s="79" t="s">
        <v>62</v>
      </c>
      <c r="F78" s="83">
        <v>12700</v>
      </c>
      <c r="G78" s="47">
        <v>12</v>
      </c>
      <c r="H78" s="44">
        <f t="shared" ref="H78:H82" si="9">F78*G78</f>
        <v>152400</v>
      </c>
    </row>
    <row r="79" spans="1:8" ht="13.5" customHeight="1">
      <c r="A79"/>
      <c r="B79" s="143"/>
      <c r="C79" s="120"/>
      <c r="D79" s="43" t="s">
        <v>2</v>
      </c>
      <c r="E79" s="79" t="s">
        <v>62</v>
      </c>
      <c r="F79" s="83">
        <v>12700</v>
      </c>
      <c r="G79" s="47">
        <v>12</v>
      </c>
      <c r="H79" s="44">
        <f t="shared" si="9"/>
        <v>152400</v>
      </c>
    </row>
    <row r="80" spans="1:8" ht="13.5" customHeight="1">
      <c r="A80"/>
      <c r="B80" s="143"/>
      <c r="C80" s="120"/>
      <c r="D80" s="43" t="s">
        <v>0</v>
      </c>
      <c r="E80" s="79" t="s">
        <v>63</v>
      </c>
      <c r="F80" s="83">
        <v>12700</v>
      </c>
      <c r="G80" s="47">
        <v>4</v>
      </c>
      <c r="H80" s="44">
        <f t="shared" si="9"/>
        <v>50800</v>
      </c>
    </row>
    <row r="81" spans="1:8" ht="13.5" customHeight="1">
      <c r="A81"/>
      <c r="B81" s="143"/>
      <c r="C81" s="120"/>
      <c r="D81" s="43" t="s">
        <v>4</v>
      </c>
      <c r="E81" s="79" t="s">
        <v>63</v>
      </c>
      <c r="F81" s="83">
        <v>12700</v>
      </c>
      <c r="G81" s="47">
        <v>8</v>
      </c>
      <c r="H81" s="44">
        <f t="shared" si="9"/>
        <v>101600</v>
      </c>
    </row>
    <row r="82" spans="1:8" ht="13.5" customHeight="1">
      <c r="A82"/>
      <c r="B82" s="143"/>
      <c r="C82" s="120"/>
      <c r="D82" s="43" t="s">
        <v>2</v>
      </c>
      <c r="E82" s="79" t="s">
        <v>63</v>
      </c>
      <c r="F82" s="83">
        <v>12700</v>
      </c>
      <c r="G82" s="47">
        <v>8</v>
      </c>
      <c r="H82" s="44">
        <f t="shared" si="9"/>
        <v>101600</v>
      </c>
    </row>
    <row r="83" spans="1:8" ht="13.5" customHeight="1">
      <c r="A83"/>
      <c r="B83" s="143"/>
      <c r="C83" s="149"/>
      <c r="D83" s="77"/>
      <c r="E83" s="80"/>
      <c r="F83" s="76"/>
      <c r="G83" s="84"/>
      <c r="H83" s="44"/>
    </row>
    <row r="84" spans="1:8" ht="13.5" customHeight="1">
      <c r="A84"/>
      <c r="B84" s="143"/>
      <c r="C84" s="149"/>
      <c r="D84" s="4"/>
      <c r="E84" s="6"/>
      <c r="F84" s="81"/>
      <c r="G84" s="82"/>
      <c r="H84" s="24"/>
    </row>
    <row r="85" spans="1:8" ht="13.5" customHeight="1">
      <c r="A85"/>
      <c r="B85" s="144"/>
      <c r="C85" s="150"/>
      <c r="D85" s="4"/>
      <c r="E85" s="6"/>
      <c r="F85" s="66"/>
      <c r="G85" s="25"/>
      <c r="H85" s="24"/>
    </row>
    <row r="86" spans="1:8" ht="13.5" customHeight="1">
      <c r="A86" s="8"/>
      <c r="B86" s="72"/>
      <c r="C86" s="86"/>
      <c r="D86" s="87"/>
      <c r="E86" s="87"/>
      <c r="F86" s="67"/>
      <c r="G86" s="90">
        <f>SUM(G77:G85)</f>
        <v>50</v>
      </c>
      <c r="H86" s="26">
        <f>SUM(H77:H85)</f>
        <v>635000</v>
      </c>
    </row>
    <row r="87" spans="1:8" ht="13.5" customHeight="1">
      <c r="A87" s="70"/>
      <c r="B87" s="148" t="s">
        <v>64</v>
      </c>
      <c r="C87" s="151" t="s">
        <v>65</v>
      </c>
      <c r="D87" s="43" t="s">
        <v>0</v>
      </c>
      <c r="E87" s="43" t="s">
        <v>66</v>
      </c>
      <c r="F87" s="46">
        <v>9800</v>
      </c>
      <c r="G87" s="47">
        <v>1</v>
      </c>
      <c r="H87" s="44">
        <f>F87*G87</f>
        <v>9800</v>
      </c>
    </row>
    <row r="88" spans="1:8" ht="13.5" customHeight="1">
      <c r="A88"/>
      <c r="B88" s="148"/>
      <c r="C88" s="151"/>
      <c r="D88" s="43" t="s">
        <v>42</v>
      </c>
      <c r="E88" s="43" t="s">
        <v>66</v>
      </c>
      <c r="F88" s="46">
        <v>9800</v>
      </c>
      <c r="G88" s="47">
        <v>9</v>
      </c>
      <c r="H88" s="44">
        <f t="shared" ref="H88:H98" si="10">F88*G88</f>
        <v>88200</v>
      </c>
    </row>
    <row r="89" spans="1:8" ht="13.5" customHeight="1">
      <c r="A89"/>
      <c r="B89" s="148"/>
      <c r="C89" s="151"/>
      <c r="D89" s="43" t="s">
        <v>2</v>
      </c>
      <c r="E89" s="43" t="s">
        <v>66</v>
      </c>
      <c r="F89" s="46">
        <v>9800</v>
      </c>
      <c r="G89" s="47">
        <v>9</v>
      </c>
      <c r="H89" s="44">
        <f t="shared" si="10"/>
        <v>88200</v>
      </c>
    </row>
    <row r="90" spans="1:8" ht="13.5" customHeight="1">
      <c r="A90"/>
      <c r="B90" s="148"/>
      <c r="C90" s="151"/>
      <c r="D90" s="43" t="s">
        <v>6</v>
      </c>
      <c r="E90" s="43" t="s">
        <v>66</v>
      </c>
      <c r="F90" s="46">
        <v>9800</v>
      </c>
      <c r="G90" s="47">
        <v>6</v>
      </c>
      <c r="H90" s="44">
        <f t="shared" si="10"/>
        <v>58800</v>
      </c>
    </row>
    <row r="91" spans="1:8" ht="13.5" customHeight="1">
      <c r="A91"/>
      <c r="B91" s="148"/>
      <c r="C91" s="151"/>
      <c r="D91" s="43" t="s">
        <v>0</v>
      </c>
      <c r="E91" s="89" t="s">
        <v>67</v>
      </c>
      <c r="F91" s="46">
        <v>9800</v>
      </c>
      <c r="G91" s="47">
        <v>1</v>
      </c>
      <c r="H91" s="44">
        <f t="shared" si="10"/>
        <v>9800</v>
      </c>
    </row>
    <row r="92" spans="1:8" ht="13.5" customHeight="1">
      <c r="A92"/>
      <c r="B92" s="148"/>
      <c r="C92" s="151"/>
      <c r="D92" s="43" t="s">
        <v>4</v>
      </c>
      <c r="E92" s="89" t="s">
        <v>67</v>
      </c>
      <c r="F92" s="46">
        <v>9800</v>
      </c>
      <c r="G92" s="47">
        <v>4</v>
      </c>
      <c r="H92" s="44">
        <f t="shared" si="10"/>
        <v>39200</v>
      </c>
    </row>
    <row r="93" spans="1:8" ht="13.5" customHeight="1">
      <c r="A93"/>
      <c r="B93" s="148"/>
      <c r="C93" s="151"/>
      <c r="D93" s="43" t="s">
        <v>2</v>
      </c>
      <c r="E93" s="89" t="s">
        <v>67</v>
      </c>
      <c r="F93" s="46">
        <v>9800</v>
      </c>
      <c r="G93" s="47">
        <v>6</v>
      </c>
      <c r="H93" s="44">
        <f t="shared" si="10"/>
        <v>58800</v>
      </c>
    </row>
    <row r="94" spans="1:8" ht="13.5" customHeight="1">
      <c r="A94"/>
      <c r="B94" s="148"/>
      <c r="C94" s="151"/>
      <c r="D94" s="43" t="s">
        <v>6</v>
      </c>
      <c r="E94" s="89" t="s">
        <v>67</v>
      </c>
      <c r="F94" s="46">
        <v>9800</v>
      </c>
      <c r="G94" s="47">
        <v>4</v>
      </c>
      <c r="H94" s="44">
        <f t="shared" si="10"/>
        <v>39200</v>
      </c>
    </row>
    <row r="95" spans="1:8" ht="13.5" customHeight="1">
      <c r="A95"/>
      <c r="B95" s="148"/>
      <c r="C95" s="151"/>
      <c r="D95" s="43" t="s">
        <v>0</v>
      </c>
      <c r="E95" s="89" t="s">
        <v>68</v>
      </c>
      <c r="F95" s="46">
        <v>9800</v>
      </c>
      <c r="G95" s="47">
        <v>1</v>
      </c>
      <c r="H95" s="44">
        <f t="shared" si="10"/>
        <v>9800</v>
      </c>
    </row>
    <row r="96" spans="1:8" ht="13.5" customHeight="1">
      <c r="A96"/>
      <c r="B96" s="148"/>
      <c r="C96" s="151"/>
      <c r="D96" s="43" t="s">
        <v>4</v>
      </c>
      <c r="E96" s="89" t="s">
        <v>68</v>
      </c>
      <c r="F96" s="46">
        <v>9800</v>
      </c>
      <c r="G96" s="47">
        <v>11</v>
      </c>
      <c r="H96" s="44">
        <f t="shared" si="10"/>
        <v>107800</v>
      </c>
    </row>
    <row r="97" spans="1:8" ht="13.5" customHeight="1">
      <c r="A97"/>
      <c r="B97" s="148"/>
      <c r="C97" s="151"/>
      <c r="D97" s="43" t="s">
        <v>2</v>
      </c>
      <c r="E97" s="89" t="s">
        <v>68</v>
      </c>
      <c r="F97" s="46">
        <v>9800</v>
      </c>
      <c r="G97" s="47">
        <v>11</v>
      </c>
      <c r="H97" s="44">
        <f t="shared" si="10"/>
        <v>107800</v>
      </c>
    </row>
    <row r="98" spans="1:8" ht="13.5" customHeight="1">
      <c r="A98"/>
      <c r="B98" s="148"/>
      <c r="C98" s="151"/>
      <c r="D98" s="43" t="s">
        <v>6</v>
      </c>
      <c r="E98" s="89" t="s">
        <v>68</v>
      </c>
      <c r="F98" s="46">
        <v>9800</v>
      </c>
      <c r="G98" s="47">
        <v>7</v>
      </c>
      <c r="H98" s="44">
        <f t="shared" si="10"/>
        <v>68600</v>
      </c>
    </row>
    <row r="99" spans="1:8" ht="13.5" customHeight="1">
      <c r="A99" s="8"/>
      <c r="B99" s="91"/>
      <c r="C99" s="85"/>
      <c r="D99" s="88"/>
      <c r="E99" s="50"/>
      <c r="F99" s="64"/>
      <c r="G99" s="51">
        <f>SUM(G87:G98)</f>
        <v>70</v>
      </c>
      <c r="H99" s="26">
        <f>SUM(H87:H98)</f>
        <v>686000</v>
      </c>
    </row>
    <row r="100" spans="1:8" ht="13.5" customHeight="1">
      <c r="A100" s="70"/>
      <c r="B100" s="148" t="s">
        <v>69</v>
      </c>
      <c r="C100" s="152" t="s">
        <v>70</v>
      </c>
      <c r="D100" s="43" t="s">
        <v>0</v>
      </c>
      <c r="E100" s="43" t="s">
        <v>41</v>
      </c>
      <c r="F100" s="46">
        <v>9800</v>
      </c>
      <c r="G100" s="47">
        <v>1</v>
      </c>
      <c r="H100" s="44">
        <f>F100*G100</f>
        <v>9800</v>
      </c>
    </row>
    <row r="101" spans="1:8" ht="13.5" customHeight="1">
      <c r="A101"/>
      <c r="B101" s="148"/>
      <c r="C101" s="152"/>
      <c r="D101" s="43" t="s">
        <v>42</v>
      </c>
      <c r="E101" s="43" t="s">
        <v>41</v>
      </c>
      <c r="F101" s="46">
        <v>9800</v>
      </c>
      <c r="G101" s="47">
        <v>2</v>
      </c>
      <c r="H101" s="44">
        <f t="shared" ref="H101:H111" si="11">F101*G101</f>
        <v>19600</v>
      </c>
    </row>
    <row r="102" spans="1:8" ht="13.5" customHeight="1">
      <c r="A102"/>
      <c r="B102" s="148"/>
      <c r="C102" s="152"/>
      <c r="D102" s="43" t="s">
        <v>2</v>
      </c>
      <c r="E102" s="43" t="s">
        <v>41</v>
      </c>
      <c r="F102" s="46">
        <v>9800</v>
      </c>
      <c r="G102" s="47">
        <v>4</v>
      </c>
      <c r="H102" s="44">
        <f t="shared" si="11"/>
        <v>39200</v>
      </c>
    </row>
    <row r="103" spans="1:8" ht="13.5" customHeight="1">
      <c r="A103"/>
      <c r="B103" s="148"/>
      <c r="C103" s="152"/>
      <c r="D103" s="43" t="s">
        <v>6</v>
      </c>
      <c r="E103" s="43" t="s">
        <v>41</v>
      </c>
      <c r="F103" s="46">
        <v>9800</v>
      </c>
      <c r="G103" s="47">
        <v>3</v>
      </c>
      <c r="H103" s="44">
        <f t="shared" si="11"/>
        <v>29400</v>
      </c>
    </row>
    <row r="104" spans="1:8" ht="13.5" customHeight="1">
      <c r="A104"/>
      <c r="B104" s="148"/>
      <c r="C104" s="152"/>
      <c r="D104" s="43" t="s">
        <v>0</v>
      </c>
      <c r="E104" s="43" t="s">
        <v>46</v>
      </c>
      <c r="F104" s="46">
        <v>9800</v>
      </c>
      <c r="G104" s="47">
        <v>2</v>
      </c>
      <c r="H104" s="44">
        <f t="shared" si="11"/>
        <v>19600</v>
      </c>
    </row>
    <row r="105" spans="1:8" ht="13.5" customHeight="1">
      <c r="A105"/>
      <c r="B105" s="148"/>
      <c r="C105" s="152"/>
      <c r="D105" s="43" t="s">
        <v>4</v>
      </c>
      <c r="E105" s="43" t="s">
        <v>46</v>
      </c>
      <c r="F105" s="46">
        <v>9800</v>
      </c>
      <c r="G105" s="47">
        <v>4</v>
      </c>
      <c r="H105" s="44">
        <f t="shared" si="11"/>
        <v>39200</v>
      </c>
    </row>
    <row r="106" spans="1:8" ht="13.5" customHeight="1">
      <c r="A106"/>
      <c r="B106" s="148"/>
      <c r="C106" s="152"/>
      <c r="D106" s="43" t="s">
        <v>2</v>
      </c>
      <c r="E106" s="43" t="s">
        <v>46</v>
      </c>
      <c r="F106" s="46">
        <v>9800</v>
      </c>
      <c r="G106" s="47">
        <v>8</v>
      </c>
      <c r="H106" s="44">
        <f t="shared" si="11"/>
        <v>78400</v>
      </c>
    </row>
    <row r="107" spans="1:8" ht="13.5" customHeight="1">
      <c r="A107"/>
      <c r="B107" s="148"/>
      <c r="C107" s="152"/>
      <c r="D107" s="43" t="s">
        <v>6</v>
      </c>
      <c r="E107" s="43" t="s">
        <v>46</v>
      </c>
      <c r="F107" s="46">
        <v>9800</v>
      </c>
      <c r="G107" s="47">
        <v>6</v>
      </c>
      <c r="H107" s="44">
        <f t="shared" si="11"/>
        <v>58800</v>
      </c>
    </row>
    <row r="108" spans="1:8" ht="13.5" customHeight="1">
      <c r="A108"/>
      <c r="B108" s="148"/>
      <c r="C108" s="152"/>
      <c r="D108" s="43" t="s">
        <v>0</v>
      </c>
      <c r="E108" s="89" t="s">
        <v>3</v>
      </c>
      <c r="F108" s="46">
        <v>9800</v>
      </c>
      <c r="G108" s="47">
        <v>5</v>
      </c>
      <c r="H108" s="44">
        <f t="shared" si="11"/>
        <v>49000</v>
      </c>
    </row>
    <row r="109" spans="1:8" ht="13.5" customHeight="1">
      <c r="A109"/>
      <c r="B109" s="148"/>
      <c r="C109" s="152"/>
      <c r="D109" s="43" t="s">
        <v>4</v>
      </c>
      <c r="E109" s="89" t="s">
        <v>3</v>
      </c>
      <c r="F109" s="46">
        <v>9800</v>
      </c>
      <c r="G109" s="47">
        <v>10</v>
      </c>
      <c r="H109" s="44">
        <f t="shared" si="11"/>
        <v>98000</v>
      </c>
    </row>
    <row r="110" spans="1:8" ht="13.5" customHeight="1">
      <c r="A110"/>
      <c r="B110" s="148"/>
      <c r="C110" s="152"/>
      <c r="D110" s="43" t="s">
        <v>2</v>
      </c>
      <c r="E110" s="89" t="s">
        <v>3</v>
      </c>
      <c r="F110" s="46">
        <v>9800</v>
      </c>
      <c r="G110" s="47">
        <v>15</v>
      </c>
      <c r="H110" s="44">
        <f t="shared" si="11"/>
        <v>147000</v>
      </c>
    </row>
    <row r="111" spans="1:8" ht="13.5" customHeight="1">
      <c r="A111"/>
      <c r="B111" s="148"/>
      <c r="C111" s="152"/>
      <c r="D111" s="43" t="s">
        <v>6</v>
      </c>
      <c r="E111" s="89" t="s">
        <v>3</v>
      </c>
      <c r="F111" s="46">
        <v>9800</v>
      </c>
      <c r="G111" s="47">
        <v>10</v>
      </c>
      <c r="H111" s="44">
        <f t="shared" si="11"/>
        <v>98000</v>
      </c>
    </row>
    <row r="112" spans="1:8" ht="13.5" customHeight="1">
      <c r="A112" s="8"/>
      <c r="B112" s="74"/>
      <c r="C112" s="92"/>
      <c r="D112" s="50"/>
      <c r="E112" s="50"/>
      <c r="F112" s="64"/>
      <c r="G112" s="51">
        <f t="shared" ref="G112:H112" si="12">SUM(G100:G111)</f>
        <v>70</v>
      </c>
      <c r="H112" s="26">
        <f t="shared" si="12"/>
        <v>686000</v>
      </c>
    </row>
    <row r="113" spans="1:8" ht="13.5" customHeight="1">
      <c r="A113" s="70"/>
      <c r="B113" s="142" t="s">
        <v>71</v>
      </c>
      <c r="C113" s="119" t="s">
        <v>72</v>
      </c>
      <c r="D113" s="43" t="s">
        <v>0</v>
      </c>
      <c r="E113" s="79" t="s">
        <v>3</v>
      </c>
      <c r="F113" s="46">
        <v>6600</v>
      </c>
      <c r="G113" s="47">
        <v>13</v>
      </c>
      <c r="H113" s="44">
        <f>F113*G113</f>
        <v>85800</v>
      </c>
    </row>
    <row r="114" spans="1:8" ht="13.5" customHeight="1">
      <c r="A114" s="70"/>
      <c r="B114" s="143"/>
      <c r="C114" s="120"/>
      <c r="D114" s="43" t="s">
        <v>4</v>
      </c>
      <c r="E114" s="79" t="s">
        <v>3</v>
      </c>
      <c r="F114" s="46">
        <v>6600</v>
      </c>
      <c r="G114" s="47">
        <v>7</v>
      </c>
      <c r="H114" s="44">
        <f t="shared" ref="H114:H118" si="13">F114*G114</f>
        <v>46200</v>
      </c>
    </row>
    <row r="115" spans="1:8" ht="13.5" customHeight="1">
      <c r="A115"/>
      <c r="B115" s="143"/>
      <c r="C115" s="120"/>
      <c r="D115" s="43" t="s">
        <v>0</v>
      </c>
      <c r="E115" s="79" t="s">
        <v>5</v>
      </c>
      <c r="F115" s="46">
        <v>6600</v>
      </c>
      <c r="G115" s="47">
        <v>13</v>
      </c>
      <c r="H115" s="44">
        <f t="shared" si="13"/>
        <v>85800</v>
      </c>
    </row>
    <row r="116" spans="1:8" ht="13.5" customHeight="1">
      <c r="A116"/>
      <c r="B116" s="143"/>
      <c r="C116" s="120"/>
      <c r="D116" s="43" t="s">
        <v>15</v>
      </c>
      <c r="E116" s="79" t="s">
        <v>5</v>
      </c>
      <c r="F116" s="46">
        <v>6600</v>
      </c>
      <c r="G116" s="47">
        <v>7</v>
      </c>
      <c r="H116" s="44">
        <f t="shared" si="13"/>
        <v>46200</v>
      </c>
    </row>
    <row r="117" spans="1:8" ht="13.5" customHeight="1">
      <c r="A117"/>
      <c r="B117" s="143"/>
      <c r="C117" s="120"/>
      <c r="D117" s="43" t="s">
        <v>0</v>
      </c>
      <c r="E117" s="79" t="s">
        <v>73</v>
      </c>
      <c r="F117" s="46">
        <v>6600</v>
      </c>
      <c r="G117" s="47">
        <v>7</v>
      </c>
      <c r="H117" s="44">
        <f t="shared" si="13"/>
        <v>46200</v>
      </c>
    </row>
    <row r="118" spans="1:8" ht="13.5" customHeight="1">
      <c r="A118"/>
      <c r="B118" s="143"/>
      <c r="C118" s="120"/>
      <c r="D118" s="43" t="s">
        <v>4</v>
      </c>
      <c r="E118" s="79" t="s">
        <v>73</v>
      </c>
      <c r="F118" s="46">
        <v>6600</v>
      </c>
      <c r="G118" s="47">
        <v>4</v>
      </c>
      <c r="H118" s="44">
        <f t="shared" si="13"/>
        <v>26400</v>
      </c>
    </row>
    <row r="119" spans="1:8" ht="13.5" customHeight="1">
      <c r="A119"/>
      <c r="B119" s="143"/>
      <c r="C119" s="120"/>
      <c r="D119" s="78"/>
      <c r="E119" s="80"/>
      <c r="F119" s="76"/>
      <c r="G119" s="84"/>
      <c r="H119" s="44"/>
    </row>
    <row r="120" spans="1:8" ht="13.5" customHeight="1">
      <c r="A120"/>
      <c r="B120" s="143"/>
      <c r="C120" s="120"/>
      <c r="D120" s="6"/>
      <c r="E120" s="6"/>
      <c r="F120" s="81"/>
      <c r="G120" s="82"/>
      <c r="H120" s="24"/>
    </row>
    <row r="121" spans="1:8" ht="13.5" customHeight="1">
      <c r="A121"/>
      <c r="B121" s="144"/>
      <c r="C121" s="121"/>
      <c r="D121" s="4"/>
      <c r="E121" s="6"/>
      <c r="F121" s="66"/>
      <c r="G121" s="25"/>
      <c r="H121" s="24"/>
    </row>
    <row r="122" spans="1:8" ht="13.5" customHeight="1">
      <c r="A122" s="85"/>
      <c r="B122" s="9"/>
      <c r="C122" s="10"/>
      <c r="D122" s="87"/>
      <c r="E122" s="87"/>
      <c r="F122" s="67"/>
      <c r="G122" s="90">
        <f t="shared" ref="G122:H122" si="14">SUM(G113:G121)</f>
        <v>51</v>
      </c>
      <c r="H122" s="52">
        <f t="shared" si="14"/>
        <v>336600</v>
      </c>
    </row>
    <row r="123" spans="1:8" ht="13.5" customHeight="1">
      <c r="A123" s="153"/>
      <c r="B123" s="142" t="s">
        <v>74</v>
      </c>
      <c r="C123" s="119" t="s">
        <v>75</v>
      </c>
      <c r="D123" s="43" t="s">
        <v>76</v>
      </c>
      <c r="E123" s="43" t="s">
        <v>77</v>
      </c>
      <c r="F123" s="46">
        <v>4100</v>
      </c>
      <c r="G123" s="47">
        <v>17</v>
      </c>
      <c r="H123" s="54">
        <f>F123*G123</f>
        <v>69700</v>
      </c>
    </row>
    <row r="124" spans="1:8" ht="13.5" customHeight="1">
      <c r="A124" s="153"/>
      <c r="B124" s="143"/>
      <c r="C124" s="120"/>
      <c r="D124" s="43" t="s">
        <v>76</v>
      </c>
      <c r="E124" s="43" t="s">
        <v>78</v>
      </c>
      <c r="F124" s="46">
        <v>4100</v>
      </c>
      <c r="G124" s="47">
        <v>12</v>
      </c>
      <c r="H124" s="54">
        <f t="shared" ref="H124:H132" si="15">F124*G124</f>
        <v>49200</v>
      </c>
    </row>
    <row r="125" spans="1:8" ht="13.5" customHeight="1">
      <c r="A125" s="153"/>
      <c r="B125" s="143"/>
      <c r="C125" s="120"/>
      <c r="D125" s="43" t="s">
        <v>76</v>
      </c>
      <c r="E125" s="43" t="s">
        <v>79</v>
      </c>
      <c r="F125" s="46">
        <v>4100</v>
      </c>
      <c r="G125" s="47">
        <v>11</v>
      </c>
      <c r="H125" s="54">
        <f t="shared" si="15"/>
        <v>45100</v>
      </c>
    </row>
    <row r="126" spans="1:8" ht="13.5" customHeight="1">
      <c r="A126" s="153"/>
      <c r="B126" s="143"/>
      <c r="C126" s="120"/>
      <c r="D126" s="43" t="s">
        <v>76</v>
      </c>
      <c r="E126" s="43" t="s">
        <v>80</v>
      </c>
      <c r="F126" s="46">
        <v>4100</v>
      </c>
      <c r="G126" s="47">
        <v>5</v>
      </c>
      <c r="H126" s="54">
        <f t="shared" si="15"/>
        <v>20500</v>
      </c>
    </row>
    <row r="127" spans="1:8" ht="13.5" customHeight="1">
      <c r="A127" s="153"/>
      <c r="B127" s="143"/>
      <c r="C127" s="120"/>
      <c r="D127" s="43" t="s">
        <v>76</v>
      </c>
      <c r="E127" s="43" t="s">
        <v>81</v>
      </c>
      <c r="F127" s="46">
        <v>4100</v>
      </c>
      <c r="G127" s="47">
        <v>5</v>
      </c>
      <c r="H127" s="54">
        <f t="shared" si="15"/>
        <v>20500</v>
      </c>
    </row>
    <row r="128" spans="1:8" ht="13.5" customHeight="1">
      <c r="A128" s="153"/>
      <c r="B128" s="143"/>
      <c r="C128" s="120"/>
      <c r="D128" s="43" t="s">
        <v>76</v>
      </c>
      <c r="E128" s="43" t="s">
        <v>113</v>
      </c>
      <c r="F128" s="46">
        <v>3000</v>
      </c>
      <c r="G128" s="47">
        <v>17</v>
      </c>
      <c r="H128" s="54">
        <f t="shared" si="15"/>
        <v>51000</v>
      </c>
    </row>
    <row r="129" spans="1:8" ht="13.5" customHeight="1">
      <c r="A129" s="153"/>
      <c r="B129" s="143"/>
      <c r="C129" s="120"/>
      <c r="D129" s="43" t="s">
        <v>76</v>
      </c>
      <c r="E129" s="43" t="s">
        <v>82</v>
      </c>
      <c r="F129" s="46">
        <v>3000</v>
      </c>
      <c r="G129" s="47">
        <v>12</v>
      </c>
      <c r="H129" s="54">
        <f t="shared" si="15"/>
        <v>36000</v>
      </c>
    </row>
    <row r="130" spans="1:8" ht="13.5" customHeight="1">
      <c r="A130" s="153"/>
      <c r="B130" s="143"/>
      <c r="C130" s="120"/>
      <c r="D130" s="43" t="s">
        <v>76</v>
      </c>
      <c r="E130" s="43" t="s">
        <v>83</v>
      </c>
      <c r="F130" s="46">
        <v>3000</v>
      </c>
      <c r="G130" s="47">
        <v>11</v>
      </c>
      <c r="H130" s="54">
        <f t="shared" si="15"/>
        <v>33000</v>
      </c>
    </row>
    <row r="131" spans="1:8" ht="13.5" customHeight="1">
      <c r="A131" s="153"/>
      <c r="B131" s="143"/>
      <c r="C131" s="120"/>
      <c r="D131" s="43" t="s">
        <v>76</v>
      </c>
      <c r="E131" s="43" t="s">
        <v>84</v>
      </c>
      <c r="F131" s="46">
        <v>3000</v>
      </c>
      <c r="G131" s="47">
        <v>5</v>
      </c>
      <c r="H131" s="54">
        <f t="shared" si="15"/>
        <v>15000</v>
      </c>
    </row>
    <row r="132" spans="1:8" ht="13.5" customHeight="1">
      <c r="A132" s="154"/>
      <c r="B132" s="144"/>
      <c r="C132" s="120"/>
      <c r="D132" s="43" t="s">
        <v>76</v>
      </c>
      <c r="E132" s="43" t="s">
        <v>85</v>
      </c>
      <c r="F132" s="46">
        <v>3000</v>
      </c>
      <c r="G132" s="47">
        <v>5</v>
      </c>
      <c r="H132" s="54">
        <f t="shared" si="15"/>
        <v>15000</v>
      </c>
    </row>
    <row r="133" spans="1:8" ht="13.5" customHeight="1">
      <c r="A133" s="8"/>
      <c r="B133" s="9"/>
      <c r="C133" s="85"/>
      <c r="D133" s="50"/>
      <c r="E133" s="50"/>
      <c r="F133" s="64"/>
      <c r="G133" s="95">
        <f t="shared" ref="G133:H133" si="16">SUM(G123:G132)</f>
        <v>100</v>
      </c>
      <c r="H133" s="75">
        <f t="shared" si="16"/>
        <v>355000</v>
      </c>
    </row>
    <row r="134" spans="1:8" ht="13.5" customHeight="1">
      <c r="A134" s="70"/>
      <c r="B134" s="142" t="s">
        <v>86</v>
      </c>
      <c r="C134" s="120" t="s">
        <v>87</v>
      </c>
      <c r="D134" s="43" t="s">
        <v>0</v>
      </c>
      <c r="E134" s="48" t="s">
        <v>88</v>
      </c>
      <c r="F134" s="46">
        <v>6400</v>
      </c>
      <c r="G134" s="47">
        <v>3</v>
      </c>
      <c r="H134" s="54">
        <f>F134*G134</f>
        <v>19200</v>
      </c>
    </row>
    <row r="135" spans="1:8" ht="13.5" customHeight="1">
      <c r="A135"/>
      <c r="B135" s="143"/>
      <c r="C135" s="120"/>
      <c r="D135" s="43" t="s">
        <v>42</v>
      </c>
      <c r="E135" s="48" t="s">
        <v>88</v>
      </c>
      <c r="F135" s="46">
        <v>6400</v>
      </c>
      <c r="G135" s="47">
        <v>9</v>
      </c>
      <c r="H135" s="54">
        <f t="shared" ref="H135:H142" si="17">F135*G135</f>
        <v>57600</v>
      </c>
    </row>
    <row r="136" spans="1:8" ht="13.5" customHeight="1">
      <c r="A136"/>
      <c r="B136" s="143"/>
      <c r="C136" s="120"/>
      <c r="D136" s="43" t="s">
        <v>2</v>
      </c>
      <c r="E136" s="48" t="s">
        <v>88</v>
      </c>
      <c r="F136" s="46">
        <v>6400</v>
      </c>
      <c r="G136" s="47">
        <v>13</v>
      </c>
      <c r="H136" s="54">
        <f t="shared" si="17"/>
        <v>83200</v>
      </c>
    </row>
    <row r="137" spans="1:8" ht="13.5" customHeight="1">
      <c r="A137"/>
      <c r="B137" s="143"/>
      <c r="C137" s="120"/>
      <c r="D137" s="43" t="s">
        <v>0</v>
      </c>
      <c r="E137" s="48" t="s">
        <v>89</v>
      </c>
      <c r="F137" s="46">
        <v>6400</v>
      </c>
      <c r="G137" s="47">
        <v>5</v>
      </c>
      <c r="H137" s="54">
        <f t="shared" si="17"/>
        <v>32000</v>
      </c>
    </row>
    <row r="138" spans="1:8" ht="13.5" customHeight="1">
      <c r="A138"/>
      <c r="B138" s="143"/>
      <c r="C138" s="120"/>
      <c r="D138" s="43" t="s">
        <v>4</v>
      </c>
      <c r="E138" s="48" t="s">
        <v>89</v>
      </c>
      <c r="F138" s="46">
        <v>6400</v>
      </c>
      <c r="G138" s="47">
        <v>15</v>
      </c>
      <c r="H138" s="54">
        <f t="shared" si="17"/>
        <v>96000</v>
      </c>
    </row>
    <row r="139" spans="1:8" ht="13.5" customHeight="1">
      <c r="A139"/>
      <c r="B139" s="143"/>
      <c r="C139" s="120"/>
      <c r="D139" s="43" t="s">
        <v>2</v>
      </c>
      <c r="E139" s="48" t="s">
        <v>89</v>
      </c>
      <c r="F139" s="46">
        <v>6400</v>
      </c>
      <c r="G139" s="47">
        <v>20</v>
      </c>
      <c r="H139" s="54">
        <f t="shared" si="17"/>
        <v>128000</v>
      </c>
    </row>
    <row r="140" spans="1:8" ht="13.5" customHeight="1">
      <c r="A140"/>
      <c r="B140" s="143"/>
      <c r="C140" s="120"/>
      <c r="D140" s="43" t="s">
        <v>0</v>
      </c>
      <c r="E140" s="48" t="s">
        <v>90</v>
      </c>
      <c r="F140" s="46">
        <v>6400</v>
      </c>
      <c r="G140" s="47">
        <v>1</v>
      </c>
      <c r="H140" s="54">
        <f t="shared" si="17"/>
        <v>6400</v>
      </c>
    </row>
    <row r="141" spans="1:8" ht="13.5" customHeight="1">
      <c r="A141"/>
      <c r="B141" s="143"/>
      <c r="C141" s="120"/>
      <c r="D141" s="43" t="s">
        <v>4</v>
      </c>
      <c r="E141" s="48" t="s">
        <v>90</v>
      </c>
      <c r="F141" s="46">
        <v>6400</v>
      </c>
      <c r="G141" s="47">
        <v>2</v>
      </c>
      <c r="H141" s="54">
        <f t="shared" si="17"/>
        <v>12800</v>
      </c>
    </row>
    <row r="142" spans="1:8" ht="13.5" customHeight="1">
      <c r="A142"/>
      <c r="B142" s="144"/>
      <c r="C142" s="121"/>
      <c r="D142" s="43" t="s">
        <v>2</v>
      </c>
      <c r="E142" s="48" t="s">
        <v>90</v>
      </c>
      <c r="F142" s="46">
        <v>6400</v>
      </c>
      <c r="G142" s="47">
        <v>2</v>
      </c>
      <c r="H142" s="54">
        <f t="shared" si="17"/>
        <v>12800</v>
      </c>
    </row>
    <row r="143" spans="1:8" ht="13.5" customHeight="1">
      <c r="A143" s="8"/>
      <c r="B143" s="9"/>
      <c r="C143" s="10"/>
      <c r="D143" s="50"/>
      <c r="E143" s="50"/>
      <c r="F143" s="64"/>
      <c r="G143" s="51">
        <f t="shared" ref="G143:H143" si="18">SUM(G134:G142)</f>
        <v>70</v>
      </c>
      <c r="H143" s="53">
        <f t="shared" si="18"/>
        <v>448000</v>
      </c>
    </row>
    <row r="144" spans="1:8" ht="13.5" customHeight="1">
      <c r="A144" s="70"/>
      <c r="B144" s="142" t="s">
        <v>91</v>
      </c>
      <c r="C144" s="155" t="s">
        <v>92</v>
      </c>
      <c r="D144" s="97" t="s">
        <v>4</v>
      </c>
      <c r="E144" s="48" t="s">
        <v>3</v>
      </c>
      <c r="F144" s="46">
        <v>3500</v>
      </c>
      <c r="G144" s="47">
        <v>15</v>
      </c>
      <c r="H144" s="44">
        <f>F144*G144</f>
        <v>52500</v>
      </c>
    </row>
    <row r="145" spans="1:8" ht="13.5" customHeight="1">
      <c r="A145"/>
      <c r="B145" s="143"/>
      <c r="C145" s="156"/>
      <c r="D145" s="97" t="s">
        <v>2</v>
      </c>
      <c r="E145" s="48" t="s">
        <v>3</v>
      </c>
      <c r="F145" s="46">
        <v>3500</v>
      </c>
      <c r="G145" s="47">
        <v>25</v>
      </c>
      <c r="H145" s="44">
        <f t="shared" ref="H145:H149" si="19">F145*G145</f>
        <v>87500</v>
      </c>
    </row>
    <row r="146" spans="1:8" ht="13.5" customHeight="1">
      <c r="A146"/>
      <c r="B146" s="143"/>
      <c r="C146" s="156"/>
      <c r="D146" s="97" t="s">
        <v>6</v>
      </c>
      <c r="E146" s="48" t="s">
        <v>3</v>
      </c>
      <c r="F146" s="46">
        <v>3500</v>
      </c>
      <c r="G146" s="47">
        <v>10</v>
      </c>
      <c r="H146" s="44">
        <f t="shared" si="19"/>
        <v>35000</v>
      </c>
    </row>
    <row r="147" spans="1:8" ht="13.5" customHeight="1">
      <c r="A147"/>
      <c r="B147" s="143"/>
      <c r="C147" s="156"/>
      <c r="D147" s="97" t="s">
        <v>4</v>
      </c>
      <c r="E147" s="48" t="s">
        <v>7</v>
      </c>
      <c r="F147" s="46">
        <v>3500</v>
      </c>
      <c r="G147" s="47">
        <v>15</v>
      </c>
      <c r="H147" s="44">
        <f t="shared" si="19"/>
        <v>52500</v>
      </c>
    </row>
    <row r="148" spans="1:8" ht="13.5" customHeight="1">
      <c r="A148"/>
      <c r="B148" s="143"/>
      <c r="C148" s="156"/>
      <c r="D148" s="97" t="s">
        <v>2</v>
      </c>
      <c r="E148" s="48" t="s">
        <v>7</v>
      </c>
      <c r="F148" s="46">
        <v>3500</v>
      </c>
      <c r="G148" s="47">
        <v>25</v>
      </c>
      <c r="H148" s="44">
        <f t="shared" si="19"/>
        <v>87500</v>
      </c>
    </row>
    <row r="149" spans="1:8" ht="13.5" customHeight="1">
      <c r="A149"/>
      <c r="B149" s="143"/>
      <c r="C149" s="156"/>
      <c r="D149" s="97" t="s">
        <v>6</v>
      </c>
      <c r="E149" s="48" t="s">
        <v>7</v>
      </c>
      <c r="F149" s="46">
        <v>3500</v>
      </c>
      <c r="G149" s="47">
        <v>10</v>
      </c>
      <c r="H149" s="44">
        <f t="shared" si="19"/>
        <v>35000</v>
      </c>
    </row>
    <row r="150" spans="1:8" ht="13.5" customHeight="1">
      <c r="A150"/>
      <c r="B150" s="143"/>
      <c r="C150" s="157"/>
      <c r="D150" s="98"/>
      <c r="E150" s="100"/>
      <c r="F150" s="76"/>
      <c r="G150" s="84"/>
      <c r="H150" s="44"/>
    </row>
    <row r="151" spans="1:8" ht="13.5" customHeight="1">
      <c r="A151"/>
      <c r="B151" s="143"/>
      <c r="C151" s="157"/>
      <c r="D151" s="99"/>
      <c r="E151" s="100"/>
      <c r="F151" s="76"/>
      <c r="G151" s="84"/>
      <c r="H151" s="44"/>
    </row>
    <row r="152" spans="1:8" ht="13.5" customHeight="1">
      <c r="A152"/>
      <c r="B152" s="144"/>
      <c r="C152" s="158"/>
      <c r="D152" s="4"/>
      <c r="E152" s="96"/>
      <c r="F152" s="81"/>
      <c r="G152" s="82"/>
      <c r="H152" s="24"/>
    </row>
    <row r="153" spans="1:8" ht="13.5" customHeight="1">
      <c r="A153" s="8"/>
      <c r="B153" s="9"/>
      <c r="C153" s="10"/>
      <c r="D153" s="87"/>
      <c r="E153" s="87"/>
      <c r="F153" s="67"/>
      <c r="G153" s="90">
        <f t="shared" ref="G153:H153" si="20">SUM(G144:G152)</f>
        <v>100</v>
      </c>
      <c r="H153" s="26">
        <f t="shared" si="20"/>
        <v>350000</v>
      </c>
    </row>
    <row r="154" spans="1:8" ht="13.5" customHeight="1">
      <c r="A154" s="70"/>
      <c r="B154" s="142" t="s">
        <v>93</v>
      </c>
      <c r="C154" s="155" t="s">
        <v>94</v>
      </c>
      <c r="D154" s="43" t="s">
        <v>4</v>
      </c>
      <c r="E154" s="79" t="s">
        <v>3</v>
      </c>
      <c r="F154" s="46">
        <v>3500</v>
      </c>
      <c r="G154" s="47">
        <v>15</v>
      </c>
      <c r="H154" s="44">
        <f>F154*G154</f>
        <v>52500</v>
      </c>
    </row>
    <row r="155" spans="1:8" ht="13.5" customHeight="1">
      <c r="A155"/>
      <c r="B155" s="143"/>
      <c r="C155" s="156"/>
      <c r="D155" s="43" t="s">
        <v>2</v>
      </c>
      <c r="E155" s="79" t="s">
        <v>3</v>
      </c>
      <c r="F155" s="46">
        <v>3500</v>
      </c>
      <c r="G155" s="47">
        <v>25</v>
      </c>
      <c r="H155" s="44">
        <f t="shared" ref="H155:H159" si="21">F155*G155</f>
        <v>87500</v>
      </c>
    </row>
    <row r="156" spans="1:8" ht="13.5" customHeight="1">
      <c r="A156"/>
      <c r="B156" s="143"/>
      <c r="C156" s="156"/>
      <c r="D156" s="43" t="s">
        <v>6</v>
      </c>
      <c r="E156" s="79" t="s">
        <v>3</v>
      </c>
      <c r="F156" s="46">
        <v>3500</v>
      </c>
      <c r="G156" s="47">
        <v>10</v>
      </c>
      <c r="H156" s="44">
        <f t="shared" si="21"/>
        <v>35000</v>
      </c>
    </row>
    <row r="157" spans="1:8" ht="13.5" customHeight="1">
      <c r="A157"/>
      <c r="B157" s="143"/>
      <c r="C157" s="156"/>
      <c r="D157" s="43" t="s">
        <v>4</v>
      </c>
      <c r="E157" s="79" t="s">
        <v>7</v>
      </c>
      <c r="F157" s="46">
        <v>3500</v>
      </c>
      <c r="G157" s="47">
        <v>15</v>
      </c>
      <c r="H157" s="44">
        <f t="shared" si="21"/>
        <v>52500</v>
      </c>
    </row>
    <row r="158" spans="1:8" ht="13.5" customHeight="1">
      <c r="A158"/>
      <c r="B158" s="143"/>
      <c r="C158" s="156"/>
      <c r="D158" s="43" t="s">
        <v>2</v>
      </c>
      <c r="E158" s="79" t="s">
        <v>7</v>
      </c>
      <c r="F158" s="46">
        <v>3500</v>
      </c>
      <c r="G158" s="47">
        <v>25</v>
      </c>
      <c r="H158" s="44">
        <f t="shared" si="21"/>
        <v>87500</v>
      </c>
    </row>
    <row r="159" spans="1:8" ht="13.5" customHeight="1">
      <c r="A159"/>
      <c r="B159" s="143"/>
      <c r="C159" s="156"/>
      <c r="D159" s="43" t="s">
        <v>6</v>
      </c>
      <c r="E159" s="79" t="s">
        <v>7</v>
      </c>
      <c r="F159" s="46">
        <v>3500</v>
      </c>
      <c r="G159" s="47">
        <v>10</v>
      </c>
      <c r="H159" s="44">
        <f t="shared" si="21"/>
        <v>35000</v>
      </c>
    </row>
    <row r="160" spans="1:8" ht="13.5" customHeight="1">
      <c r="A160"/>
      <c r="B160" s="143"/>
      <c r="C160" s="157"/>
      <c r="D160" s="78"/>
      <c r="E160" s="80"/>
      <c r="F160" s="76"/>
      <c r="G160" s="84"/>
      <c r="H160" s="44"/>
    </row>
    <row r="161" spans="1:8" ht="13.5" customHeight="1">
      <c r="A161"/>
      <c r="B161" s="143"/>
      <c r="C161" s="157"/>
      <c r="D161" s="6"/>
      <c r="E161" s="6"/>
      <c r="F161" s="81"/>
      <c r="G161" s="82"/>
      <c r="H161" s="24"/>
    </row>
    <row r="162" spans="1:8" ht="13.5" customHeight="1">
      <c r="A162"/>
      <c r="B162" s="144"/>
      <c r="C162" s="158"/>
      <c r="D162" s="6"/>
      <c r="E162" s="6"/>
      <c r="F162" s="66"/>
      <c r="G162" s="25"/>
      <c r="H162" s="24"/>
    </row>
    <row r="163" spans="1:8" ht="13.5" customHeight="1">
      <c r="A163" s="8"/>
      <c r="B163" s="9"/>
      <c r="C163" s="10"/>
      <c r="D163" s="87"/>
      <c r="E163" s="87"/>
      <c r="F163" s="67"/>
      <c r="G163" s="90">
        <f t="shared" ref="G163:H163" si="22">SUM(G154:G162)</f>
        <v>100</v>
      </c>
      <c r="H163" s="26">
        <f t="shared" si="22"/>
        <v>350000</v>
      </c>
    </row>
    <row r="164" spans="1:8" ht="13.5" customHeight="1">
      <c r="A164" s="70"/>
      <c r="B164" s="142" t="s">
        <v>95</v>
      </c>
      <c r="C164" s="155" t="s">
        <v>96</v>
      </c>
      <c r="D164" s="43" t="s">
        <v>4</v>
      </c>
      <c r="E164" s="43" t="s">
        <v>9</v>
      </c>
      <c r="F164" s="46">
        <v>3080</v>
      </c>
      <c r="G164" s="47">
        <v>15</v>
      </c>
      <c r="H164" s="44">
        <f>F164*G164</f>
        <v>46200</v>
      </c>
    </row>
    <row r="165" spans="1:8" ht="13.5" customHeight="1">
      <c r="A165"/>
      <c r="B165" s="143"/>
      <c r="C165" s="156"/>
      <c r="D165" s="43" t="s">
        <v>16</v>
      </c>
      <c r="E165" s="43" t="s">
        <v>9</v>
      </c>
      <c r="F165" s="46">
        <v>3080</v>
      </c>
      <c r="G165" s="47">
        <v>10</v>
      </c>
      <c r="H165" s="44">
        <f t="shared" ref="H165:H166" si="23">F165*G165</f>
        <v>30800</v>
      </c>
    </row>
    <row r="166" spans="1:8" ht="13.5" customHeight="1">
      <c r="A166"/>
      <c r="B166" s="143"/>
      <c r="C166" s="156"/>
      <c r="D166" s="43" t="s">
        <v>6</v>
      </c>
      <c r="E166" s="43" t="s">
        <v>9</v>
      </c>
      <c r="F166" s="46">
        <v>3080</v>
      </c>
      <c r="G166" s="47">
        <v>5</v>
      </c>
      <c r="H166" s="44">
        <f t="shared" si="23"/>
        <v>15400</v>
      </c>
    </row>
    <row r="167" spans="1:8" ht="13.5" customHeight="1">
      <c r="A167"/>
      <c r="B167" s="143"/>
      <c r="C167" s="156"/>
      <c r="D167" s="77"/>
      <c r="E167" s="77"/>
      <c r="F167" s="81"/>
      <c r="G167" s="101"/>
      <c r="H167" s="24"/>
    </row>
    <row r="168" spans="1:8" ht="13.5" customHeight="1">
      <c r="A168"/>
      <c r="B168" s="143"/>
      <c r="C168" s="156"/>
      <c r="D168" s="4"/>
      <c r="E168" s="4"/>
      <c r="F168" s="66"/>
      <c r="G168" s="23"/>
      <c r="H168" s="24"/>
    </row>
    <row r="169" spans="1:8" ht="13.5" customHeight="1">
      <c r="A169"/>
      <c r="B169" s="143"/>
      <c r="C169" s="156"/>
      <c r="D169" s="4"/>
      <c r="E169" s="4"/>
      <c r="F169" s="66"/>
      <c r="G169" s="23"/>
      <c r="H169" s="24"/>
    </row>
    <row r="170" spans="1:8" ht="13.5" customHeight="1">
      <c r="A170"/>
      <c r="B170" s="143"/>
      <c r="C170" s="156"/>
      <c r="D170" s="4"/>
      <c r="E170" s="4"/>
      <c r="F170" s="66"/>
      <c r="G170" s="25"/>
      <c r="H170" s="24"/>
    </row>
    <row r="171" spans="1:8" ht="13.5" customHeight="1">
      <c r="A171"/>
      <c r="B171" s="143"/>
      <c r="C171" s="156"/>
      <c r="D171" s="4"/>
      <c r="E171" s="4"/>
      <c r="F171" s="66"/>
      <c r="G171" s="25"/>
      <c r="H171" s="24"/>
    </row>
    <row r="172" spans="1:8" ht="13.5" customHeight="1">
      <c r="A172"/>
      <c r="B172" s="144"/>
      <c r="C172" s="162"/>
      <c r="D172" s="4"/>
      <c r="E172" s="4"/>
      <c r="F172" s="66"/>
      <c r="G172" s="25"/>
      <c r="H172" s="24"/>
    </row>
    <row r="173" spans="1:8" ht="13.5" customHeight="1">
      <c r="A173" s="8"/>
      <c r="B173" s="9"/>
      <c r="C173" s="11"/>
      <c r="D173" s="87"/>
      <c r="E173" s="87"/>
      <c r="F173" s="67"/>
      <c r="G173" s="90">
        <f>SUM(G164:G172)</f>
        <v>30</v>
      </c>
      <c r="H173" s="26">
        <f>SUM(H164:H172)</f>
        <v>92400</v>
      </c>
    </row>
    <row r="174" spans="1:8" ht="13.5" customHeight="1">
      <c r="A174" s="70"/>
      <c r="B174" s="142" t="s">
        <v>97</v>
      </c>
      <c r="C174" s="155" t="s">
        <v>98</v>
      </c>
      <c r="D174" s="43" t="s">
        <v>0</v>
      </c>
      <c r="E174" s="79" t="s">
        <v>8</v>
      </c>
      <c r="F174" s="46">
        <v>16700</v>
      </c>
      <c r="G174" s="47">
        <v>4</v>
      </c>
      <c r="H174" s="44">
        <f>F174*G174</f>
        <v>66800</v>
      </c>
    </row>
    <row r="175" spans="1:8" ht="13.5" customHeight="1">
      <c r="A175"/>
      <c r="B175" s="143"/>
      <c r="C175" s="156"/>
      <c r="D175" s="43" t="s">
        <v>42</v>
      </c>
      <c r="E175" s="79" t="s">
        <v>8</v>
      </c>
      <c r="F175" s="46">
        <v>16700</v>
      </c>
      <c r="G175" s="47">
        <v>8</v>
      </c>
      <c r="H175" s="44">
        <f t="shared" ref="H175:H181" si="24">F175*G175</f>
        <v>133600</v>
      </c>
    </row>
    <row r="176" spans="1:8" ht="13.5" customHeight="1">
      <c r="A176"/>
      <c r="B176" s="143"/>
      <c r="C176" s="156"/>
      <c r="D176" s="43" t="s">
        <v>2</v>
      </c>
      <c r="E176" s="79" t="s">
        <v>8</v>
      </c>
      <c r="F176" s="46">
        <v>16700</v>
      </c>
      <c r="G176" s="47">
        <v>8</v>
      </c>
      <c r="H176" s="44">
        <f t="shared" si="24"/>
        <v>133600</v>
      </c>
    </row>
    <row r="177" spans="1:8" ht="13.5" customHeight="1">
      <c r="A177"/>
      <c r="B177" s="143"/>
      <c r="C177" s="156"/>
      <c r="D177" s="43" t="s">
        <v>6</v>
      </c>
      <c r="E177" s="79" t="s">
        <v>8</v>
      </c>
      <c r="F177" s="46">
        <v>16700</v>
      </c>
      <c r="G177" s="47">
        <v>5</v>
      </c>
      <c r="H177" s="44">
        <f t="shared" si="24"/>
        <v>83500</v>
      </c>
    </row>
    <row r="178" spans="1:8" ht="13.5" customHeight="1">
      <c r="A178"/>
      <c r="B178" s="143"/>
      <c r="C178" s="156"/>
      <c r="D178" s="43" t="s">
        <v>0</v>
      </c>
      <c r="E178" s="79" t="s">
        <v>3</v>
      </c>
      <c r="F178" s="46">
        <v>16700</v>
      </c>
      <c r="G178" s="47">
        <v>4</v>
      </c>
      <c r="H178" s="44">
        <f t="shared" si="24"/>
        <v>66800</v>
      </c>
    </row>
    <row r="179" spans="1:8" ht="13.5" customHeight="1">
      <c r="A179"/>
      <c r="B179" s="143"/>
      <c r="C179" s="156"/>
      <c r="D179" s="43" t="s">
        <v>4</v>
      </c>
      <c r="E179" s="79" t="s">
        <v>3</v>
      </c>
      <c r="F179" s="46">
        <v>16700</v>
      </c>
      <c r="G179" s="47">
        <v>8</v>
      </c>
      <c r="H179" s="44">
        <f t="shared" si="24"/>
        <v>133600</v>
      </c>
    </row>
    <row r="180" spans="1:8" ht="13.5" customHeight="1">
      <c r="A180"/>
      <c r="B180" s="143"/>
      <c r="C180" s="156"/>
      <c r="D180" s="43" t="s">
        <v>2</v>
      </c>
      <c r="E180" s="79" t="s">
        <v>3</v>
      </c>
      <c r="F180" s="46">
        <v>16700</v>
      </c>
      <c r="G180" s="47">
        <v>8</v>
      </c>
      <c r="H180" s="44">
        <f t="shared" si="24"/>
        <v>133600</v>
      </c>
    </row>
    <row r="181" spans="1:8" ht="13.5" customHeight="1">
      <c r="A181"/>
      <c r="B181" s="143"/>
      <c r="C181" s="156"/>
      <c r="D181" s="43" t="s">
        <v>6</v>
      </c>
      <c r="E181" s="79" t="s">
        <v>3</v>
      </c>
      <c r="F181" s="46">
        <v>16700</v>
      </c>
      <c r="G181" s="47">
        <v>5</v>
      </c>
      <c r="H181" s="44">
        <f t="shared" si="24"/>
        <v>83500</v>
      </c>
    </row>
    <row r="182" spans="1:8" ht="13.5" customHeight="1">
      <c r="A182"/>
      <c r="B182" s="144"/>
      <c r="C182" s="158"/>
      <c r="D182" s="77"/>
      <c r="E182" s="98"/>
      <c r="F182" s="76"/>
      <c r="G182" s="84"/>
      <c r="H182" s="44"/>
    </row>
    <row r="183" spans="1:8" ht="13.5" customHeight="1">
      <c r="A183" s="8"/>
      <c r="B183" s="9"/>
      <c r="C183" s="11"/>
      <c r="D183" s="87"/>
      <c r="E183" s="87"/>
      <c r="F183" s="64"/>
      <c r="G183" s="51">
        <f t="shared" ref="G183:H183" si="25">SUM(G174:G182)</f>
        <v>50</v>
      </c>
      <c r="H183" s="26">
        <f t="shared" si="25"/>
        <v>835000</v>
      </c>
    </row>
    <row r="184" spans="1:8" ht="13.5" customHeight="1">
      <c r="A184" s="70"/>
      <c r="B184" s="142" t="s">
        <v>99</v>
      </c>
      <c r="C184" s="155" t="s">
        <v>100</v>
      </c>
      <c r="D184" s="43" t="s">
        <v>0</v>
      </c>
      <c r="E184" s="43" t="s">
        <v>101</v>
      </c>
      <c r="F184" s="46">
        <v>11500</v>
      </c>
      <c r="G184" s="47">
        <v>1</v>
      </c>
      <c r="H184" s="44">
        <f>F184*G184</f>
        <v>11500</v>
      </c>
    </row>
    <row r="185" spans="1:8" ht="13.5" customHeight="1">
      <c r="A185"/>
      <c r="B185" s="143"/>
      <c r="C185" s="156"/>
      <c r="D185" s="43" t="s">
        <v>15</v>
      </c>
      <c r="E185" s="43" t="s">
        <v>101</v>
      </c>
      <c r="F185" s="46">
        <v>11500</v>
      </c>
      <c r="G185" s="47">
        <v>4</v>
      </c>
      <c r="H185" s="44">
        <f t="shared" ref="H185:H191" si="26">F185*G185</f>
        <v>46000</v>
      </c>
    </row>
    <row r="186" spans="1:8" ht="13.5" customHeight="1">
      <c r="A186"/>
      <c r="B186" s="143"/>
      <c r="C186" s="156"/>
      <c r="D186" s="43" t="s">
        <v>2</v>
      </c>
      <c r="E186" s="43" t="s">
        <v>101</v>
      </c>
      <c r="F186" s="46">
        <v>11500</v>
      </c>
      <c r="G186" s="47">
        <v>3</v>
      </c>
      <c r="H186" s="44">
        <f t="shared" si="26"/>
        <v>34500</v>
      </c>
    </row>
    <row r="187" spans="1:8" ht="13.5" customHeight="1">
      <c r="A187"/>
      <c r="B187" s="143"/>
      <c r="C187" s="156"/>
      <c r="D187" s="43" t="s">
        <v>6</v>
      </c>
      <c r="E187" s="43" t="s">
        <v>101</v>
      </c>
      <c r="F187" s="46">
        <v>11500</v>
      </c>
      <c r="G187" s="47">
        <v>2</v>
      </c>
      <c r="H187" s="44">
        <f t="shared" si="26"/>
        <v>23000</v>
      </c>
    </row>
    <row r="188" spans="1:8" ht="13.5" customHeight="1">
      <c r="A188"/>
      <c r="B188" s="143"/>
      <c r="C188" s="156"/>
      <c r="D188" s="43" t="s">
        <v>0</v>
      </c>
      <c r="E188" s="43" t="s">
        <v>102</v>
      </c>
      <c r="F188" s="46">
        <v>11500</v>
      </c>
      <c r="G188" s="47">
        <v>2</v>
      </c>
      <c r="H188" s="44">
        <f t="shared" si="26"/>
        <v>23000</v>
      </c>
    </row>
    <row r="189" spans="1:8" ht="13.5" customHeight="1">
      <c r="A189"/>
      <c r="B189" s="143"/>
      <c r="C189" s="156"/>
      <c r="D189" s="43" t="s">
        <v>4</v>
      </c>
      <c r="E189" s="43" t="s">
        <v>102</v>
      </c>
      <c r="F189" s="46">
        <v>11500</v>
      </c>
      <c r="G189" s="47">
        <v>8</v>
      </c>
      <c r="H189" s="44">
        <f t="shared" si="26"/>
        <v>92000</v>
      </c>
    </row>
    <row r="190" spans="1:8" ht="13.5" customHeight="1">
      <c r="A190"/>
      <c r="B190" s="143"/>
      <c r="C190" s="156"/>
      <c r="D190" s="43" t="s">
        <v>2</v>
      </c>
      <c r="E190" s="43" t="s">
        <v>102</v>
      </c>
      <c r="F190" s="46">
        <v>11500</v>
      </c>
      <c r="G190" s="47">
        <v>6</v>
      </c>
      <c r="H190" s="44">
        <f t="shared" si="26"/>
        <v>69000</v>
      </c>
    </row>
    <row r="191" spans="1:8" ht="13.5" customHeight="1">
      <c r="A191"/>
      <c r="B191" s="143"/>
      <c r="C191" s="156"/>
      <c r="D191" s="43" t="s">
        <v>6</v>
      </c>
      <c r="E191" s="43" t="s">
        <v>102</v>
      </c>
      <c r="F191" s="46">
        <v>11500</v>
      </c>
      <c r="G191" s="47">
        <v>4</v>
      </c>
      <c r="H191" s="44">
        <f t="shared" si="26"/>
        <v>46000</v>
      </c>
    </row>
    <row r="192" spans="1:8" ht="13.5" customHeight="1">
      <c r="A192"/>
      <c r="B192" s="144"/>
      <c r="C192" s="158"/>
      <c r="D192" s="77"/>
      <c r="E192" s="77"/>
      <c r="F192" s="81"/>
      <c r="G192" s="101"/>
      <c r="H192" s="24"/>
    </row>
    <row r="193" spans="1:8" ht="13.5" customHeight="1">
      <c r="A193" s="8"/>
      <c r="B193" s="9"/>
      <c r="C193" s="11"/>
      <c r="D193" s="87"/>
      <c r="E193" s="87"/>
      <c r="F193" s="67"/>
      <c r="G193" s="90">
        <f t="shared" ref="G193:H193" si="27">SUM(G184:G192)</f>
        <v>30</v>
      </c>
      <c r="H193" s="26">
        <f t="shared" si="27"/>
        <v>345000</v>
      </c>
    </row>
    <row r="194" spans="1:8" ht="13.5" customHeight="1">
      <c r="A194" s="70"/>
      <c r="B194" s="142" t="s">
        <v>103</v>
      </c>
      <c r="C194" s="155" t="s">
        <v>104</v>
      </c>
      <c r="D194" s="43" t="s">
        <v>0</v>
      </c>
      <c r="E194" s="43" t="s">
        <v>3</v>
      </c>
      <c r="F194" s="46">
        <v>12500</v>
      </c>
      <c r="G194" s="47">
        <v>2</v>
      </c>
      <c r="H194" s="44">
        <f>F194*G194</f>
        <v>25000</v>
      </c>
    </row>
    <row r="195" spans="1:8" ht="13.5" customHeight="1">
      <c r="A195"/>
      <c r="B195" s="143"/>
      <c r="C195" s="156"/>
      <c r="D195" s="43" t="s">
        <v>15</v>
      </c>
      <c r="E195" s="43" t="s">
        <v>3</v>
      </c>
      <c r="F195" s="46">
        <v>12500</v>
      </c>
      <c r="G195" s="47">
        <v>6</v>
      </c>
      <c r="H195" s="44">
        <f t="shared" ref="H195:H202" si="28">F195*G195</f>
        <v>75000</v>
      </c>
    </row>
    <row r="196" spans="1:8" ht="13.5" customHeight="1">
      <c r="A196"/>
      <c r="B196" s="143"/>
      <c r="C196" s="156"/>
      <c r="D196" s="43" t="s">
        <v>2</v>
      </c>
      <c r="E196" s="43" t="s">
        <v>3</v>
      </c>
      <c r="F196" s="46">
        <v>12500</v>
      </c>
      <c r="G196" s="47">
        <v>9</v>
      </c>
      <c r="H196" s="44">
        <f t="shared" si="28"/>
        <v>112500</v>
      </c>
    </row>
    <row r="197" spans="1:8" ht="13.5" customHeight="1">
      <c r="A197"/>
      <c r="B197" s="143"/>
      <c r="C197" s="156"/>
      <c r="D197" s="43" t="s">
        <v>0</v>
      </c>
      <c r="E197" s="43" t="s">
        <v>41</v>
      </c>
      <c r="F197" s="46">
        <v>12500</v>
      </c>
      <c r="G197" s="47">
        <v>2</v>
      </c>
      <c r="H197" s="44">
        <f t="shared" si="28"/>
        <v>25000</v>
      </c>
    </row>
    <row r="198" spans="1:8" ht="13.5" customHeight="1">
      <c r="A198"/>
      <c r="B198" s="143"/>
      <c r="C198" s="156"/>
      <c r="D198" s="43" t="s">
        <v>4</v>
      </c>
      <c r="E198" s="43" t="s">
        <v>41</v>
      </c>
      <c r="F198" s="46">
        <v>12500</v>
      </c>
      <c r="G198" s="47">
        <v>4</v>
      </c>
      <c r="H198" s="44">
        <f t="shared" si="28"/>
        <v>50000</v>
      </c>
    </row>
    <row r="199" spans="1:8" ht="13.5" customHeight="1">
      <c r="A199"/>
      <c r="B199" s="143"/>
      <c r="C199" s="156"/>
      <c r="D199" s="43" t="s">
        <v>2</v>
      </c>
      <c r="E199" s="43" t="s">
        <v>41</v>
      </c>
      <c r="F199" s="46">
        <v>12500</v>
      </c>
      <c r="G199" s="47">
        <v>4</v>
      </c>
      <c r="H199" s="44">
        <f t="shared" si="28"/>
        <v>50000</v>
      </c>
    </row>
    <row r="200" spans="1:8" ht="13.5" customHeight="1">
      <c r="A200"/>
      <c r="B200" s="143"/>
      <c r="C200" s="156"/>
      <c r="D200" s="43" t="s">
        <v>0</v>
      </c>
      <c r="E200" s="43" t="s">
        <v>46</v>
      </c>
      <c r="F200" s="46">
        <v>12500</v>
      </c>
      <c r="G200" s="47">
        <v>1</v>
      </c>
      <c r="H200" s="44">
        <f t="shared" si="28"/>
        <v>12500</v>
      </c>
    </row>
    <row r="201" spans="1:8" ht="13.5" customHeight="1">
      <c r="A201"/>
      <c r="B201" s="143"/>
      <c r="C201" s="156"/>
      <c r="D201" s="43" t="s">
        <v>4</v>
      </c>
      <c r="E201" s="43" t="s">
        <v>46</v>
      </c>
      <c r="F201" s="46">
        <v>12500</v>
      </c>
      <c r="G201" s="47">
        <v>1</v>
      </c>
      <c r="H201" s="44">
        <f t="shared" si="28"/>
        <v>12500</v>
      </c>
    </row>
    <row r="202" spans="1:8" ht="13.5" customHeight="1">
      <c r="A202"/>
      <c r="B202" s="144"/>
      <c r="C202" s="162"/>
      <c r="D202" s="43" t="s">
        <v>2</v>
      </c>
      <c r="E202" s="43" t="s">
        <v>46</v>
      </c>
      <c r="F202" s="46">
        <v>12500</v>
      </c>
      <c r="G202" s="47">
        <v>1</v>
      </c>
      <c r="H202" s="44">
        <f t="shared" si="28"/>
        <v>12500</v>
      </c>
    </row>
    <row r="203" spans="1:8" ht="13.5" customHeight="1">
      <c r="A203" s="8"/>
      <c r="B203" s="9"/>
      <c r="C203" s="11"/>
      <c r="D203" s="50"/>
      <c r="E203" s="50"/>
      <c r="F203" s="64"/>
      <c r="G203" s="51">
        <f t="shared" ref="G203:H203" si="29">SUM(G194:G202)</f>
        <v>30</v>
      </c>
      <c r="H203" s="26">
        <f t="shared" si="29"/>
        <v>375000</v>
      </c>
    </row>
    <row r="204" spans="1:8" ht="13.5" customHeight="1">
      <c r="A204" s="70"/>
      <c r="B204" s="142" t="s">
        <v>105</v>
      </c>
      <c r="C204" s="163" t="s">
        <v>106</v>
      </c>
      <c r="D204" s="43" t="s">
        <v>0</v>
      </c>
      <c r="E204" s="43" t="s">
        <v>3</v>
      </c>
      <c r="F204" s="46">
        <v>8300</v>
      </c>
      <c r="G204" s="47">
        <v>5</v>
      </c>
      <c r="H204" s="44">
        <f>F204*G204</f>
        <v>41500</v>
      </c>
    </row>
    <row r="205" spans="1:8" ht="13.5" customHeight="1">
      <c r="A205"/>
      <c r="B205" s="143"/>
      <c r="C205" s="164"/>
      <c r="D205" s="43" t="s">
        <v>15</v>
      </c>
      <c r="E205" s="43" t="s">
        <v>3</v>
      </c>
      <c r="F205" s="46">
        <v>8300</v>
      </c>
      <c r="G205" s="47">
        <v>15</v>
      </c>
      <c r="H205" s="44">
        <f t="shared" ref="H205:H212" si="30">F205*G205</f>
        <v>124500</v>
      </c>
    </row>
    <row r="206" spans="1:8" ht="13.5" customHeight="1">
      <c r="A206"/>
      <c r="B206" s="143"/>
      <c r="C206" s="164"/>
      <c r="D206" s="43" t="s">
        <v>2</v>
      </c>
      <c r="E206" s="43" t="s">
        <v>3</v>
      </c>
      <c r="F206" s="46">
        <v>8300</v>
      </c>
      <c r="G206" s="47">
        <v>15</v>
      </c>
      <c r="H206" s="44">
        <f t="shared" si="30"/>
        <v>124500</v>
      </c>
    </row>
    <row r="207" spans="1:8" ht="13.5" customHeight="1">
      <c r="A207"/>
      <c r="B207" s="143"/>
      <c r="C207" s="164"/>
      <c r="D207" s="43" t="s">
        <v>0</v>
      </c>
      <c r="E207" s="43" t="s">
        <v>1</v>
      </c>
      <c r="F207" s="46">
        <v>8300</v>
      </c>
      <c r="G207" s="47">
        <v>1</v>
      </c>
      <c r="H207" s="44">
        <f t="shared" si="30"/>
        <v>8300</v>
      </c>
    </row>
    <row r="208" spans="1:8" ht="13.5" customHeight="1">
      <c r="A208"/>
      <c r="B208" s="143"/>
      <c r="C208" s="164"/>
      <c r="D208" s="43" t="s">
        <v>4</v>
      </c>
      <c r="E208" s="43" t="s">
        <v>1</v>
      </c>
      <c r="F208" s="46">
        <v>8300</v>
      </c>
      <c r="G208" s="47">
        <v>2</v>
      </c>
      <c r="H208" s="44">
        <f t="shared" si="30"/>
        <v>16600</v>
      </c>
    </row>
    <row r="209" spans="1:8" ht="13.5" customHeight="1">
      <c r="A209"/>
      <c r="B209" s="143"/>
      <c r="C209" s="164"/>
      <c r="D209" s="43" t="s">
        <v>2</v>
      </c>
      <c r="E209" s="43" t="s">
        <v>1</v>
      </c>
      <c r="F209" s="46">
        <v>8300</v>
      </c>
      <c r="G209" s="47">
        <v>2</v>
      </c>
      <c r="H209" s="44">
        <f t="shared" si="30"/>
        <v>16600</v>
      </c>
    </row>
    <row r="210" spans="1:8" ht="13.5" customHeight="1">
      <c r="A210"/>
      <c r="B210" s="143"/>
      <c r="C210" s="164"/>
      <c r="D210" s="43" t="s">
        <v>0</v>
      </c>
      <c r="E210" s="43" t="s">
        <v>5</v>
      </c>
      <c r="F210" s="46">
        <v>8300</v>
      </c>
      <c r="G210" s="47">
        <v>1</v>
      </c>
      <c r="H210" s="44">
        <f t="shared" si="30"/>
        <v>8300</v>
      </c>
    </row>
    <row r="211" spans="1:8" ht="13.5" customHeight="1">
      <c r="A211"/>
      <c r="B211" s="143"/>
      <c r="C211" s="164"/>
      <c r="D211" s="43" t="s">
        <v>4</v>
      </c>
      <c r="E211" s="43" t="s">
        <v>5</v>
      </c>
      <c r="F211" s="46">
        <v>8300</v>
      </c>
      <c r="G211" s="47">
        <v>5</v>
      </c>
      <c r="H211" s="44">
        <f t="shared" si="30"/>
        <v>41500</v>
      </c>
    </row>
    <row r="212" spans="1:8" ht="13.5" customHeight="1">
      <c r="A212"/>
      <c r="B212" s="144"/>
      <c r="C212" s="165"/>
      <c r="D212" s="43" t="s">
        <v>2</v>
      </c>
      <c r="E212" s="43" t="s">
        <v>5</v>
      </c>
      <c r="F212" s="46">
        <v>8300</v>
      </c>
      <c r="G212" s="47">
        <v>4</v>
      </c>
      <c r="H212" s="44">
        <f t="shared" si="30"/>
        <v>33200</v>
      </c>
    </row>
    <row r="213" spans="1:8" ht="13.5" customHeight="1">
      <c r="A213" s="8"/>
      <c r="B213" s="9"/>
      <c r="C213" s="11"/>
      <c r="D213" s="50"/>
      <c r="E213" s="50"/>
      <c r="F213" s="64"/>
      <c r="G213" s="103">
        <f>SUM(G204:G212)</f>
        <v>50</v>
      </c>
      <c r="H213" s="102">
        <f>SUM(H204:H212)</f>
        <v>415000</v>
      </c>
    </row>
    <row r="214" spans="1:8" ht="13.5" customHeight="1">
      <c r="A214" s="70"/>
      <c r="B214" s="142" t="s">
        <v>107</v>
      </c>
      <c r="C214" s="119" t="s">
        <v>108</v>
      </c>
      <c r="D214" s="43" t="s">
        <v>0</v>
      </c>
      <c r="E214" s="43" t="s">
        <v>46</v>
      </c>
      <c r="F214" s="46">
        <v>12100</v>
      </c>
      <c r="G214" s="47">
        <v>1</v>
      </c>
      <c r="H214" s="44">
        <f>F214*G214</f>
        <v>12100</v>
      </c>
    </row>
    <row r="215" spans="1:8" ht="13.5" customHeight="1">
      <c r="A215"/>
      <c r="B215" s="143"/>
      <c r="C215" s="120"/>
      <c r="D215" s="43" t="s">
        <v>4</v>
      </c>
      <c r="E215" s="43" t="s">
        <v>46</v>
      </c>
      <c r="F215" s="46">
        <v>12100</v>
      </c>
      <c r="G215" s="47">
        <v>2</v>
      </c>
      <c r="H215" s="44">
        <f t="shared" ref="H215:H225" si="31">F215*G215</f>
        <v>24200</v>
      </c>
    </row>
    <row r="216" spans="1:8" ht="13.5" customHeight="1">
      <c r="A216"/>
      <c r="B216" s="143"/>
      <c r="C216" s="120"/>
      <c r="D216" s="43" t="s">
        <v>2</v>
      </c>
      <c r="E216" s="43" t="s">
        <v>46</v>
      </c>
      <c r="F216" s="46">
        <v>12100</v>
      </c>
      <c r="G216" s="47">
        <v>4</v>
      </c>
      <c r="H216" s="44">
        <f t="shared" si="31"/>
        <v>48400</v>
      </c>
    </row>
    <row r="217" spans="1:8" ht="13.5" customHeight="1">
      <c r="A217"/>
      <c r="B217" s="143"/>
      <c r="C217" s="120"/>
      <c r="D217" s="43" t="s">
        <v>6</v>
      </c>
      <c r="E217" s="43" t="s">
        <v>46</v>
      </c>
      <c r="F217" s="46">
        <v>12100</v>
      </c>
      <c r="G217" s="47">
        <v>3</v>
      </c>
      <c r="H217" s="44">
        <f t="shared" si="31"/>
        <v>36300</v>
      </c>
    </row>
    <row r="218" spans="1:8" ht="13.5" customHeight="1">
      <c r="A218"/>
      <c r="B218" s="143"/>
      <c r="C218" s="120"/>
      <c r="D218" s="43" t="s">
        <v>0</v>
      </c>
      <c r="E218" s="43" t="s">
        <v>41</v>
      </c>
      <c r="F218" s="46">
        <v>12100</v>
      </c>
      <c r="G218" s="47">
        <v>3</v>
      </c>
      <c r="H218" s="44">
        <f t="shared" si="31"/>
        <v>36300</v>
      </c>
    </row>
    <row r="219" spans="1:8" ht="13.5" customHeight="1">
      <c r="A219"/>
      <c r="B219" s="143"/>
      <c r="C219" s="120"/>
      <c r="D219" s="43" t="s">
        <v>15</v>
      </c>
      <c r="E219" s="43" t="s">
        <v>41</v>
      </c>
      <c r="F219" s="46">
        <v>12100</v>
      </c>
      <c r="G219" s="47">
        <v>5</v>
      </c>
      <c r="H219" s="44">
        <f t="shared" si="31"/>
        <v>60500</v>
      </c>
    </row>
    <row r="220" spans="1:8" ht="13.5" customHeight="1">
      <c r="A220"/>
      <c r="B220" s="143"/>
      <c r="C220" s="120"/>
      <c r="D220" s="43" t="s">
        <v>2</v>
      </c>
      <c r="E220" s="43" t="s">
        <v>41</v>
      </c>
      <c r="F220" s="46">
        <v>12100</v>
      </c>
      <c r="G220" s="47">
        <v>10</v>
      </c>
      <c r="H220" s="44">
        <f t="shared" si="31"/>
        <v>121000</v>
      </c>
    </row>
    <row r="221" spans="1:8" ht="13.5" customHeight="1">
      <c r="A221"/>
      <c r="B221" s="143"/>
      <c r="C221" s="120"/>
      <c r="D221" s="43" t="s">
        <v>6</v>
      </c>
      <c r="E221" s="43" t="s">
        <v>41</v>
      </c>
      <c r="F221" s="46">
        <v>12100</v>
      </c>
      <c r="G221" s="47">
        <v>7</v>
      </c>
      <c r="H221" s="44">
        <f t="shared" si="31"/>
        <v>84700</v>
      </c>
    </row>
    <row r="222" spans="1:8" ht="13.5" customHeight="1">
      <c r="A222"/>
      <c r="B222" s="143"/>
      <c r="C222" s="120"/>
      <c r="D222" s="43" t="s">
        <v>0</v>
      </c>
      <c r="E222" s="43" t="s">
        <v>3</v>
      </c>
      <c r="F222" s="46">
        <v>12100</v>
      </c>
      <c r="G222" s="47">
        <v>5</v>
      </c>
      <c r="H222" s="44">
        <f t="shared" si="31"/>
        <v>60500</v>
      </c>
    </row>
    <row r="223" spans="1:8" ht="13.5" customHeight="1">
      <c r="A223"/>
      <c r="B223" s="143"/>
      <c r="C223" s="120"/>
      <c r="D223" s="43" t="s">
        <v>4</v>
      </c>
      <c r="E223" s="43" t="s">
        <v>3</v>
      </c>
      <c r="F223" s="46">
        <v>12100</v>
      </c>
      <c r="G223" s="47">
        <v>8</v>
      </c>
      <c r="H223" s="44">
        <f t="shared" si="31"/>
        <v>96800</v>
      </c>
    </row>
    <row r="224" spans="1:8" ht="13.5" customHeight="1">
      <c r="A224"/>
      <c r="B224" s="143"/>
      <c r="C224" s="120"/>
      <c r="D224" s="43" t="s">
        <v>2</v>
      </c>
      <c r="E224" s="43" t="s">
        <v>3</v>
      </c>
      <c r="F224" s="46">
        <v>12100</v>
      </c>
      <c r="G224" s="47">
        <v>12</v>
      </c>
      <c r="H224" s="44">
        <f t="shared" si="31"/>
        <v>145200</v>
      </c>
    </row>
    <row r="225" spans="1:9" ht="13.5" customHeight="1">
      <c r="A225"/>
      <c r="B225" s="144"/>
      <c r="C225" s="121"/>
      <c r="D225" s="43" t="s">
        <v>6</v>
      </c>
      <c r="E225" s="43" t="s">
        <v>3</v>
      </c>
      <c r="F225" s="46">
        <v>12100</v>
      </c>
      <c r="G225" s="47">
        <v>10</v>
      </c>
      <c r="H225" s="44">
        <f t="shared" si="31"/>
        <v>121000</v>
      </c>
    </row>
    <row r="226" spans="1:9" ht="13.5" customHeight="1">
      <c r="A226" s="8"/>
      <c r="B226" s="72"/>
      <c r="C226" s="11"/>
      <c r="D226" s="50"/>
      <c r="E226" s="50"/>
      <c r="F226" s="64"/>
      <c r="G226" s="51">
        <f t="shared" ref="G226:H226" si="32">SUM(G214:G225)</f>
        <v>70</v>
      </c>
      <c r="H226" s="26">
        <f t="shared" si="32"/>
        <v>847000</v>
      </c>
    </row>
    <row r="227" spans="1:9" ht="13.5" customHeight="1">
      <c r="A227" s="70"/>
      <c r="B227" s="145" t="s">
        <v>109</v>
      </c>
      <c r="C227" s="159" t="s">
        <v>110</v>
      </c>
      <c r="D227" s="43" t="s">
        <v>0</v>
      </c>
      <c r="E227" s="43" t="s">
        <v>7</v>
      </c>
      <c r="F227" s="104">
        <v>590</v>
      </c>
      <c r="G227" s="47">
        <v>10</v>
      </c>
      <c r="H227" s="44">
        <f>F227*G227</f>
        <v>5900</v>
      </c>
    </row>
    <row r="228" spans="1:9" ht="13.5" customHeight="1">
      <c r="A228"/>
      <c r="B228" s="145"/>
      <c r="C228" s="160"/>
      <c r="D228" s="43" t="s">
        <v>4</v>
      </c>
      <c r="E228" s="43" t="s">
        <v>7</v>
      </c>
      <c r="F228" s="104">
        <v>590</v>
      </c>
      <c r="G228" s="47">
        <v>20</v>
      </c>
      <c r="H228" s="44">
        <f t="shared" ref="H228:H235" si="33">F228*G228</f>
        <v>11800</v>
      </c>
    </row>
    <row r="229" spans="1:9" ht="13.5" customHeight="1">
      <c r="A229"/>
      <c r="B229" s="145"/>
      <c r="C229" s="160"/>
      <c r="D229" s="43" t="s">
        <v>2</v>
      </c>
      <c r="E229" s="43" t="s">
        <v>7</v>
      </c>
      <c r="F229" s="104">
        <v>590</v>
      </c>
      <c r="G229" s="47">
        <v>20</v>
      </c>
      <c r="H229" s="44">
        <f t="shared" si="33"/>
        <v>11800</v>
      </c>
    </row>
    <row r="230" spans="1:9" ht="13.5" customHeight="1">
      <c r="A230"/>
      <c r="B230" s="145"/>
      <c r="C230" s="160"/>
      <c r="D230" s="43" t="s">
        <v>0</v>
      </c>
      <c r="E230" s="43" t="s">
        <v>3</v>
      </c>
      <c r="F230" s="104">
        <v>590</v>
      </c>
      <c r="G230" s="47">
        <v>10</v>
      </c>
      <c r="H230" s="44">
        <f t="shared" si="33"/>
        <v>5900</v>
      </c>
    </row>
    <row r="231" spans="1:9" ht="13.5" customHeight="1">
      <c r="A231"/>
      <c r="B231" s="145"/>
      <c r="C231" s="160"/>
      <c r="D231" s="43" t="s">
        <v>4</v>
      </c>
      <c r="E231" s="43" t="s">
        <v>3</v>
      </c>
      <c r="F231" s="104">
        <v>590</v>
      </c>
      <c r="G231" s="47">
        <v>20</v>
      </c>
      <c r="H231" s="44">
        <f t="shared" si="33"/>
        <v>11800</v>
      </c>
    </row>
    <row r="232" spans="1:9" ht="13.5" customHeight="1">
      <c r="A232"/>
      <c r="B232" s="145"/>
      <c r="C232" s="160"/>
      <c r="D232" s="43" t="s">
        <v>2</v>
      </c>
      <c r="E232" s="43" t="s">
        <v>3</v>
      </c>
      <c r="F232" s="104">
        <v>590</v>
      </c>
      <c r="G232" s="47">
        <v>20</v>
      </c>
      <c r="H232" s="44">
        <f t="shared" si="33"/>
        <v>11800</v>
      </c>
    </row>
    <row r="233" spans="1:9" ht="13.5" customHeight="1">
      <c r="A233"/>
      <c r="B233" s="145"/>
      <c r="C233" s="160"/>
      <c r="D233" s="43" t="s">
        <v>0</v>
      </c>
      <c r="E233" s="43" t="s">
        <v>59</v>
      </c>
      <c r="F233" s="104">
        <v>590</v>
      </c>
      <c r="G233" s="47">
        <v>10</v>
      </c>
      <c r="H233" s="44">
        <f t="shared" si="33"/>
        <v>5900</v>
      </c>
    </row>
    <row r="234" spans="1:9" ht="13.5" customHeight="1">
      <c r="A234"/>
      <c r="B234" s="145"/>
      <c r="C234" s="160"/>
      <c r="D234" s="43" t="s">
        <v>4</v>
      </c>
      <c r="E234" s="43" t="s">
        <v>59</v>
      </c>
      <c r="F234" s="104">
        <v>590</v>
      </c>
      <c r="G234" s="47">
        <v>20</v>
      </c>
      <c r="H234" s="44">
        <f t="shared" si="33"/>
        <v>11800</v>
      </c>
    </row>
    <row r="235" spans="1:9" ht="13.5" customHeight="1">
      <c r="A235"/>
      <c r="B235" s="145"/>
      <c r="C235" s="161"/>
      <c r="D235" s="43" t="s">
        <v>2</v>
      </c>
      <c r="E235" s="43" t="s">
        <v>59</v>
      </c>
      <c r="F235" s="104">
        <v>590</v>
      </c>
      <c r="G235" s="47">
        <v>20</v>
      </c>
      <c r="H235" s="44">
        <f t="shared" si="33"/>
        <v>11800</v>
      </c>
    </row>
    <row r="236" spans="1:9" ht="13.5" customHeight="1" thickBot="1">
      <c r="A236" s="8"/>
      <c r="B236" s="74"/>
      <c r="C236" s="11"/>
      <c r="D236" s="42"/>
      <c r="E236" s="42"/>
      <c r="F236" s="65"/>
      <c r="G236" s="49">
        <f t="shared" ref="G236:H236" si="34">SUM(G227:G235)</f>
        <v>150</v>
      </c>
      <c r="H236" s="26">
        <f t="shared" si="34"/>
        <v>88500</v>
      </c>
    </row>
    <row r="237" spans="1:9" ht="30" customHeight="1" thickBot="1">
      <c r="C237" s="14"/>
      <c r="F237" s="39" t="s">
        <v>36</v>
      </c>
      <c r="G237" s="105">
        <f>SUM(G27,G37,G56,G66,G76,G86,G99,G112,G122,G133,G143,G153,G163,G173,G183,G193,G203,G213,G226,G236)</f>
        <v>1301</v>
      </c>
      <c r="H237" s="106">
        <f>SUM(H27,H37,H56,H66,H76,H86,H99,H112,H122,H133,H143,H153,H163,H173,H183,H193,H203,H213,H226,H236)</f>
        <v>10468500</v>
      </c>
      <c r="I237" s="16"/>
    </row>
    <row r="238" spans="1:9" ht="34" customHeight="1" thickBot="1">
      <c r="F238" s="39" t="s">
        <v>37</v>
      </c>
      <c r="G238" s="17"/>
      <c r="H238" s="108">
        <f>H237*1.1</f>
        <v>11515350</v>
      </c>
      <c r="I238" s="16"/>
    </row>
    <row r="239" spans="1:9" ht="34" customHeight="1" thickBot="1">
      <c r="F239" s="39" t="s">
        <v>35</v>
      </c>
      <c r="G239" s="68"/>
      <c r="H239" s="107">
        <f>SUM(H237:H238)</f>
        <v>21983850</v>
      </c>
      <c r="I239" s="16"/>
    </row>
    <row r="240" spans="1:9" ht="15" customHeight="1">
      <c r="G240" s="69"/>
      <c r="H240" s="18"/>
    </row>
  </sheetData>
  <mergeCells count="52">
    <mergeCell ref="C214:C225"/>
    <mergeCell ref="C227:C235"/>
    <mergeCell ref="C164:C172"/>
    <mergeCell ref="C174:C182"/>
    <mergeCell ref="C184:C192"/>
    <mergeCell ref="C194:C202"/>
    <mergeCell ref="C204:C212"/>
    <mergeCell ref="C123:C132"/>
    <mergeCell ref="A123:A132"/>
    <mergeCell ref="C134:C142"/>
    <mergeCell ref="C144:C152"/>
    <mergeCell ref="C154:C162"/>
    <mergeCell ref="B204:B212"/>
    <mergeCell ref="B174:B182"/>
    <mergeCell ref="B113:B121"/>
    <mergeCell ref="B123:B132"/>
    <mergeCell ref="B134:B142"/>
    <mergeCell ref="B144:B152"/>
    <mergeCell ref="B154:B162"/>
    <mergeCell ref="B164:B172"/>
    <mergeCell ref="B194:B202"/>
    <mergeCell ref="B214:B225"/>
    <mergeCell ref="B227:B235"/>
    <mergeCell ref="B15:C15"/>
    <mergeCell ref="B184:B192"/>
    <mergeCell ref="B77:B85"/>
    <mergeCell ref="B87:B98"/>
    <mergeCell ref="B100:B111"/>
    <mergeCell ref="B38:B55"/>
    <mergeCell ref="B57:B65"/>
    <mergeCell ref="B67:B75"/>
    <mergeCell ref="B18:B26"/>
    <mergeCell ref="C18:C26"/>
    <mergeCell ref="C77:C85"/>
    <mergeCell ref="C87:C98"/>
    <mergeCell ref="C100:C111"/>
    <mergeCell ref="C113:C121"/>
    <mergeCell ref="C28:C36"/>
    <mergeCell ref="C38:C55"/>
    <mergeCell ref="C57:C65"/>
    <mergeCell ref="C67:C75"/>
    <mergeCell ref="A1:H1"/>
    <mergeCell ref="B11:C11"/>
    <mergeCell ref="B12:C12"/>
    <mergeCell ref="B13:C13"/>
    <mergeCell ref="F11:F13"/>
    <mergeCell ref="G11:G13"/>
    <mergeCell ref="H11:H13"/>
    <mergeCell ref="A28:A36"/>
    <mergeCell ref="B28:B36"/>
    <mergeCell ref="A38:A55"/>
    <mergeCell ref="A57:A65"/>
  </mergeCells>
  <phoneticPr fontId="2"/>
  <pageMargins left="0.38888899999999998" right="0.28740199999999999" top="0" bottom="0" header="0" footer="0"/>
  <pageSetup paperSize="8" scale="53" orientation="landscape"/>
  <headerFooter>
    <oddFooter>&amp;C0000000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AW25_shunya様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穴澤 萌梨</cp:lastModifiedBy>
  <dcterms:created xsi:type="dcterms:W3CDTF">2025-03-18T06:32:40Z</dcterms:created>
  <dcterms:modified xsi:type="dcterms:W3CDTF">2025-11-10T03:01:07Z</dcterms:modified>
</cp:coreProperties>
</file>