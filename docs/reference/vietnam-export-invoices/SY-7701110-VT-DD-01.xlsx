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39725694-273D-485F-A90B-42C1AC96A320}" xr6:coauthVersionLast="47" xr6:coauthVersionMax="47" xr10:uidLastSave="{00000000-0000-0000-0000-000000000000}"/>
  <bookViews>
    <workbookView xWindow="-110" yWindow="-110" windowWidth="25820" windowHeight="14620" activeTab="5" xr2:uid="{00000000-000D-0000-FFFF-FFFF00000000}"/>
  </bookViews>
  <sheets>
    <sheet name="shipper master" sheetId="17" r:id="rId1"/>
    <sheet name="case mark " sheetId="64" r:id="rId2"/>
    <sheet name="invoice" sheetId="65" r:id="rId3"/>
    <sheet name="NARITA " sheetId="60" r:id="rId4"/>
    <sheet name="サンプル製品カタログ" sheetId="67" r:id="rId5"/>
    <sheet name="LABEL" sheetId="66" r:id="rId6"/>
  </sheets>
  <externalReferences>
    <externalReference r:id="rId7"/>
    <externalReference r:id="rId8"/>
    <externalReference r:id="rId9"/>
  </externalReferences>
  <definedNames>
    <definedName name="pricetable" localSheetId="1">#REF!</definedName>
    <definedName name="pricetable" localSheetId="5">#REF!</definedName>
    <definedName name="pricetable" localSheetId="3">#REF!</definedName>
    <definedName name="pricetable" localSheetId="4">#REF!</definedName>
    <definedName name="pricetable">#REF!</definedName>
    <definedName name="_xlnm.Print_Area" localSheetId="5">LABEL!$A$1:$D$130</definedName>
    <definedName name="_xlnm.Print_Area" localSheetId="3">'NARITA '!$A$1:$N$138</definedName>
    <definedName name="_xlnm.Print_Area" localSheetId="4">サンプル製品カタログ!$A$2:$I$16</definedName>
    <definedName name="_xlnm.Print_Titles" localSheetId="5">LABEL!$1:$3</definedName>
    <definedName name="_xlnm.Print_Titles" localSheetId="3">'NARITA '!$1:$6</definedName>
    <definedName name="_xlnm.Print_Titles" localSheetId="4">サンプル製品カタログ!$2:$2</definedName>
  </definedNames>
  <calcPr calcId="191029"/>
</workbook>
</file>

<file path=xl/calcChain.xml><?xml version="1.0" encoding="utf-8"?>
<calcChain xmlns="http://schemas.openxmlformats.org/spreadsheetml/2006/main">
  <c r="E136" i="60" l="1"/>
  <c r="E135" i="60"/>
  <c r="H73" i="60"/>
  <c r="H79" i="60" l="1"/>
  <c r="H131" i="60"/>
  <c r="H130" i="60"/>
  <c r="H129" i="60"/>
  <c r="H128" i="60"/>
  <c r="H127" i="60"/>
  <c r="H126" i="60"/>
  <c r="H125" i="60"/>
  <c r="H124" i="60"/>
  <c r="H123" i="60"/>
  <c r="H122" i="60"/>
  <c r="H121" i="60"/>
  <c r="H109" i="60" l="1"/>
  <c r="H67" i="60"/>
  <c r="H105" i="60"/>
  <c r="H104" i="60"/>
  <c r="H103" i="60"/>
  <c r="H98" i="60"/>
  <c r="H97" i="60"/>
  <c r="H93" i="60"/>
  <c r="H92" i="60"/>
  <c r="H91" i="60"/>
  <c r="H85" i="60"/>
  <c r="H86" i="60"/>
  <c r="H81" i="60"/>
  <c r="H80" i="60"/>
  <c r="H60" i="60"/>
  <c r="H61" i="60"/>
  <c r="H62" i="60"/>
  <c r="H63" i="60"/>
  <c r="H64" i="60"/>
  <c r="H59" i="60"/>
  <c r="H58" i="60"/>
  <c r="H57" i="60"/>
  <c r="H39" i="60"/>
  <c r="H41" i="60"/>
  <c r="H53" i="60"/>
  <c r="H52" i="60"/>
  <c r="H51" i="60"/>
  <c r="H45" i="60"/>
  <c r="H40" i="60"/>
  <c r="H34" i="60"/>
  <c r="H35" i="60"/>
  <c r="H29" i="60"/>
  <c r="H22" i="60"/>
  <c r="H15" i="60"/>
  <c r="H16" i="60"/>
  <c r="H10" i="60"/>
  <c r="K26" i="65" l="1"/>
  <c r="H33" i="60"/>
  <c r="H28" i="60"/>
  <c r="H27" i="60"/>
  <c r="H120" i="60" l="1"/>
  <c r="K27" i="65"/>
  <c r="F30" i="65" s="1"/>
  <c r="D30" i="65"/>
  <c r="H133" i="60"/>
  <c r="H115" i="60" l="1"/>
  <c r="H136" i="60" s="1"/>
  <c r="M27" i="65" l="1"/>
  <c r="K30" i="65" l="1"/>
  <c r="H21" i="60" l="1"/>
  <c r="H9" i="60"/>
  <c r="F9" i="65"/>
  <c r="H138" i="60" l="1"/>
  <c r="H135" i="60"/>
  <c r="M26" i="65" s="1"/>
  <c r="M30" i="65" s="1"/>
  <c r="C45" i="17" s="1"/>
  <c r="F11" i="65"/>
  <c r="F7" i="65"/>
  <c r="L8" i="65" l="1"/>
  <c r="I13" i="64"/>
  <c r="A13" i="64"/>
  <c r="I2" i="64"/>
  <c r="A2" i="64"/>
  <c r="A36" i="65"/>
  <c r="D35" i="65"/>
  <c r="A34" i="65"/>
  <c r="A33" i="65"/>
  <c r="B28" i="65"/>
  <c r="B26" i="65"/>
  <c r="L24" i="65"/>
  <c r="B24" i="65"/>
  <c r="G21" i="65"/>
  <c r="D21" i="65"/>
  <c r="A21" i="65"/>
  <c r="A19" i="65"/>
  <c r="A17" i="65"/>
  <c r="A16" i="65"/>
  <c r="F15" i="65"/>
  <c r="A15" i="65"/>
  <c r="A14" i="65"/>
  <c r="F13" i="65"/>
  <c r="A13" i="65"/>
  <c r="L11" i="65"/>
  <c r="A11" i="65"/>
  <c r="L10" i="65"/>
  <c r="A10" i="65"/>
  <c r="L9" i="65"/>
  <c r="A9" i="65"/>
  <c r="A8" i="65"/>
  <c r="A7" i="65"/>
  <c r="L5" i="65"/>
  <c r="A5" i="65"/>
  <c r="L4" i="65"/>
  <c r="A4" i="65"/>
  <c r="A3" i="65"/>
  <c r="A2" i="65"/>
  <c r="I18" i="64"/>
  <c r="A18" i="64"/>
  <c r="I16" i="64"/>
  <c r="A16" i="64"/>
  <c r="I15" i="64"/>
  <c r="A15" i="64"/>
  <c r="I14" i="64"/>
  <c r="A14" i="64"/>
  <c r="I7" i="64"/>
  <c r="A7" i="64"/>
  <c r="I5" i="64"/>
  <c r="A5" i="64"/>
  <c r="I4" i="64"/>
  <c r="A4" i="64"/>
  <c r="I3" i="64"/>
  <c r="A3" i="64"/>
  <c r="G6" i="60" l="1"/>
  <c r="D6" i="60"/>
  <c r="A2" i="17" l="1"/>
  <c r="A3" i="17" s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</calcChain>
</file>

<file path=xl/sharedStrings.xml><?xml version="1.0" encoding="utf-8"?>
<sst xmlns="http://schemas.openxmlformats.org/spreadsheetml/2006/main" count="785" uniqueCount="382">
  <si>
    <t>SHIPPER NAME</t>
    <phoneticPr fontId="8" type="noConversion"/>
  </si>
  <si>
    <t>S/CODE</t>
    <phoneticPr fontId="8" type="noConversion"/>
  </si>
  <si>
    <t>SHIPPER ADDRESS 2</t>
    <phoneticPr fontId="13"/>
  </si>
  <si>
    <t>SHIPPER ADDRESS 1</t>
    <phoneticPr fontId="13"/>
  </si>
  <si>
    <t>SHIPPER ADDRESS 3</t>
    <phoneticPr fontId="13"/>
  </si>
  <si>
    <t xml:space="preserve">SHIPPER </t>
    <phoneticPr fontId="13"/>
  </si>
  <si>
    <t>TEL</t>
    <phoneticPr fontId="13"/>
  </si>
  <si>
    <t>FAX</t>
    <phoneticPr fontId="13"/>
  </si>
  <si>
    <t>ATTN OR VAT NO.</t>
    <phoneticPr fontId="13"/>
  </si>
  <si>
    <t>TEL/FAX</t>
    <phoneticPr fontId="13"/>
  </si>
  <si>
    <t>ATTN</t>
    <phoneticPr fontId="13"/>
  </si>
  <si>
    <t>CONSIGNEE :</t>
    <phoneticPr fontId="13"/>
  </si>
  <si>
    <t>CONSIGNEE ADDRESS1</t>
    <phoneticPr fontId="13"/>
  </si>
  <si>
    <t>CONSIGNEE ADDRESS2</t>
    <phoneticPr fontId="13"/>
  </si>
  <si>
    <t>CONSIGNEE ADDRESS3</t>
    <phoneticPr fontId="13"/>
  </si>
  <si>
    <t>TEL</t>
    <phoneticPr fontId="13"/>
  </si>
  <si>
    <t>FAX</t>
    <phoneticPr fontId="13"/>
  </si>
  <si>
    <t>PAYMENT 1</t>
    <phoneticPr fontId="13"/>
  </si>
  <si>
    <t>PAYMENT 2</t>
    <phoneticPr fontId="13"/>
  </si>
  <si>
    <t>SHIPPER PER</t>
    <phoneticPr fontId="13"/>
  </si>
  <si>
    <t>INVOICE DATE</t>
    <phoneticPr fontId="13"/>
  </si>
  <si>
    <t>INVOICE NO.</t>
    <phoneticPr fontId="13"/>
  </si>
  <si>
    <t>CONTRACT NO.</t>
    <phoneticPr fontId="13"/>
  </si>
  <si>
    <t>CONTRACT DATE</t>
    <phoneticPr fontId="13"/>
  </si>
  <si>
    <t>ORDER DATE</t>
    <phoneticPr fontId="13"/>
  </si>
  <si>
    <t>ORDER NO.</t>
    <phoneticPr fontId="13"/>
  </si>
  <si>
    <t>L/C DATE</t>
    <phoneticPr fontId="13"/>
  </si>
  <si>
    <t>FROM</t>
    <phoneticPr fontId="13"/>
  </si>
  <si>
    <t xml:space="preserve"> TOKYO, JAPAN</t>
    <phoneticPr fontId="13"/>
  </si>
  <si>
    <t>TO</t>
    <phoneticPr fontId="13"/>
  </si>
  <si>
    <t>VIA</t>
    <phoneticPr fontId="13"/>
  </si>
  <si>
    <t>SHIPPING TERMS</t>
    <phoneticPr fontId="13"/>
  </si>
  <si>
    <t>TITTLE 1</t>
    <phoneticPr fontId="13"/>
  </si>
  <si>
    <t>TITTLE 2</t>
    <phoneticPr fontId="13"/>
  </si>
  <si>
    <t>ATTACHE</t>
    <phoneticPr fontId="13"/>
  </si>
  <si>
    <t>- DETAILS AS PER ATTACHED SHEET -</t>
    <phoneticPr fontId="13"/>
  </si>
  <si>
    <t>C/NO.</t>
    <phoneticPr fontId="13"/>
  </si>
  <si>
    <t>STYLE NO.</t>
    <phoneticPr fontId="13"/>
  </si>
  <si>
    <t>DESCRIPTION</t>
    <phoneticPr fontId="13"/>
  </si>
  <si>
    <t>Q'TY CODE</t>
    <phoneticPr fontId="13"/>
  </si>
  <si>
    <t>QUANTITY</t>
    <phoneticPr fontId="13"/>
  </si>
  <si>
    <t>UNIT PRICE</t>
    <phoneticPr fontId="13"/>
  </si>
  <si>
    <t>AMOUNT</t>
    <phoneticPr fontId="13"/>
  </si>
  <si>
    <t>DISCOUNT</t>
    <phoneticPr fontId="13"/>
  </si>
  <si>
    <t>CASE MARK1</t>
    <phoneticPr fontId="13"/>
  </si>
  <si>
    <t>CASE MARK2</t>
    <phoneticPr fontId="13"/>
  </si>
  <si>
    <t>CASE MARK3</t>
    <phoneticPr fontId="13"/>
  </si>
  <si>
    <t>CASE MARK4</t>
    <phoneticPr fontId="13"/>
  </si>
  <si>
    <t>CASE MARK5</t>
    <phoneticPr fontId="13"/>
  </si>
  <si>
    <t>CASE MARK6</t>
    <phoneticPr fontId="13"/>
  </si>
  <si>
    <t>TOTAL</t>
    <phoneticPr fontId="13"/>
  </si>
  <si>
    <t>MANUFACTURED BY</t>
    <phoneticPr fontId="13"/>
  </si>
  <si>
    <t>ORIGIN</t>
    <phoneticPr fontId="13"/>
  </si>
  <si>
    <t>OUR BANK</t>
    <phoneticPr fontId="13"/>
  </si>
  <si>
    <t>ETD TYO</t>
    <phoneticPr fontId="13"/>
  </si>
  <si>
    <t>DELIVERY SCHEDULES</t>
    <phoneticPr fontId="13"/>
  </si>
  <si>
    <t>INSURANCE</t>
    <phoneticPr fontId="13"/>
  </si>
  <si>
    <t>REMARK 1</t>
    <phoneticPr fontId="13"/>
  </si>
  <si>
    <t>AIR FREIGHT</t>
    <phoneticPr fontId="13"/>
  </si>
  <si>
    <t>YOUR (OUR) FORWARDER</t>
    <phoneticPr fontId="13"/>
  </si>
  <si>
    <t>CUSTOMS AGENT</t>
    <phoneticPr fontId="13"/>
  </si>
  <si>
    <t>FORWARDER</t>
    <phoneticPr fontId="13"/>
  </si>
  <si>
    <t>C/O ISSUED DATE</t>
    <phoneticPr fontId="13"/>
  </si>
  <si>
    <t>COUNTRY</t>
    <phoneticPr fontId="13"/>
  </si>
  <si>
    <t>F.O.B. TOKYO IN YEN</t>
    <phoneticPr fontId="13"/>
  </si>
  <si>
    <t xml:space="preserve"> SHUNYA CO., LTD.</t>
    <phoneticPr fontId="13"/>
  </si>
  <si>
    <t xml:space="preserve"> KENSHIN BLDG., 1F, 1-22-10 DOUGENZAKA,</t>
    <phoneticPr fontId="13"/>
  </si>
  <si>
    <t xml:space="preserve"> SHIBUYA-KU 150-0043</t>
    <phoneticPr fontId="13"/>
  </si>
  <si>
    <t xml:space="preserve"> TEL : +81(0)3-5459-1177</t>
    <phoneticPr fontId="13"/>
  </si>
  <si>
    <t xml:space="preserve"> - SAME AS BUYER -</t>
    <phoneticPr fontId="13"/>
  </si>
  <si>
    <t xml:space="preserve"> HOCHIMINH-CITY, VIETNAM</t>
    <phoneticPr fontId="13"/>
  </si>
  <si>
    <t>VIETNAM</t>
    <phoneticPr fontId="13"/>
  </si>
  <si>
    <t>PREPAID</t>
    <phoneticPr fontId="13"/>
  </si>
  <si>
    <t>COVERED BY SHIPPER</t>
    <phoneticPr fontId="13"/>
  </si>
  <si>
    <t>MEITETSU WORLD TRANSPORT (MR. NAMIKI)</t>
    <phoneticPr fontId="13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</si>
  <si>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3"/>
  </si>
  <si>
    <t>BUYER</t>
    <phoneticPr fontId="13"/>
  </si>
  <si>
    <t>BUYER ADDRESS1</t>
    <phoneticPr fontId="13"/>
  </si>
  <si>
    <t>BUYER ADDRESS2</t>
    <phoneticPr fontId="13"/>
  </si>
  <si>
    <t>BUYER ADDRESS3</t>
    <phoneticPr fontId="13"/>
  </si>
  <si>
    <t xml:space="preserve"> AIRCRAFT</t>
    <phoneticPr fontId="13"/>
  </si>
  <si>
    <t>持ち帰り条件</t>
    <rPh sb="0" eb="1">
      <t>モ</t>
    </rPh>
    <rPh sb="2" eb="3">
      <t>カエ</t>
    </rPh>
    <rPh sb="4" eb="6">
      <t>ジョウケン</t>
    </rPh>
    <phoneticPr fontId="13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</si>
  <si>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3"/>
  </si>
  <si>
    <t xml:space="preserve">  AFTER MANUFACTURED AT VIET NAM "</t>
    <phoneticPr fontId="13"/>
  </si>
  <si>
    <t xml:space="preserve"> NO COMMERCIAL</t>
    <phoneticPr fontId="12"/>
  </si>
  <si>
    <t>PCS.</t>
    <phoneticPr fontId="13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</si>
  <si>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</si>
  <si>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</si>
  <si>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</si>
  <si>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</si>
  <si>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</si>
  <si>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</si>
  <si>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</si>
  <si>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</si>
  <si>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</si>
  <si>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</si>
  <si>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 xml:space="preserve">ART NO. </t>
    <phoneticPr fontId="13"/>
  </si>
  <si>
    <t>(H.S. CODE)</t>
    <phoneticPr fontId="13"/>
  </si>
  <si>
    <t>- ATTACHED SHEET -</t>
    <phoneticPr fontId="13"/>
  </si>
  <si>
    <t xml:space="preserve"> </t>
    <phoneticPr fontId="13"/>
  </si>
  <si>
    <t>WOVEN FABRIC</t>
    <phoneticPr fontId="13"/>
  </si>
  <si>
    <t>VIVAN GARMENTS VIET NAM COMPANY LIMITED</t>
    <phoneticPr fontId="13"/>
  </si>
  <si>
    <t>Hamlet 3 , Long Hau Commune , Can Giuoc District,</t>
    <phoneticPr fontId="13"/>
  </si>
  <si>
    <t xml:space="preserve"> Long An Province , VietNam</t>
    <phoneticPr fontId="13"/>
  </si>
  <si>
    <t xml:space="preserve"> TEL : :   ( 084 ) 097 22 00 798  ATTN : MR. TUAN</t>
    <phoneticPr fontId="13"/>
  </si>
  <si>
    <t>FABRIC &amp; PARTS FOR WEAR &amp; SAMPLE CLOTHES</t>
    <phoneticPr fontId="13"/>
  </si>
  <si>
    <t xml:space="preserve"> TEL : ( 084 ) 097 22 00 798  ATTN : MR. TUAN</t>
    <phoneticPr fontId="13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</si>
  <si>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3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</si>
  <si>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3"/>
  </si>
  <si>
    <t xml:space="preserve"> C/NO.</t>
    <phoneticPr fontId="13"/>
  </si>
  <si>
    <t>INVOICE</t>
    <phoneticPr fontId="13"/>
  </si>
  <si>
    <t>IMPORTER</t>
    <phoneticPr fontId="12"/>
  </si>
  <si>
    <t>INVOICE NO.</t>
    <phoneticPr fontId="12"/>
  </si>
  <si>
    <t>CASE MARK</t>
    <phoneticPr fontId="12"/>
  </si>
  <si>
    <t>INVOICE DATE</t>
    <phoneticPr fontId="12"/>
  </si>
  <si>
    <t>CONTRACT NO.</t>
    <phoneticPr fontId="12"/>
  </si>
  <si>
    <t>CONSIGNEE</t>
    <phoneticPr fontId="12"/>
  </si>
  <si>
    <t xml:space="preserve">ORDER NO. </t>
    <phoneticPr fontId="12"/>
  </si>
  <si>
    <t>MADE  IN JAPAN</t>
    <phoneticPr fontId="13"/>
  </si>
  <si>
    <t>L/C NO.</t>
    <phoneticPr fontId="12"/>
  </si>
  <si>
    <t>PAYMENT METHOD</t>
    <phoneticPr fontId="12"/>
  </si>
  <si>
    <t>SHIPPED PER</t>
    <phoneticPr fontId="12"/>
  </si>
  <si>
    <t>FROM</t>
    <phoneticPr fontId="12"/>
  </si>
  <si>
    <t>TO</t>
    <phoneticPr fontId="12"/>
  </si>
  <si>
    <t xml:space="preserve"> </t>
    <phoneticPr fontId="12"/>
  </si>
  <si>
    <t>VIA</t>
    <phoneticPr fontId="12"/>
  </si>
  <si>
    <t>C/NO.</t>
    <phoneticPr fontId="12"/>
  </si>
  <si>
    <t>ART NO.</t>
    <phoneticPr fontId="13"/>
  </si>
  <si>
    <t xml:space="preserve">  DESCRIPTION  OF  GOODS</t>
    <phoneticPr fontId="12"/>
  </si>
  <si>
    <t>COLOR</t>
    <phoneticPr fontId="13"/>
  </si>
  <si>
    <t>SIZE</t>
    <phoneticPr fontId="13"/>
  </si>
  <si>
    <t>Q'TY</t>
    <phoneticPr fontId="12"/>
  </si>
  <si>
    <t>U/PRICE</t>
    <phoneticPr fontId="12"/>
  </si>
  <si>
    <t>AMOUNT</t>
    <phoneticPr fontId="12"/>
  </si>
  <si>
    <t>" NO COMMER VALUE</t>
    <phoneticPr fontId="13"/>
  </si>
  <si>
    <t>" NO COMMERCIAL VALUE</t>
    <phoneticPr fontId="13"/>
  </si>
  <si>
    <t xml:space="preserve">  VALUE FOR CUSTOMS PURPOSE ONLY "</t>
    <phoneticPr fontId="13"/>
  </si>
  <si>
    <t xml:space="preserve"> VALUE FOR CUSTOMS PURPOSE ONLY "</t>
    <phoneticPr fontId="13"/>
  </si>
  <si>
    <t>TOTAL CARTONS :</t>
    <phoneticPr fontId="13"/>
  </si>
  <si>
    <t>TOTAL GROSS WEIGHT :</t>
    <phoneticPr fontId="13"/>
  </si>
  <si>
    <t>KGS</t>
    <phoneticPr fontId="13"/>
  </si>
  <si>
    <t>LABEL SHEET -</t>
    <phoneticPr fontId="13"/>
  </si>
  <si>
    <t>原産国</t>
    <rPh sb="0" eb="3">
      <t>ゲンサンコク</t>
    </rPh>
    <phoneticPr fontId="13"/>
  </si>
  <si>
    <t>D17 Street , Sai Gon South Residential Area</t>
    <phoneticPr fontId="13"/>
  </si>
  <si>
    <t>TOTAL :</t>
  </si>
  <si>
    <t>PCS.</t>
  </si>
  <si>
    <t>WOVEN FABRIC</t>
  </si>
  <si>
    <t>M.</t>
    <phoneticPr fontId="13"/>
  </si>
  <si>
    <t>M.</t>
  </si>
  <si>
    <t>ITEM</t>
    <phoneticPr fontId="13"/>
  </si>
  <si>
    <t>NAME</t>
    <phoneticPr fontId="13"/>
  </si>
  <si>
    <t>color</t>
    <phoneticPr fontId="13"/>
  </si>
  <si>
    <t>lady's or men's</t>
    <phoneticPr fontId="13"/>
  </si>
  <si>
    <t>WOVEN or  KNIT</t>
    <phoneticPr fontId="13"/>
  </si>
  <si>
    <t>picture</t>
    <phoneticPr fontId="13"/>
  </si>
  <si>
    <t>Composition</t>
    <phoneticPr fontId="13"/>
  </si>
  <si>
    <t>packingNo.</t>
    <phoneticPr fontId="13"/>
  </si>
  <si>
    <t>KNIT FABRIC</t>
    <phoneticPr fontId="13"/>
  </si>
  <si>
    <t>TOTAL</t>
    <phoneticPr fontId="63"/>
  </si>
  <si>
    <t>COTTON100%</t>
  </si>
  <si>
    <t>長繊維、プリント加工なし</t>
    <rPh sb="0" eb="1">
      <t>ナガ</t>
    </rPh>
    <rPh sb="1" eb="3">
      <t>センイ</t>
    </rPh>
    <phoneticPr fontId="13"/>
  </si>
  <si>
    <t>古着　プリント有</t>
    <rPh sb="0" eb="1">
      <t>フルギ</t>
    </rPh>
    <rPh sb="7" eb="8">
      <t>アリ</t>
    </rPh>
    <phoneticPr fontId="13"/>
  </si>
  <si>
    <t>made in USA</t>
    <phoneticPr fontId="13"/>
  </si>
  <si>
    <t>C/#MIX</t>
    <phoneticPr fontId="13"/>
  </si>
  <si>
    <t>MADE IN USA</t>
    <phoneticPr fontId="13"/>
  </si>
  <si>
    <t>COUNTRY OF ORIGIN : JAPAN,USA</t>
    <phoneticPr fontId="13"/>
  </si>
  <si>
    <t>綾織　先染め　ツイル</t>
    <rPh sb="0" eb="1">
      <t>アヤ</t>
    </rPh>
    <rPh sb="1" eb="2">
      <t>オリ</t>
    </rPh>
    <rPh sb="3" eb="4">
      <t>サキ</t>
    </rPh>
    <phoneticPr fontId="13"/>
  </si>
  <si>
    <t>短繊維、プリント加工なし</t>
    <rPh sb="0" eb="1">
      <t>ミジカ</t>
    </rPh>
    <rPh sb="1" eb="3">
      <t>センイ</t>
    </rPh>
    <phoneticPr fontId="13"/>
  </si>
  <si>
    <t>c/#099 BLACK</t>
    <phoneticPr fontId="13"/>
  </si>
  <si>
    <t>used scarf</t>
    <phoneticPr fontId="13"/>
  </si>
  <si>
    <r>
      <t>COTTON 50%</t>
    </r>
    <r>
      <rPr>
        <b/>
        <sz val="10"/>
        <rFont val="Yu Gothic"/>
        <family val="2"/>
        <charset val="128"/>
      </rPr>
      <t>　POLYESTER 50%</t>
    </r>
    <phoneticPr fontId="13"/>
  </si>
  <si>
    <r>
      <t>FACE</t>
    </r>
    <r>
      <rPr>
        <b/>
        <sz val="10"/>
        <color theme="1"/>
        <rFont val="Yu Gothic"/>
        <family val="2"/>
        <charset val="128"/>
      </rPr>
      <t>：COTTON 100%</t>
    </r>
    <phoneticPr fontId="13"/>
  </si>
  <si>
    <t>c/#6 GRAY</t>
    <phoneticPr fontId="13"/>
  </si>
  <si>
    <t>MADE  IN USA</t>
    <phoneticPr fontId="13"/>
  </si>
  <si>
    <t>012S0008298</t>
    <phoneticPr fontId="13"/>
  </si>
  <si>
    <t>c/#201 BEIGE</t>
    <phoneticPr fontId="13"/>
  </si>
  <si>
    <t>STYLE:26S-JK01(25SY-22)</t>
    <phoneticPr fontId="13"/>
  </si>
  <si>
    <t>COTTON 72%　POLYESTER 28%</t>
    <phoneticPr fontId="13"/>
  </si>
  <si>
    <r>
      <t>WIDTH:140CM (186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</si>
  <si>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入庫NO.22077166</t>
    <rPh sb="0" eb="2">
      <t>ニュウコ</t>
    </rPh>
    <phoneticPr fontId="13"/>
  </si>
  <si>
    <t>11/5</t>
    <phoneticPr fontId="13"/>
  </si>
  <si>
    <t>1-2</t>
    <phoneticPr fontId="13"/>
  </si>
  <si>
    <t>3-4</t>
    <phoneticPr fontId="13"/>
  </si>
  <si>
    <t>027G0081930</t>
    <phoneticPr fontId="13"/>
  </si>
  <si>
    <t>KNIT FABRIC</t>
  </si>
  <si>
    <t>c/#008 BLACK</t>
    <phoneticPr fontId="13"/>
  </si>
  <si>
    <t>c/#301 PINK</t>
    <phoneticPr fontId="13"/>
  </si>
  <si>
    <t>STYLE:26S-CS01(25SY-29)</t>
  </si>
  <si>
    <t>STYLE:26S-CS01(25SY-29)</t>
    <phoneticPr fontId="13"/>
  </si>
  <si>
    <t>短繊維、プリント加工なし</t>
    <rPh sb="0" eb="1">
      <t>タン</t>
    </rPh>
    <rPh sb="1" eb="3">
      <t>センイ</t>
    </rPh>
    <phoneticPr fontId="13"/>
  </si>
  <si>
    <t>COTTON100%</t>
    <phoneticPr fontId="13"/>
  </si>
  <si>
    <r>
      <t>WIDTH:180CM (227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</si>
  <si>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入庫NO.2207145</t>
    <rPh sb="0" eb="2">
      <t>ニュウコ</t>
    </rPh>
    <phoneticPr fontId="13"/>
  </si>
  <si>
    <t>丸編みパイル編　裏毛　先染め</t>
    <rPh sb="0" eb="1">
      <t>ア</t>
    </rPh>
    <rPh sb="5" eb="6">
      <t>アミ</t>
    </rPh>
    <rPh sb="7" eb="9">
      <t>ウラケ</t>
    </rPh>
    <rPh sb="11" eb="13">
      <t>サキゾ</t>
    </rPh>
    <phoneticPr fontId="13"/>
  </si>
  <si>
    <t>027G0081924</t>
    <phoneticPr fontId="13"/>
  </si>
  <si>
    <t>丸編みリブ編　先染め</t>
    <rPh sb="0" eb="1">
      <t>アウラケ</t>
    </rPh>
    <rPh sb="7" eb="9">
      <t>サキゾ</t>
    </rPh>
    <phoneticPr fontId="13"/>
  </si>
  <si>
    <r>
      <t>COTTON 95%</t>
    </r>
    <r>
      <rPr>
        <b/>
        <sz val="10"/>
        <color theme="1"/>
        <rFont val="Yu Gothic"/>
        <family val="2"/>
        <charset val="128"/>
      </rPr>
      <t>　</t>
    </r>
    <r>
      <rPr>
        <b/>
        <sz val="10"/>
        <color theme="1"/>
        <rFont val="Century Gothic"/>
        <family val="2"/>
      </rPr>
      <t>POLYURETHANE5%</t>
    </r>
    <phoneticPr fontId="13"/>
  </si>
  <si>
    <r>
      <t>WIDTH:90CM (234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ＭＳ ゴシック"/>
        <family val="3"/>
        <charset val="128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</si>
  <si>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入庫NO.22077148</t>
    <rPh sb="0" eb="2">
      <t>ニュウコ</t>
    </rPh>
    <phoneticPr fontId="13"/>
  </si>
  <si>
    <t>入庫NO.22077149</t>
    <rPh sb="0" eb="2">
      <t>ニュウコ</t>
    </rPh>
    <phoneticPr fontId="13"/>
  </si>
  <si>
    <t>5-6</t>
    <phoneticPr fontId="13"/>
  </si>
  <si>
    <t>007G0001720</t>
    <phoneticPr fontId="13"/>
  </si>
  <si>
    <t>丸編み天竺　先染め</t>
    <rPh sb="0" eb="1">
      <t>マルア</t>
    </rPh>
    <rPh sb="2" eb="4">
      <t>テンジク</t>
    </rPh>
    <rPh sb="5" eb="7">
      <t>サキゾ</t>
    </rPh>
    <phoneticPr fontId="13"/>
  </si>
  <si>
    <t>c/#010 BLACK</t>
  </si>
  <si>
    <t>c/#010 BLACK</t>
    <phoneticPr fontId="13"/>
  </si>
  <si>
    <t>c/#00R WHITE</t>
  </si>
  <si>
    <t>c/#00R WHITE</t>
    <phoneticPr fontId="13"/>
  </si>
  <si>
    <t>c/#110 BROWN</t>
  </si>
  <si>
    <t>c/#110 BROWN</t>
    <phoneticPr fontId="13"/>
  </si>
  <si>
    <t>STYLE:26S-TE03(25SY-18)</t>
  </si>
  <si>
    <t>STYLE:26S-TE03(25SY-18)</t>
    <phoneticPr fontId="13"/>
  </si>
  <si>
    <r>
      <t>WIDTH:155CM (190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ＭＳ ゴシック"/>
        <family val="3"/>
        <charset val="128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</si>
  <si>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入庫NO.22077151</t>
    <rPh sb="0" eb="2">
      <t>ニュウコ</t>
    </rPh>
    <phoneticPr fontId="13"/>
  </si>
  <si>
    <t>入庫NO.22077147</t>
    <rPh sb="0" eb="2">
      <t>ニュウコ</t>
    </rPh>
    <phoneticPr fontId="13"/>
  </si>
  <si>
    <t>007G0001820</t>
    <phoneticPr fontId="13"/>
  </si>
  <si>
    <t>丸編みリブ　先染め</t>
    <rPh sb="0" eb="1">
      <t>マルア</t>
    </rPh>
    <rPh sb="5" eb="7">
      <t>サキゾ</t>
    </rPh>
    <phoneticPr fontId="13"/>
  </si>
  <si>
    <t>FACE：COTTON 100%</t>
  </si>
  <si>
    <r>
      <t>WIDTH:85CM (195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ＭＳ ゴシック"/>
        <family val="3"/>
        <charset val="128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</si>
  <si>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2600049201</t>
    <phoneticPr fontId="13"/>
  </si>
  <si>
    <t>綾織　先染め　合皮</t>
    <rPh sb="0" eb="1">
      <t>アヤ</t>
    </rPh>
    <rPh sb="1" eb="2">
      <t>オリ</t>
    </rPh>
    <rPh sb="3" eb="4">
      <t>サキ</t>
    </rPh>
    <rPh sb="7" eb="9">
      <t>ゴウヒ</t>
    </rPh>
    <phoneticPr fontId="13"/>
  </si>
  <si>
    <t>c/#310 ORANGE</t>
    <phoneticPr fontId="13"/>
  </si>
  <si>
    <t>c/#350 BEIGE</t>
    <phoneticPr fontId="13"/>
  </si>
  <si>
    <t>STYLE:26S-JK02(25SY-23),26S-PT03(25SY-21)</t>
  </si>
  <si>
    <t>STYLE:26S-JK02(25SY-23),26S-PT03(25SY-21)</t>
    <phoneticPr fontId="13"/>
  </si>
  <si>
    <t>VISCOSE100%　surface：POLYURETHANE</t>
    <phoneticPr fontId="13"/>
  </si>
  <si>
    <r>
      <t>WIDTH:135CM (200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</si>
  <si>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9-11</t>
    <phoneticPr fontId="13"/>
  </si>
  <si>
    <t>入庫NO.2207146</t>
    <rPh sb="0" eb="2">
      <t>ニュウコ</t>
    </rPh>
    <phoneticPr fontId="13"/>
  </si>
  <si>
    <t>入庫NO.2207150</t>
    <rPh sb="0" eb="2">
      <t>ニュウコ</t>
    </rPh>
    <phoneticPr fontId="13"/>
  </si>
  <si>
    <t>7-8</t>
    <phoneticPr fontId="13"/>
  </si>
  <si>
    <t>14-9532</t>
    <phoneticPr fontId="13"/>
  </si>
  <si>
    <t>平編み パイル 裏毛　後染め</t>
    <rPh sb="0" eb="1">
      <t>ヒラ</t>
    </rPh>
    <rPh sb="8" eb="10">
      <t>ウラケ</t>
    </rPh>
    <rPh sb="11" eb="12">
      <t>アト</t>
    </rPh>
    <rPh sb="12" eb="13">
      <t>ゾ</t>
    </rPh>
    <phoneticPr fontId="13"/>
  </si>
  <si>
    <t>c/#BK</t>
    <phoneticPr fontId="13"/>
  </si>
  <si>
    <t>STYLE:26S-SH02(25SY-19)</t>
    <phoneticPr fontId="13"/>
  </si>
  <si>
    <t>COTTON 100%</t>
    <phoneticPr fontId="13"/>
  </si>
  <si>
    <r>
      <t>WIDTH:165CM (510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ＭＳ ゴシック"/>
        <family val="3"/>
        <charset val="128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</si>
  <si>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32-50900</t>
    <phoneticPr fontId="13"/>
  </si>
  <si>
    <t>平織　後染め　タスラン</t>
    <rPh sb="0" eb="1">
      <t>ヒラ</t>
    </rPh>
    <rPh sb="1" eb="2">
      <t>オリ</t>
    </rPh>
    <rPh sb="3" eb="4">
      <t>アト</t>
    </rPh>
    <phoneticPr fontId="13"/>
  </si>
  <si>
    <t>c/#12 GREEN</t>
    <phoneticPr fontId="13"/>
  </si>
  <si>
    <t>STYLE:26S-JK03(25SY-38),26S-PT04(25SY-37)</t>
    <phoneticPr fontId="13"/>
  </si>
  <si>
    <r>
      <t>WIDTH:140CM (115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ＭＳ ゴシック"/>
        <family val="3"/>
        <charset val="128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</si>
  <si>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12-16</t>
    <phoneticPr fontId="13"/>
  </si>
  <si>
    <t>11/6</t>
    <phoneticPr fontId="13"/>
  </si>
  <si>
    <t>入庫NO.22077212</t>
    <rPh sb="0" eb="2">
      <t>ニュウコ</t>
    </rPh>
    <phoneticPr fontId="13"/>
  </si>
  <si>
    <t>32-44105</t>
    <phoneticPr fontId="13"/>
  </si>
  <si>
    <t>朱子織　後染め　サテン</t>
    <rPh sb="0" eb="2">
      <t>シュシ</t>
    </rPh>
    <rPh sb="2" eb="3">
      <t>オリ</t>
    </rPh>
    <rPh sb="4" eb="5">
      <t>アト</t>
    </rPh>
    <phoneticPr fontId="13"/>
  </si>
  <si>
    <t>c/#10 KHAKI</t>
    <phoneticPr fontId="13"/>
  </si>
  <si>
    <t>c/#6 ORANGE</t>
    <phoneticPr fontId="13"/>
  </si>
  <si>
    <t>c/#31 BROWN</t>
    <phoneticPr fontId="13"/>
  </si>
  <si>
    <t>c/#1 WHITE</t>
    <phoneticPr fontId="13"/>
  </si>
  <si>
    <t>c/#20 CHARCOAL</t>
    <phoneticPr fontId="13"/>
  </si>
  <si>
    <t>c/#28 DARKBEIGE</t>
    <phoneticPr fontId="13"/>
  </si>
  <si>
    <t>c/#30 OFFWHITE</t>
    <phoneticPr fontId="13"/>
  </si>
  <si>
    <t>c/#3 BEIGE</t>
    <phoneticPr fontId="13"/>
  </si>
  <si>
    <t>STYLE:26S-SH03(25SY-36),26S-SH04(25SY-35),26S-PT05(25SY-39)</t>
    <phoneticPr fontId="13"/>
  </si>
  <si>
    <t>入庫NO.22077300</t>
    <rPh sb="0" eb="2">
      <t>ニュウコ</t>
    </rPh>
    <phoneticPr fontId="13"/>
  </si>
  <si>
    <t>17-24</t>
    <phoneticPr fontId="13"/>
  </si>
  <si>
    <t>S7308</t>
    <phoneticPr fontId="13"/>
  </si>
  <si>
    <t>平織　後染め　タスラン加工</t>
    <rPh sb="0" eb="1">
      <t>ヒラ</t>
    </rPh>
    <rPh sb="1" eb="2">
      <t>オリ</t>
    </rPh>
    <rPh sb="3" eb="4">
      <t>アト</t>
    </rPh>
    <rPh sb="11" eb="13">
      <t>カコウ</t>
    </rPh>
    <phoneticPr fontId="13"/>
  </si>
  <si>
    <t>c/#F061 BEIGE</t>
    <phoneticPr fontId="13"/>
  </si>
  <si>
    <t>c/#F101 ORANGE</t>
    <phoneticPr fontId="13"/>
  </si>
  <si>
    <t>NYLON 100%</t>
    <phoneticPr fontId="13"/>
  </si>
  <si>
    <t>NYLON 93% POLYURETHANE 7%</t>
    <phoneticPr fontId="13"/>
  </si>
  <si>
    <r>
      <t>WIDTH:135CM (128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</si>
  <si>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25-27</t>
    <phoneticPr fontId="13"/>
  </si>
  <si>
    <t>入庫NO.2207304</t>
    <rPh sb="0" eb="2">
      <t>ニュウコ</t>
    </rPh>
    <phoneticPr fontId="13"/>
  </si>
  <si>
    <t>入庫NO.2207303</t>
    <rPh sb="0" eb="2">
      <t>ニュウコ</t>
    </rPh>
    <phoneticPr fontId="13"/>
  </si>
  <si>
    <t>11/10</t>
    <phoneticPr fontId="13"/>
  </si>
  <si>
    <t>7070</t>
    <phoneticPr fontId="13"/>
  </si>
  <si>
    <t>綾織　先染め　デニム</t>
    <rPh sb="0" eb="1">
      <t>アヤ</t>
    </rPh>
    <rPh sb="1" eb="2">
      <t>オリ</t>
    </rPh>
    <rPh sb="3" eb="4">
      <t>サキ</t>
    </rPh>
    <phoneticPr fontId="13"/>
  </si>
  <si>
    <t>c/#510 BLACK</t>
    <phoneticPr fontId="13"/>
  </si>
  <si>
    <t>c/#213 INDIGO</t>
    <phoneticPr fontId="13"/>
  </si>
  <si>
    <t>STYLE:26S-PT01(25SY-17),26S-PT02(25SY-16)</t>
    <phoneticPr fontId="13"/>
  </si>
  <si>
    <r>
      <t>WIDTH:150CM (440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</si>
  <si>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1044532</t>
    <phoneticPr fontId="13"/>
  </si>
  <si>
    <t>綾織　後染め　ツイル</t>
    <rPh sb="0" eb="1">
      <t>アヤ</t>
    </rPh>
    <rPh sb="1" eb="2">
      <t>オリ</t>
    </rPh>
    <rPh sb="3" eb="4">
      <t>アト</t>
    </rPh>
    <phoneticPr fontId="13"/>
  </si>
  <si>
    <t>c/#01 WHITE</t>
    <phoneticPr fontId="13"/>
  </si>
  <si>
    <t>c/#09 BLACK</t>
    <phoneticPr fontId="13"/>
  </si>
  <si>
    <t>c/#35 BEIGE</t>
    <phoneticPr fontId="13"/>
  </si>
  <si>
    <t>NYLON86% POLYURETHANE14％</t>
    <phoneticPr fontId="13"/>
  </si>
  <si>
    <r>
      <t>WIDTH:140CM (165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</si>
  <si>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YG1072</t>
    <phoneticPr fontId="13"/>
  </si>
  <si>
    <t>丸編み パイル編　裏毛　後染め</t>
    <rPh sb="0" eb="1">
      <t>マルア</t>
    </rPh>
    <rPh sb="6" eb="7">
      <t>アミ</t>
    </rPh>
    <rPh sb="8" eb="10">
      <t>ウラケ</t>
    </rPh>
    <rPh sb="12" eb="14">
      <t>アトゾ</t>
    </rPh>
    <phoneticPr fontId="13"/>
  </si>
  <si>
    <r>
      <t>WIDTH:160CM (570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</si>
  <si>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c/#25 GRAY</t>
    <phoneticPr fontId="13"/>
  </si>
  <si>
    <t>c/#5 BLACK</t>
    <phoneticPr fontId="13"/>
  </si>
  <si>
    <t>STYLE:26S-PT02(25SY-16)</t>
    <phoneticPr fontId="13"/>
  </si>
  <si>
    <t>1122</t>
    <phoneticPr fontId="13"/>
  </si>
  <si>
    <t>c/#8 BROWN</t>
    <phoneticPr fontId="13"/>
  </si>
  <si>
    <t>c/#3 PINK</t>
    <phoneticPr fontId="13"/>
  </si>
  <si>
    <t>c/#4 BEIGE</t>
    <phoneticPr fontId="13"/>
  </si>
  <si>
    <t>STYLE:26S-JK03(25SY-38)</t>
  </si>
  <si>
    <t>STYLE:26S-JK03(25SY-38)</t>
    <phoneticPr fontId="13"/>
  </si>
  <si>
    <t>COTTON98% POLYURETHANE2%</t>
    <phoneticPr fontId="13"/>
  </si>
  <si>
    <r>
      <t>WIDTH:134CM (540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</si>
  <si>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 xml:space="preserve">STYLE:574102			</t>
    <phoneticPr fontId="13"/>
  </si>
  <si>
    <t>28-32</t>
    <phoneticPr fontId="13"/>
  </si>
  <si>
    <t>入庫NO.2207307</t>
    <rPh sb="0" eb="2">
      <t>ニュウコ</t>
    </rPh>
    <phoneticPr fontId="13"/>
  </si>
  <si>
    <t>TAN-8080-50</t>
    <phoneticPr fontId="13"/>
  </si>
  <si>
    <t>c/#INDIGO</t>
    <phoneticPr fontId="13"/>
  </si>
  <si>
    <r>
      <t>WIDTH:148CM (420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</si>
  <si>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11/12</t>
    <phoneticPr fontId="13"/>
  </si>
  <si>
    <t>KK-KB77BK</t>
  </si>
  <si>
    <t>c/#BLACK</t>
    <phoneticPr fontId="13"/>
  </si>
  <si>
    <r>
      <t>WIDTH:148CM (400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</si>
  <si>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26S-JK01 sample</t>
    <phoneticPr fontId="13"/>
  </si>
  <si>
    <t>men's shirt SAMPLE CLOTHES</t>
    <phoneticPr fontId="13"/>
  </si>
  <si>
    <t>26S-SH01 sample</t>
    <phoneticPr fontId="13"/>
  </si>
  <si>
    <t>men's zipparker SAMPLE CLOTHES</t>
    <phoneticPr fontId="13"/>
  </si>
  <si>
    <t>26S-CS01 sample</t>
    <phoneticPr fontId="13"/>
  </si>
  <si>
    <t>men's blouson  SAMPLE CLOTHES</t>
    <phoneticPr fontId="13"/>
  </si>
  <si>
    <t>men's jacket SAMPLE CLOTHES</t>
    <phoneticPr fontId="13"/>
  </si>
  <si>
    <t>26S-JK02 sample</t>
    <phoneticPr fontId="13"/>
  </si>
  <si>
    <t>men's nylon jacket SAMPLE CLOTHES</t>
    <phoneticPr fontId="13"/>
  </si>
  <si>
    <t>26S-JK3 sample</t>
    <phoneticPr fontId="13"/>
  </si>
  <si>
    <t>men's denim pants SAMPLE CLOTHES</t>
    <phoneticPr fontId="13"/>
  </si>
  <si>
    <t>26S-PT01 sample</t>
    <phoneticPr fontId="13"/>
  </si>
  <si>
    <t>26S-PT02 sample</t>
    <phoneticPr fontId="13"/>
  </si>
  <si>
    <t>men's nylon pants  SAMPLE CLOTHES</t>
    <phoneticPr fontId="13"/>
  </si>
  <si>
    <t>26S-PT03 sample</t>
    <phoneticPr fontId="13"/>
  </si>
  <si>
    <t>men's short pants  SAMPLE CLOTHES</t>
    <phoneticPr fontId="13"/>
  </si>
  <si>
    <t>26S-PT04 sample</t>
    <phoneticPr fontId="13"/>
  </si>
  <si>
    <t>men's pajamas pants  SAMPLE CLOTHES</t>
    <phoneticPr fontId="13"/>
  </si>
  <si>
    <t>26S-PT05 sample</t>
    <phoneticPr fontId="13"/>
  </si>
  <si>
    <t>men's opencollar shirt  SAMPLE CLOTHES</t>
    <phoneticPr fontId="13"/>
  </si>
  <si>
    <t>26S-SH03 sample</t>
    <phoneticPr fontId="13"/>
  </si>
  <si>
    <t>men's pajamas shirt  SAMPLE CLOTHES</t>
    <phoneticPr fontId="13"/>
  </si>
  <si>
    <t>26S-SH04 sample</t>
    <phoneticPr fontId="13"/>
  </si>
  <si>
    <t>33</t>
    <phoneticPr fontId="13"/>
  </si>
  <si>
    <t>PRESTIGE WOVEN name</t>
  </si>
  <si>
    <t>PRESTIGE WOVEN name</t>
    <phoneticPr fontId="13"/>
  </si>
  <si>
    <t>入庫NO.22077351</t>
    <rPh sb="0" eb="2">
      <t>ニュウコ</t>
    </rPh>
    <phoneticPr fontId="13"/>
  </si>
  <si>
    <t>33CARTONS</t>
    <phoneticPr fontId="13"/>
  </si>
  <si>
    <t>men's jacket SAMPLE CLOTHES</t>
  </si>
  <si>
    <t>men's shirt SAMPLE CLOTHES</t>
  </si>
  <si>
    <t>men's zipparker SAMPLE CLOTHES</t>
  </si>
  <si>
    <t>men's blouson  SAMPLE CLOTHES</t>
  </si>
  <si>
    <t>men's nylon jacket SAMPLE CLOTHES</t>
  </si>
  <si>
    <t>men's denim pants SAMPLE CLOTHES</t>
  </si>
  <si>
    <t>men's nylon pants  SAMPLE CLOTHES</t>
  </si>
  <si>
    <t>men's short pants  SAMPLE CLOTHES</t>
  </si>
  <si>
    <t>men's pajamas pants  SAMPLE CLOTHES</t>
  </si>
  <si>
    <t>men's opencollar shirt  SAMPLE CLOTHES</t>
  </si>
  <si>
    <t>men's pajamas shirt  SAMPLE CLOTHES</t>
  </si>
  <si>
    <t>26S-JK01 sample</t>
  </si>
  <si>
    <t>26S-SH01 sample</t>
  </si>
  <si>
    <t>26S-CS01 sample</t>
  </si>
  <si>
    <t>26S-JK02 sample</t>
  </si>
  <si>
    <t>26S-JK3 sample</t>
  </si>
  <si>
    <t>26S-PT01 sample</t>
  </si>
  <si>
    <t>26S-PT02 sample</t>
  </si>
  <si>
    <t>26S-PT03 sample</t>
  </si>
  <si>
    <t>26S-PT04 sample</t>
  </si>
  <si>
    <t>26S-PT05 sample</t>
  </si>
  <si>
    <t>26S-SH03 sample</t>
  </si>
  <si>
    <t>26S-SH04 sample</t>
  </si>
  <si>
    <t>men's</t>
    <phoneticPr fontId="13"/>
  </si>
  <si>
    <r>
      <t>KNIT</t>
    </r>
    <r>
      <rPr>
        <sz val="24"/>
        <rFont val="ＭＳ Ｐゴシック"/>
        <family val="2"/>
        <charset val="128"/>
      </rPr>
      <t>　</t>
    </r>
    <r>
      <rPr>
        <sz val="24"/>
        <rFont val="Century Gothic"/>
        <family val="2"/>
      </rPr>
      <t>FABRIC</t>
    </r>
    <phoneticPr fontId="13"/>
  </si>
  <si>
    <t>COTTON 72%　POLYESTER 28%</t>
  </si>
  <si>
    <t>NYLON 93% POLYURETHANE 7%</t>
  </si>
  <si>
    <t>VISCOSE100%</t>
  </si>
  <si>
    <t>VISCOSE100%</t>
    <phoneticPr fontId="13"/>
  </si>
  <si>
    <t>NYLON 100%</t>
  </si>
  <si>
    <t>C/#BLACK</t>
    <phoneticPr fontId="13"/>
  </si>
  <si>
    <t>c/#WHITE</t>
    <phoneticPr fontId="13"/>
  </si>
  <si>
    <t>c/#BLACK</t>
  </si>
  <si>
    <t>c/#BLUE</t>
    <phoneticPr fontId="13"/>
  </si>
  <si>
    <t>c/#ORANGE</t>
    <phoneticPr fontId="13"/>
  </si>
  <si>
    <t>c/#KHAKI</t>
    <phoneticPr fontId="13"/>
  </si>
  <si>
    <t xml:space="preserve"> SHUNYA CO., LTD.</t>
  </si>
  <si>
    <t>MADE IN JAPAN</t>
  </si>
  <si>
    <t>MADE IN JAPAN</t>
    <phoneticPr fontId="13"/>
  </si>
  <si>
    <t xml:space="preserve"> C/NO. 1-33</t>
    <phoneticPr fontId="13"/>
  </si>
  <si>
    <t>Nov, 13 2025</t>
    <phoneticPr fontId="13"/>
  </si>
  <si>
    <t xml:space="preserve"> SY-7701110-VT-DD-01</t>
    <phoneticPr fontId="13"/>
  </si>
  <si>
    <t>33PACKAGES</t>
    <phoneticPr fontId="13"/>
  </si>
  <si>
    <t>STYLE:SH-SV-NRS-1008</t>
    <phoneticPr fontId="13"/>
  </si>
  <si>
    <t>OA5100</t>
    <phoneticPr fontId="13"/>
  </si>
  <si>
    <t>c/#25 BEIGE</t>
    <phoneticPr fontId="13"/>
  </si>
  <si>
    <t>ACETATE 100%</t>
    <phoneticPr fontId="13"/>
  </si>
  <si>
    <r>
      <t>WIDTH:122CM (135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</si>
  <si>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 xml:space="preserve">1035.7M. 1312PCS. 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</si>
</sst>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26" formatCode="\$#,##0.00_);[Red]\(\$#,##0.00\)"/>
    <numFmt numFmtId="176" formatCode="_(* #,##0_);_(* \(#,##0\);_(* &quot;-&quot;_);_(@_)"/>
    <numFmt numFmtId="177" formatCode="&quot;¥&quot;#,##0_);\(&quot;¥&quot;#,##0\)"/>
    <numFmt numFmtId="178" formatCode="&quot;¥&quot;#,##0_);[Red]\(&quot;¥&quot;#,##0\)"/>
    <numFmt numFmtId="179" formatCode="#,##0.0"/>
    <numFmt numFmtId="180" formatCode="#,##0.0_);\(#,##0.0\)"/>
    <numFmt numFmtId="181" formatCode="_(* #,##0.0_);_(* \(#,##0.0\);_(* &quot;-&quot;_);_(@_)"/>
    <numFmt numFmtId="182" formatCode="[$€-410]\ #,##0.00_);[Red]\([$€-410]\ #,##0.00\)"/>
    <numFmt numFmtId="183" formatCode="[$€-410]\ #,##0.00;\-[$€-410]\ #,##0.00"/>
  </numFmts>
  <fonts count="69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b/>
      <u/>
      <sz val="10"/>
      <name val="Century Gothic"/>
      <family val="2"/>
    </font>
    <font>
      <b/>
      <i/>
      <sz val="10"/>
      <name val="Century Gothic"/>
      <family val="2"/>
    </font>
    <font>
      <u/>
      <sz val="10"/>
      <color indexed="12"/>
      <name val="Verdana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b/>
      <u/>
      <sz val="10"/>
      <color theme="3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name val="ＭＳ Ｐゴシック"/>
      <family val="3"/>
      <charset val="128"/>
      <scheme val="major"/>
    </font>
    <font>
      <sz val="11"/>
      <name val="ＭＳ Ｐゴシック"/>
      <family val="3"/>
      <charset val="128"/>
    </font>
    <font>
      <sz val="28"/>
      <name val="ＭＳ Ｐゴシック"/>
      <family val="3"/>
      <charset val="128"/>
      <scheme val="minor"/>
    </font>
    <font>
      <sz val="28"/>
      <name val="新細明體"/>
      <family val="1"/>
    </font>
    <font>
      <b/>
      <sz val="22"/>
      <name val="Century Gothic"/>
      <family val="2"/>
    </font>
    <font>
      <b/>
      <sz val="20"/>
      <name val="Century Gothic"/>
      <family val="2"/>
    </font>
    <font>
      <b/>
      <i/>
      <sz val="2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6"/>
      <name val="Century Gothic"/>
      <family val="2"/>
    </font>
    <font>
      <b/>
      <i/>
      <sz val="9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i/>
      <sz val="10"/>
      <name val="Century Gothic"/>
      <family val="2"/>
    </font>
    <font>
      <b/>
      <u/>
      <sz val="11"/>
      <name val="Century Gothic"/>
      <family val="2"/>
    </font>
    <font>
      <b/>
      <sz val="14"/>
      <name val="Century Gothic"/>
      <family val="2"/>
    </font>
    <font>
      <b/>
      <sz val="12"/>
      <color rgb="FFFF0000"/>
      <name val="Century Gothic"/>
      <family val="2"/>
    </font>
    <font>
      <b/>
      <sz val="10"/>
      <name val="Century Gothic"/>
      <family val="2"/>
      <charset val="128"/>
    </font>
    <font>
      <b/>
      <sz val="10"/>
      <color theme="1"/>
      <name val="Yu Gothic"/>
      <family val="2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Microsoft YaHei"/>
      <family val="3"/>
      <charset val="134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sz val="18"/>
      <name val="ＭＳ Ｐゴシック"/>
      <family val="1"/>
      <charset val="128"/>
    </font>
    <font>
      <b/>
      <sz val="26"/>
      <name val="新細明體"/>
    </font>
    <font>
      <b/>
      <sz val="24"/>
      <name val="Century Gothic"/>
      <family val="2"/>
    </font>
    <font>
      <sz val="24"/>
      <name val="Century Gothic"/>
      <family val="2"/>
    </font>
    <font>
      <b/>
      <sz val="24"/>
      <color rgb="FFFF0000"/>
      <name val="Century Gothic"/>
      <family val="2"/>
    </font>
    <font>
      <b/>
      <sz val="24"/>
      <color theme="1"/>
      <name val="Century Gothic"/>
      <family val="2"/>
    </font>
    <font>
      <b/>
      <sz val="10"/>
      <name val="Yu Gothic"/>
      <family val="2"/>
      <charset val="128"/>
    </font>
    <font>
      <sz val="6"/>
      <name val="ＭＳ Ｐゴシック"/>
      <family val="2"/>
      <charset val="128"/>
      <scheme val="minor"/>
    </font>
    <font>
      <b/>
      <sz val="10"/>
      <color theme="1"/>
      <name val="ＭＳ ゴシック"/>
      <family val="3"/>
      <charset val="128"/>
    </font>
    <font>
      <b/>
      <sz val="10"/>
      <color rgb="FF0070C0"/>
      <name val="Century Gothic"/>
      <family val="2"/>
    </font>
    <font>
      <b/>
      <i/>
      <sz val="10"/>
      <color theme="1"/>
      <name val="Century Gothic"/>
      <family val="2"/>
    </font>
    <font>
      <sz val="24"/>
      <name val="ＭＳ Ｐゴシック"/>
      <family val="2"/>
      <charset val="128"/>
    </font>
    <font>
      <b/>
      <sz val="28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6" fontId="7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79">
    <xf numFmtId="0" fontId="0" fillId="0" borderId="0" xfId="0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vertical="center" shrinkToFi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1" fillId="2" borderId="0" xfId="0" applyFont="1" applyFill="1" applyAlignment="1">
      <alignment horizontal="left" vertical="center"/>
    </xf>
    <xf numFmtId="0" fontId="23" fillId="0" borderId="0" xfId="0" applyFont="1" applyAlignment="1">
      <alignment vertical="center" shrinkToFit="1"/>
    </xf>
    <xf numFmtId="49" fontId="11" fillId="0" borderId="0" xfId="0" applyNumberFormat="1" applyFont="1" applyAlignment="1">
      <alignment vertical="center" shrinkToFit="1"/>
    </xf>
    <xf numFmtId="0" fontId="17" fillId="0" borderId="0" xfId="1" applyNumberFormat="1" applyFont="1" applyFill="1" applyBorder="1" applyAlignment="1" applyProtection="1"/>
    <xf numFmtId="26" fontId="11" fillId="0" borderId="0" xfId="0" applyNumberFormat="1" applyFont="1" applyAlignment="1">
      <alignment horizontal="left" vertical="center" shrinkToFit="1"/>
    </xf>
    <xf numFmtId="178" fontId="11" fillId="0" borderId="0" xfId="0" applyNumberFormat="1" applyFont="1" applyAlignment="1">
      <alignment horizontal="left" vertical="center" shrinkToFit="1"/>
    </xf>
    <xf numFmtId="0" fontId="15" fillId="0" borderId="0" xfId="0" applyFont="1" applyAlignment="1">
      <alignment vertical="center" shrinkToFit="1"/>
    </xf>
    <xf numFmtId="0" fontId="11" fillId="0" borderId="4" xfId="0" applyFont="1" applyBorder="1" applyAlignment="1">
      <alignment horizontal="center" vertical="center"/>
    </xf>
    <xf numFmtId="0" fontId="24" fillId="0" borderId="0" xfId="0" applyFont="1" applyAlignment="1">
      <alignment vertical="center" shrinkToFit="1"/>
    </xf>
    <xf numFmtId="0" fontId="25" fillId="0" borderId="0" xfId="0" applyFont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left" vertical="center"/>
    </xf>
    <xf numFmtId="49" fontId="11" fillId="3" borderId="0" xfId="0" applyNumberFormat="1" applyFont="1" applyFill="1" applyAlignment="1">
      <alignment horizontal="left" vertical="center"/>
    </xf>
    <xf numFmtId="0" fontId="11" fillId="3" borderId="0" xfId="0" applyFont="1" applyFill="1" applyAlignment="1">
      <alignment vertical="center" shrinkToFit="1"/>
    </xf>
    <xf numFmtId="177" fontId="20" fillId="3" borderId="0" xfId="0" applyNumberFormat="1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49" fontId="23" fillId="0" borderId="10" xfId="0" applyNumberFormat="1" applyFont="1" applyBorder="1" applyAlignment="1">
      <alignment horizontal="left" vertical="center"/>
    </xf>
    <xf numFmtId="0" fontId="23" fillId="0" borderId="10" xfId="0" applyFont="1" applyBorder="1" applyAlignment="1">
      <alignment vertical="center" wrapText="1"/>
    </xf>
    <xf numFmtId="179" fontId="23" fillId="0" borderId="10" xfId="0" applyNumberFormat="1" applyFont="1" applyBorder="1" applyAlignment="1">
      <alignment vertical="center" shrinkToFit="1"/>
    </xf>
    <xf numFmtId="49" fontId="31" fillId="0" borderId="10" xfId="0" quotePrefix="1" applyNumberFormat="1" applyFont="1" applyBorder="1" applyAlignment="1">
      <alignment horizontal="left" vertical="center"/>
    </xf>
    <xf numFmtId="179" fontId="23" fillId="0" borderId="11" xfId="0" applyNumberFormat="1" applyFont="1" applyBorder="1" applyAlignment="1">
      <alignment vertical="center" shrinkToFit="1"/>
    </xf>
    <xf numFmtId="49" fontId="28" fillId="0" borderId="11" xfId="0" quotePrefix="1" applyNumberFormat="1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0" fontId="16" fillId="0" borderId="24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/>
    </xf>
    <xf numFmtId="49" fontId="15" fillId="0" borderId="10" xfId="0" applyNumberFormat="1" applyFont="1" applyBorder="1" applyAlignment="1">
      <alignment horizontal="left" vertical="center"/>
    </xf>
    <xf numFmtId="0" fontId="15" fillId="0" borderId="10" xfId="0" applyFont="1" applyBorder="1" applyAlignment="1">
      <alignment horizontal="center" vertical="center"/>
    </xf>
    <xf numFmtId="0" fontId="26" fillId="0" borderId="10" xfId="0" applyFont="1" applyBorder="1">
      <alignment vertical="center"/>
    </xf>
    <xf numFmtId="0" fontId="11" fillId="0" borderId="1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49" fontId="24" fillId="0" borderId="10" xfId="0" applyNumberFormat="1" applyFont="1" applyBorder="1" applyAlignment="1">
      <alignment horizontal="left" vertical="center"/>
    </xf>
    <xf numFmtId="0" fontId="15" fillId="0" borderId="10" xfId="0" applyFont="1" applyBorder="1">
      <alignment vertical="center"/>
    </xf>
    <xf numFmtId="26" fontId="15" fillId="0" borderId="10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49" fontId="11" fillId="0" borderId="6" xfId="0" applyNumberFormat="1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>
      <alignment vertical="center"/>
    </xf>
    <xf numFmtId="26" fontId="15" fillId="0" borderId="6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78" fontId="23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center" vertical="center" wrapText="1"/>
    </xf>
    <xf numFmtId="1" fontId="11" fillId="0" borderId="8" xfId="0" applyNumberFormat="1" applyFont="1" applyBorder="1" applyAlignment="1">
      <alignment horizontal="center" vertical="center"/>
    </xf>
    <xf numFmtId="178" fontId="23" fillId="0" borderId="10" xfId="0" applyNumberFormat="1" applyFont="1" applyBorder="1" applyAlignment="1">
      <alignment horizontal="right" vertical="center"/>
    </xf>
    <xf numFmtId="177" fontId="11" fillId="0" borderId="10" xfId="0" applyNumberFormat="1" applyFont="1" applyBorder="1" applyAlignment="1">
      <alignment horizontal="right" vertical="center"/>
    </xf>
    <xf numFmtId="0" fontId="29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179" fontId="23" fillId="0" borderId="11" xfId="0" applyNumberFormat="1" applyFont="1" applyBorder="1" applyAlignment="1">
      <alignment horizontal="center" vertical="center" shrinkToFit="1"/>
    </xf>
    <xf numFmtId="178" fontId="23" fillId="0" borderId="11" xfId="0" applyNumberFormat="1" applyFont="1" applyBorder="1" applyAlignment="1">
      <alignment horizontal="right" vertical="center"/>
    </xf>
    <xf numFmtId="177" fontId="11" fillId="0" borderId="11" xfId="0" applyNumberFormat="1" applyFont="1" applyBorder="1" applyAlignment="1">
      <alignment horizontal="right" vertical="center"/>
    </xf>
    <xf numFmtId="178" fontId="23" fillId="0" borderId="4" xfId="0" applyNumberFormat="1" applyFont="1" applyBorder="1" applyAlignment="1">
      <alignment horizontal="right" vertical="center"/>
    </xf>
    <xf numFmtId="177" fontId="11" fillId="0" borderId="4" xfId="0" applyNumberFormat="1" applyFont="1" applyBorder="1" applyAlignment="1">
      <alignment horizontal="right" vertical="center"/>
    </xf>
    <xf numFmtId="1" fontId="11" fillId="0" borderId="10" xfId="0" applyNumberFormat="1" applyFont="1" applyBorder="1" applyAlignment="1">
      <alignment horizontal="center" vertical="center"/>
    </xf>
    <xf numFmtId="180" fontId="11" fillId="0" borderId="8" xfId="2" applyNumberFormat="1" applyFont="1" applyFill="1" applyBorder="1" applyAlignment="1">
      <alignment horizontal="center" vertical="center"/>
    </xf>
    <xf numFmtId="177" fontId="11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10" xfId="0" applyFont="1" applyBorder="1" applyAlignment="1">
      <alignment vertical="center" shrinkToFit="1"/>
    </xf>
    <xf numFmtId="49" fontId="11" fillId="0" borderId="10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34" fillId="0" borderId="0" xfId="0" applyFont="1">
      <alignment vertical="center"/>
    </xf>
    <xf numFmtId="0" fontId="34" fillId="0" borderId="37" xfId="0" applyFont="1" applyBorder="1">
      <alignment vertical="center"/>
    </xf>
    <xf numFmtId="0" fontId="34" fillId="0" borderId="0" xfId="0" applyFont="1" applyAlignment="1">
      <alignment horizontal="left" vertical="center"/>
    </xf>
    <xf numFmtId="0" fontId="34" fillId="0" borderId="38" xfId="0" applyFont="1" applyBorder="1">
      <alignment vertical="center"/>
    </xf>
    <xf numFmtId="0" fontId="34" fillId="0" borderId="39" xfId="0" applyFont="1" applyBorder="1">
      <alignment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11" fillId="0" borderId="1" xfId="0" applyFont="1" applyBorder="1">
      <alignment vertical="center"/>
    </xf>
    <xf numFmtId="0" fontId="40" fillId="0" borderId="1" xfId="0" applyFont="1" applyBorder="1">
      <alignment vertical="center"/>
    </xf>
    <xf numFmtId="0" fontId="43" fillId="0" borderId="0" xfId="0" applyFont="1">
      <alignment vertical="center"/>
    </xf>
    <xf numFmtId="0" fontId="41" fillId="0" borderId="2" xfId="0" applyFont="1" applyBorder="1">
      <alignment vertical="center"/>
    </xf>
    <xf numFmtId="0" fontId="43" fillId="0" borderId="3" xfId="0" applyFont="1" applyBorder="1">
      <alignment vertical="center"/>
    </xf>
    <xf numFmtId="0" fontId="43" fillId="0" borderId="2" xfId="0" applyFont="1" applyBorder="1">
      <alignment vertical="center"/>
    </xf>
    <xf numFmtId="0" fontId="11" fillId="0" borderId="40" xfId="0" applyFont="1" applyBorder="1" applyAlignment="1">
      <alignment horizontal="left" vertical="center"/>
    </xf>
    <xf numFmtId="0" fontId="11" fillId="0" borderId="41" xfId="0" applyFont="1" applyBorder="1">
      <alignment vertical="center"/>
    </xf>
    <xf numFmtId="0" fontId="41" fillId="0" borderId="42" xfId="0" applyFont="1" applyBorder="1">
      <alignment vertical="center"/>
    </xf>
    <xf numFmtId="0" fontId="43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49" fontId="11" fillId="0" borderId="41" xfId="0" applyNumberFormat="1" applyFont="1" applyBorder="1">
      <alignment vertical="center"/>
    </xf>
    <xf numFmtId="49" fontId="11" fillId="0" borderId="43" xfId="0" applyNumberFormat="1" applyFont="1" applyBorder="1">
      <alignment vertical="center"/>
    </xf>
    <xf numFmtId="0" fontId="41" fillId="0" borderId="44" xfId="0" applyFont="1" applyBorder="1">
      <alignment vertical="center"/>
    </xf>
    <xf numFmtId="0" fontId="24" fillId="5" borderId="42" xfId="0" applyFont="1" applyFill="1" applyBorder="1" applyAlignment="1">
      <alignment horizontal="left" vertical="center"/>
    </xf>
    <xf numFmtId="0" fontId="43" fillId="0" borderId="42" xfId="0" applyFont="1" applyBorder="1">
      <alignment vertical="center"/>
    </xf>
    <xf numFmtId="0" fontId="11" fillId="0" borderId="7" xfId="0" applyFont="1" applyBorder="1">
      <alignment vertical="center"/>
    </xf>
    <xf numFmtId="0" fontId="41" fillId="0" borderId="41" xfId="0" applyFont="1" applyBorder="1">
      <alignment vertical="center"/>
    </xf>
    <xf numFmtId="0" fontId="41" fillId="0" borderId="40" xfId="0" applyFont="1" applyBorder="1">
      <alignment vertical="center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44" fillId="0" borderId="0" xfId="0" applyFont="1">
      <alignment vertical="center"/>
    </xf>
    <xf numFmtId="0" fontId="45" fillId="0" borderId="0" xfId="0" applyFont="1" applyAlignment="1">
      <alignment horizontal="right"/>
    </xf>
    <xf numFmtId="0" fontId="11" fillId="0" borderId="0" xfId="0" applyFont="1" applyAlignment="1">
      <alignment horizontal="right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46" fillId="0" borderId="0" xfId="0" applyFont="1">
      <alignment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1" fillId="0" borderId="6" xfId="0" applyFont="1" applyBorder="1">
      <alignment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26" fontId="15" fillId="0" borderId="42" xfId="0" applyNumberFormat="1" applyFont="1" applyBorder="1" applyAlignment="1">
      <alignment horizontal="left" vertical="center"/>
    </xf>
    <xf numFmtId="0" fontId="11" fillId="0" borderId="42" xfId="0" applyFont="1" applyBorder="1">
      <alignment vertical="center"/>
    </xf>
    <xf numFmtId="26" fontId="15" fillId="0" borderId="0" xfId="0" applyNumberFormat="1" applyFont="1" applyAlignment="1">
      <alignment horizontal="left" vertical="center"/>
    </xf>
    <xf numFmtId="0" fontId="44" fillId="0" borderId="0" xfId="0" applyFont="1" applyAlignment="1">
      <alignment horizontal="center"/>
    </xf>
    <xf numFmtId="49" fontId="11" fillId="0" borderId="0" xfId="0" applyNumberFormat="1" applyFont="1">
      <alignment vertical="center"/>
    </xf>
    <xf numFmtId="180" fontId="23" fillId="0" borderId="4" xfId="2" applyNumberFormat="1" applyFont="1" applyFill="1" applyBorder="1" applyAlignment="1">
      <alignment horizontal="right" vertical="center"/>
    </xf>
    <xf numFmtId="1" fontId="23" fillId="0" borderId="4" xfId="2" applyNumberFormat="1" applyFont="1" applyFill="1" applyBorder="1" applyAlignment="1">
      <alignment horizontal="left" vertical="center"/>
    </xf>
    <xf numFmtId="177" fontId="23" fillId="0" borderId="42" xfId="2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/>
    </xf>
    <xf numFmtId="0" fontId="23" fillId="0" borderId="4" xfId="2" applyNumberFormat="1" applyFont="1" applyFill="1" applyBorder="1" applyAlignment="1">
      <alignment horizontal="right" vertical="center"/>
    </xf>
    <xf numFmtId="177" fontId="23" fillId="3" borderId="42" xfId="2" applyNumberFormat="1" applyFont="1" applyFill="1" applyBorder="1" applyAlignment="1">
      <alignment horizontal="right" vertical="center"/>
    </xf>
    <xf numFmtId="0" fontId="11" fillId="0" borderId="47" xfId="0" applyFont="1" applyBorder="1" applyAlignment="1">
      <alignment horizontal="left" vertical="center"/>
    </xf>
    <xf numFmtId="181" fontId="11" fillId="0" borderId="47" xfId="2" applyNumberFormat="1" applyFont="1" applyFill="1" applyBorder="1" applyAlignment="1">
      <alignment horizontal="left" vertical="center" indent="1"/>
    </xf>
    <xf numFmtId="182" fontId="23" fillId="0" borderId="47" xfId="0" applyNumberFormat="1" applyFont="1" applyBorder="1" applyAlignment="1">
      <alignment horizontal="left" vertical="center"/>
    </xf>
    <xf numFmtId="178" fontId="23" fillId="0" borderId="47" xfId="0" applyNumberFormat="1" applyFont="1" applyBorder="1" applyAlignment="1">
      <alignment horizontal="right" vertical="center"/>
    </xf>
    <xf numFmtId="0" fontId="11" fillId="0" borderId="0" xfId="0" quotePrefix="1" applyFont="1">
      <alignment vertical="center"/>
    </xf>
    <xf numFmtId="0" fontId="11" fillId="0" borderId="0" xfId="0" quotePrefix="1" applyFont="1" applyAlignment="1">
      <alignment horizontal="left" vertical="center"/>
    </xf>
    <xf numFmtId="26" fontId="11" fillId="0" borderId="0" xfId="0" applyNumberFormat="1" applyFont="1">
      <alignment vertical="center"/>
    </xf>
    <xf numFmtId="49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183" fontId="11" fillId="0" borderId="0" xfId="0" applyNumberFormat="1" applyFont="1">
      <alignment vertical="center"/>
    </xf>
    <xf numFmtId="0" fontId="45" fillId="0" borderId="0" xfId="0" applyFont="1">
      <alignment vertical="center"/>
    </xf>
    <xf numFmtId="49" fontId="24" fillId="0" borderId="0" xfId="0" applyNumberFormat="1" applyFont="1">
      <alignment vertical="center"/>
    </xf>
    <xf numFmtId="0" fontId="24" fillId="0" borderId="0" xfId="0" applyFont="1" applyAlignment="1">
      <alignment horizontal="left" vertical="center"/>
    </xf>
    <xf numFmtId="49" fontId="24" fillId="5" borderId="0" xfId="0" applyNumberFormat="1" applyFont="1" applyFill="1" applyAlignment="1">
      <alignment horizontal="left" vertical="center"/>
    </xf>
    <xf numFmtId="49" fontId="24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0" fontId="15" fillId="0" borderId="0" xfId="0" applyFont="1">
      <alignment vertical="center"/>
    </xf>
    <xf numFmtId="49" fontId="41" fillId="0" borderId="0" xfId="0" applyNumberFormat="1" applyFont="1" applyAlignment="1">
      <alignment horizontal="right"/>
    </xf>
    <xf numFmtId="0" fontId="47" fillId="0" borderId="0" xfId="0" applyFont="1">
      <alignment vertical="center"/>
    </xf>
    <xf numFmtId="0" fontId="41" fillId="0" borderId="0" xfId="0" applyFont="1" applyAlignment="1">
      <alignment horizontal="center"/>
    </xf>
    <xf numFmtId="0" fontId="47" fillId="0" borderId="41" xfId="0" applyFont="1" applyBorder="1" applyAlignment="1">
      <alignment horizontal="left"/>
    </xf>
    <xf numFmtId="49" fontId="41" fillId="0" borderId="41" xfId="0" applyNumberFormat="1" applyFont="1" applyBorder="1" applyAlignment="1">
      <alignment horizontal="right"/>
    </xf>
    <xf numFmtId="49" fontId="41" fillId="0" borderId="0" xfId="0" applyNumberFormat="1" applyFont="1">
      <alignment vertical="center"/>
    </xf>
    <xf numFmtId="0" fontId="40" fillId="0" borderId="0" xfId="0" applyFont="1" applyAlignment="1">
      <alignment horizontal="center"/>
    </xf>
    <xf numFmtId="49" fontId="40" fillId="0" borderId="0" xfId="0" applyNumberFormat="1" applyFont="1">
      <alignment vertical="center"/>
    </xf>
    <xf numFmtId="49" fontId="0" fillId="0" borderId="0" xfId="0" applyNumberFormat="1" applyAlignment="1">
      <alignment horizontal="left" vertical="center"/>
    </xf>
    <xf numFmtId="49" fontId="48" fillId="0" borderId="0" xfId="0" applyNumberFormat="1" applyFont="1">
      <alignment vertical="center"/>
    </xf>
    <xf numFmtId="49" fontId="48" fillId="0" borderId="1" xfId="0" applyNumberFormat="1" applyFont="1" applyBorder="1" applyAlignment="1">
      <alignment horizontal="center" vertical="center"/>
    </xf>
    <xf numFmtId="49" fontId="48" fillId="0" borderId="1" xfId="0" applyNumberFormat="1" applyFont="1" applyBorder="1" applyAlignment="1">
      <alignment horizontal="left" vertical="center"/>
    </xf>
    <xf numFmtId="0" fontId="16" fillId="0" borderId="28" xfId="0" applyFont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6" xfId="0" applyBorder="1">
      <alignment vertical="center"/>
    </xf>
    <xf numFmtId="49" fontId="24" fillId="0" borderId="16" xfId="0" applyNumberFormat="1" applyFont="1" applyBorder="1">
      <alignment vertical="center"/>
    </xf>
    <xf numFmtId="0" fontId="16" fillId="0" borderId="0" xfId="0" applyFont="1">
      <alignment vertical="center"/>
    </xf>
    <xf numFmtId="49" fontId="49" fillId="0" borderId="0" xfId="0" applyNumberFormat="1" applyFont="1">
      <alignment vertical="center"/>
    </xf>
    <xf numFmtId="0" fontId="16" fillId="0" borderId="50" xfId="0" applyFont="1" applyBorder="1">
      <alignment vertical="center"/>
    </xf>
    <xf numFmtId="0" fontId="24" fillId="5" borderId="5" xfId="0" applyFont="1" applyFill="1" applyBorder="1" applyAlignment="1">
      <alignment horizontal="left" vertical="center"/>
    </xf>
    <xf numFmtId="1" fontId="11" fillId="0" borderId="5" xfId="0" applyNumberFormat="1" applyFont="1" applyBorder="1" applyAlignment="1">
      <alignment horizontal="center" vertical="center"/>
    </xf>
    <xf numFmtId="181" fontId="11" fillId="0" borderId="47" xfId="2" applyNumberFormat="1" applyFont="1" applyFill="1" applyBorder="1" applyAlignment="1">
      <alignment vertical="center"/>
    </xf>
    <xf numFmtId="0" fontId="23" fillId="0" borderId="47" xfId="0" applyFont="1" applyBorder="1" applyAlignment="1">
      <alignment horizontal="right" vertical="center"/>
    </xf>
    <xf numFmtId="0" fontId="11" fillId="0" borderId="47" xfId="0" applyFont="1" applyBorder="1">
      <alignment vertical="center"/>
    </xf>
    <xf numFmtId="1" fontId="11" fillId="0" borderId="12" xfId="0" applyNumberFormat="1" applyFont="1" applyBorder="1" applyAlignment="1">
      <alignment horizontal="center" vertical="center"/>
    </xf>
    <xf numFmtId="49" fontId="23" fillId="0" borderId="10" xfId="0" quotePrefix="1" applyNumberFormat="1" applyFont="1" applyBorder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181" fontId="11" fillId="0" borderId="47" xfId="2" applyNumberFormat="1" applyFont="1" applyFill="1" applyBorder="1" applyAlignment="1">
      <alignment horizontal="right" vertical="center"/>
    </xf>
    <xf numFmtId="0" fontId="23" fillId="0" borderId="8" xfId="0" applyFont="1" applyBorder="1" applyAlignment="1">
      <alignment horizontal="left" vertical="center"/>
    </xf>
    <xf numFmtId="178" fontId="23" fillId="0" borderId="8" xfId="0" applyNumberFormat="1" applyFont="1" applyBorder="1" applyAlignment="1">
      <alignment horizontal="right" vertical="center"/>
    </xf>
    <xf numFmtId="177" fontId="11" fillId="0" borderId="8" xfId="0" applyNumberFormat="1" applyFont="1" applyBorder="1" applyAlignment="1">
      <alignment horizontal="right" vertical="center"/>
    </xf>
    <xf numFmtId="49" fontId="23" fillId="0" borderId="8" xfId="0" applyNumberFormat="1" applyFont="1" applyBorder="1" applyAlignment="1">
      <alignment horizontal="left" vertical="center"/>
    </xf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77" fontId="11" fillId="0" borderId="5" xfId="0" applyNumberFormat="1" applyFont="1" applyBorder="1" applyAlignment="1">
      <alignment horizontal="right" vertical="center"/>
    </xf>
    <xf numFmtId="0" fontId="14" fillId="0" borderId="4" xfId="0" applyFont="1" applyBorder="1">
      <alignment vertical="center"/>
    </xf>
    <xf numFmtId="0" fontId="11" fillId="0" borderId="30" xfId="0" applyFont="1" applyBorder="1">
      <alignment vertical="center"/>
    </xf>
    <xf numFmtId="0" fontId="41" fillId="0" borderId="23" xfId="0" applyFont="1" applyBorder="1">
      <alignment vertical="center"/>
    </xf>
    <xf numFmtId="0" fontId="11" fillId="0" borderId="43" xfId="0" applyFont="1" applyBorder="1">
      <alignment vertical="center"/>
    </xf>
    <xf numFmtId="0" fontId="41" fillId="0" borderId="7" xfId="0" applyFont="1" applyBorder="1">
      <alignment vertical="center"/>
    </xf>
    <xf numFmtId="49" fontId="50" fillId="3" borderId="40" xfId="0" applyNumberFormat="1" applyFont="1" applyFill="1" applyBorder="1" applyAlignment="1">
      <alignment horizontal="left" vertical="center"/>
    </xf>
    <xf numFmtId="49" fontId="54" fillId="0" borderId="0" xfId="0" applyNumberFormat="1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5" fillId="0" borderId="0" xfId="0" applyFont="1">
      <alignment vertical="center"/>
    </xf>
    <xf numFmtId="0" fontId="55" fillId="0" borderId="0" xfId="0" applyFont="1" applyAlignment="1">
      <alignment vertical="center" wrapText="1"/>
    </xf>
    <xf numFmtId="0" fontId="57" fillId="0" borderId="0" xfId="0" applyFont="1" applyAlignment="1">
      <alignment horizontal="center" vertical="center"/>
    </xf>
    <xf numFmtId="49" fontId="58" fillId="0" borderId="0" xfId="0" applyNumberFormat="1" applyFont="1" applyAlignment="1">
      <alignment horizontal="center" vertical="center"/>
    </xf>
    <xf numFmtId="49" fontId="58" fillId="0" borderId="6" xfId="0" applyNumberFormat="1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3" borderId="54" xfId="0" applyFont="1" applyFill="1" applyBorder="1" applyAlignment="1">
      <alignment horizontal="center" vertical="center"/>
    </xf>
    <xf numFmtId="49" fontId="61" fillId="0" borderId="5" xfId="0" quotePrefix="1" applyNumberFormat="1" applyFont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 wrapText="1"/>
    </xf>
    <xf numFmtId="0" fontId="61" fillId="0" borderId="5" xfId="0" quotePrefix="1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59" fillId="0" borderId="5" xfId="0" applyFont="1" applyBorder="1" applyAlignment="1">
      <alignment horizontal="center" vertical="center" wrapText="1"/>
    </xf>
    <xf numFmtId="0" fontId="58" fillId="0" borderId="25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4" fillId="0" borderId="24" xfId="0" applyFont="1" applyBorder="1">
      <alignment vertical="center"/>
    </xf>
    <xf numFmtId="0" fontId="14" fillId="0" borderId="12" xfId="0" applyFont="1" applyBorder="1">
      <alignment vertical="center"/>
    </xf>
    <xf numFmtId="0" fontId="51" fillId="0" borderId="10" xfId="0" applyFont="1" applyBorder="1" applyAlignment="1">
      <alignment vertical="center" wrapText="1"/>
    </xf>
    <xf numFmtId="1" fontId="11" fillId="0" borderId="4" xfId="0" applyNumberFormat="1" applyFont="1" applyBorder="1" applyAlignment="1">
      <alignment horizontal="center" vertical="center"/>
    </xf>
    <xf numFmtId="49" fontId="24" fillId="3" borderId="31" xfId="0" applyNumberFormat="1" applyFont="1" applyFill="1" applyBorder="1">
      <alignment vertical="center"/>
    </xf>
    <xf numFmtId="49" fontId="24" fillId="3" borderId="29" xfId="0" applyNumberFormat="1" applyFont="1" applyFill="1" applyBorder="1">
      <alignment vertical="center"/>
    </xf>
    <xf numFmtId="49" fontId="32" fillId="0" borderId="24" xfId="0" applyNumberFormat="1" applyFont="1" applyBorder="1">
      <alignment vertical="center"/>
    </xf>
    <xf numFmtId="49" fontId="32" fillId="0" borderId="4" xfId="0" applyNumberFormat="1" applyFont="1" applyBorder="1">
      <alignment vertical="center"/>
    </xf>
    <xf numFmtId="49" fontId="32" fillId="0" borderId="12" xfId="0" applyNumberFormat="1" applyFont="1" applyBorder="1">
      <alignment vertical="center"/>
    </xf>
    <xf numFmtId="49" fontId="11" fillId="0" borderId="5" xfId="0" applyNumberFormat="1" applyFont="1" applyBorder="1" applyAlignment="1">
      <alignment horizontal="left" vertical="center"/>
    </xf>
    <xf numFmtId="0" fontId="11" fillId="0" borderId="5" xfId="0" applyFont="1" applyBorder="1">
      <alignment vertical="center"/>
    </xf>
    <xf numFmtId="56" fontId="14" fillId="0" borderId="32" xfId="0" applyNumberFormat="1" applyFont="1" applyBorder="1" applyAlignment="1">
      <alignment horizontal="center" vertical="center"/>
    </xf>
    <xf numFmtId="0" fontId="0" fillId="0" borderId="43" xfId="0" applyBorder="1">
      <alignment vertical="center"/>
    </xf>
    <xf numFmtId="0" fontId="0" fillId="0" borderId="8" xfId="0" applyBorder="1">
      <alignment vertical="center"/>
    </xf>
    <xf numFmtId="0" fontId="11" fillId="0" borderId="49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179" fontId="11" fillId="0" borderId="5" xfId="0" applyNumberFormat="1" applyFont="1" applyBorder="1" applyAlignment="1">
      <alignment vertical="center" shrinkToFit="1"/>
    </xf>
    <xf numFmtId="179" fontId="11" fillId="0" borderId="5" xfId="0" applyNumberFormat="1" applyFont="1" applyBorder="1" applyAlignment="1">
      <alignment horizontal="center" vertical="center"/>
    </xf>
    <xf numFmtId="177" fontId="11" fillId="0" borderId="5" xfId="0" applyNumberFormat="1" applyFont="1" applyBorder="1" applyAlignment="1">
      <alignment horizontal="center" vertical="center"/>
    </xf>
    <xf numFmtId="0" fontId="16" fillId="0" borderId="40" xfId="0" applyFont="1" applyBorder="1">
      <alignment vertical="center"/>
    </xf>
    <xf numFmtId="0" fontId="0" fillId="0" borderId="55" xfId="0" applyBorder="1">
      <alignment vertical="center"/>
    </xf>
    <xf numFmtId="0" fontId="11" fillId="0" borderId="5" xfId="0" applyFont="1" applyBorder="1" applyAlignment="1">
      <alignment horizontal="center"/>
    </xf>
    <xf numFmtId="180" fontId="11" fillId="0" borderId="5" xfId="2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30" fillId="6" borderId="51" xfId="0" applyFont="1" applyFill="1" applyBorder="1" applyAlignment="1">
      <alignment horizontal="left" vertical="center"/>
    </xf>
    <xf numFmtId="49" fontId="23" fillId="6" borderId="52" xfId="0" applyNumberFormat="1" applyFont="1" applyFill="1" applyBorder="1" applyAlignment="1">
      <alignment horizontal="left" vertical="center"/>
    </xf>
    <xf numFmtId="49" fontId="11" fillId="6" borderId="52" xfId="0" applyNumberFormat="1" applyFont="1" applyFill="1" applyBorder="1" applyAlignment="1">
      <alignment horizontal="left" vertical="center"/>
    </xf>
    <xf numFmtId="49" fontId="31" fillId="6" borderId="52" xfId="0" quotePrefix="1" applyNumberFormat="1" applyFont="1" applyFill="1" applyBorder="1" applyAlignment="1">
      <alignment horizontal="left" vertical="center"/>
    </xf>
    <xf numFmtId="49" fontId="28" fillId="6" borderId="53" xfId="0" quotePrefix="1" applyNumberFormat="1" applyFont="1" applyFill="1" applyBorder="1" applyAlignment="1">
      <alignment horizontal="left" vertical="center"/>
    </xf>
    <xf numFmtId="0" fontId="14" fillId="0" borderId="4" xfId="0" applyFont="1" applyBorder="1" applyAlignment="1">
      <alignment vertical="center" wrapText="1"/>
    </xf>
    <xf numFmtId="0" fontId="48" fillId="0" borderId="10" xfId="0" applyFont="1" applyBorder="1">
      <alignment vertical="center"/>
    </xf>
    <xf numFmtId="0" fontId="48" fillId="0" borderId="11" xfId="0" applyFont="1" applyBorder="1">
      <alignment vertical="center"/>
    </xf>
    <xf numFmtId="0" fontId="30" fillId="7" borderId="5" xfId="0" applyFont="1" applyFill="1" applyBorder="1" applyAlignment="1">
      <alignment horizontal="left" vertical="center"/>
    </xf>
    <xf numFmtId="49" fontId="65" fillId="7" borderId="5" xfId="0" quotePrefix="1" applyNumberFormat="1" applyFont="1" applyFill="1" applyBorder="1" applyAlignment="1">
      <alignment horizontal="left" vertical="center" wrapText="1"/>
    </xf>
    <xf numFmtId="0" fontId="0" fillId="0" borderId="36" xfId="0" applyBorder="1">
      <alignment vertical="center"/>
    </xf>
    <xf numFmtId="0" fontId="0" fillId="0" borderId="32" xfId="0" applyBorder="1">
      <alignment vertical="center"/>
    </xf>
    <xf numFmtId="0" fontId="66" fillId="0" borderId="2" xfId="0" applyFont="1" applyBorder="1" applyAlignment="1">
      <alignment horizontal="center" vertical="center"/>
    </xf>
    <xf numFmtId="6" fontId="11" fillId="0" borderId="5" xfId="12" applyFont="1" applyFill="1" applyBorder="1" applyAlignment="1">
      <alignment horizontal="right" vertical="center"/>
    </xf>
    <xf numFmtId="6" fontId="11" fillId="0" borderId="8" xfId="12" applyFont="1" applyFill="1" applyBorder="1" applyAlignment="1">
      <alignment horizontal="right" vertical="center"/>
    </xf>
    <xf numFmtId="0" fontId="16" fillId="0" borderId="3" xfId="0" applyFont="1" applyBorder="1">
      <alignment vertical="center"/>
    </xf>
    <xf numFmtId="49" fontId="50" fillId="3" borderId="0" xfId="0" applyNumberFormat="1" applyFont="1" applyFill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179" fontId="23" fillId="0" borderId="6" xfId="0" applyNumberFormat="1" applyFont="1" applyBorder="1" applyAlignment="1">
      <alignment vertical="center" shrinkToFit="1"/>
    </xf>
    <xf numFmtId="0" fontId="24" fillId="3" borderId="5" xfId="0" applyFont="1" applyFill="1" applyBorder="1" applyAlignment="1">
      <alignment horizontal="left" vertical="center"/>
    </xf>
    <xf numFmtId="0" fontId="11" fillId="0" borderId="6" xfId="0" applyFont="1" applyBorder="1">
      <alignment vertical="center"/>
    </xf>
    <xf numFmtId="180" fontId="11" fillId="0" borderId="4" xfId="2" applyNumberFormat="1" applyFont="1" applyFill="1" applyBorder="1" applyAlignment="1">
      <alignment horizontal="center" vertical="center"/>
    </xf>
    <xf numFmtId="1" fontId="11" fillId="0" borderId="57" xfId="0" applyNumberFormat="1" applyFont="1" applyBorder="1" applyAlignment="1">
      <alignment horizontal="center" vertical="center"/>
    </xf>
    <xf numFmtId="177" fontId="11" fillId="0" borderId="6" xfId="0" applyNumberFormat="1" applyFont="1" applyBorder="1" applyAlignment="1">
      <alignment horizontal="center" vertical="center"/>
    </xf>
    <xf numFmtId="6" fontId="11" fillId="0" borderId="4" xfId="12" applyFont="1" applyFill="1" applyBorder="1" applyAlignment="1">
      <alignment horizontal="right" vertical="center"/>
    </xf>
    <xf numFmtId="0" fontId="11" fillId="0" borderId="56" xfId="0" applyFont="1" applyBorder="1">
      <alignment vertical="center"/>
    </xf>
    <xf numFmtId="0" fontId="11" fillId="0" borderId="58" xfId="0" applyFont="1" applyBorder="1" applyAlignment="1">
      <alignment horizontal="center" vertical="center"/>
    </xf>
    <xf numFmtId="0" fontId="24" fillId="5" borderId="10" xfId="0" applyFont="1" applyFill="1" applyBorder="1" applyAlignment="1">
      <alignment horizontal="left" vertical="center"/>
    </xf>
    <xf numFmtId="0" fontId="11" fillId="0" borderId="58" xfId="0" applyFont="1" applyBorder="1">
      <alignment vertical="center"/>
    </xf>
    <xf numFmtId="176" fontId="11" fillId="0" borderId="58" xfId="0" applyNumberFormat="1" applyFont="1" applyBorder="1" applyAlignment="1">
      <alignment horizontal="right" vertical="center"/>
    </xf>
    <xf numFmtId="177" fontId="11" fillId="0" borderId="53" xfId="0" applyNumberFormat="1" applyFont="1" applyBorder="1">
      <alignment vertical="center"/>
    </xf>
    <xf numFmtId="49" fontId="28" fillId="0" borderId="6" xfId="0" quotePrefix="1" applyNumberFormat="1" applyFont="1" applyBorder="1" applyAlignment="1">
      <alignment horizontal="left" vertical="center"/>
    </xf>
    <xf numFmtId="49" fontId="28" fillId="0" borderId="10" xfId="0" quotePrefix="1" applyNumberFormat="1" applyFont="1" applyBorder="1" applyAlignment="1">
      <alignment horizontal="left" vertical="center"/>
    </xf>
    <xf numFmtId="179" fontId="23" fillId="0" borderId="10" xfId="0" applyNumberFormat="1" applyFont="1" applyBorder="1" applyAlignment="1">
      <alignment horizontal="center" vertical="center" shrinkToFit="1"/>
    </xf>
    <xf numFmtId="179" fontId="23" fillId="0" borderId="6" xfId="0" applyNumberFormat="1" applyFont="1" applyBorder="1" applyAlignment="1">
      <alignment horizontal="center" vertical="center" shrinkToFit="1"/>
    </xf>
    <xf numFmtId="1" fontId="11" fillId="0" borderId="11" xfId="0" applyNumberFormat="1" applyFont="1" applyBorder="1" applyAlignment="1">
      <alignment horizontal="center" vertical="center"/>
    </xf>
    <xf numFmtId="0" fontId="51" fillId="0" borderId="8" xfId="0" applyFont="1" applyBorder="1" applyAlignment="1">
      <alignment vertical="center" wrapText="1"/>
    </xf>
    <xf numFmtId="178" fontId="23" fillId="0" borderId="59" xfId="0" applyNumberFormat="1" applyFont="1" applyBorder="1" applyAlignment="1">
      <alignment horizontal="right" vertical="center"/>
    </xf>
    <xf numFmtId="177" fontId="11" fillId="0" borderId="59" xfId="0" applyNumberFormat="1" applyFont="1" applyBorder="1" applyAlignment="1">
      <alignment horizontal="right" vertical="center"/>
    </xf>
    <xf numFmtId="0" fontId="14" fillId="0" borderId="59" xfId="0" applyFont="1" applyBorder="1">
      <alignment vertical="center"/>
    </xf>
    <xf numFmtId="0" fontId="11" fillId="0" borderId="59" xfId="0" applyFont="1" applyBorder="1" applyAlignment="1">
      <alignment horizontal="center" vertical="center"/>
    </xf>
    <xf numFmtId="49" fontId="32" fillId="0" borderId="59" xfId="0" applyNumberFormat="1" applyFont="1" applyBorder="1">
      <alignment vertical="center"/>
    </xf>
    <xf numFmtId="49" fontId="23" fillId="0" borderId="59" xfId="0" applyNumberFormat="1" applyFont="1" applyBorder="1" applyAlignment="1">
      <alignment horizontal="left" vertical="center"/>
    </xf>
    <xf numFmtId="0" fontId="23" fillId="0" borderId="59" xfId="0" applyFont="1" applyBorder="1" applyAlignment="1">
      <alignment horizontal="left" vertical="center"/>
    </xf>
    <xf numFmtId="0" fontId="23" fillId="0" borderId="59" xfId="0" applyFont="1" applyBorder="1" applyAlignment="1">
      <alignment vertical="center" wrapText="1"/>
    </xf>
    <xf numFmtId="0" fontId="23" fillId="0" borderId="59" xfId="0" applyFont="1" applyBorder="1" applyAlignment="1">
      <alignment horizontal="center" vertical="center" wrapText="1"/>
    </xf>
    <xf numFmtId="1" fontId="11" fillId="0" borderId="59" xfId="0" applyNumberFormat="1" applyFont="1" applyBorder="1" applyAlignment="1">
      <alignment horizontal="center" vertical="center"/>
    </xf>
    <xf numFmtId="0" fontId="11" fillId="0" borderId="60" xfId="0" applyFont="1" applyBorder="1">
      <alignment vertical="center"/>
    </xf>
    <xf numFmtId="49" fontId="23" fillId="0" borderId="59" xfId="0" quotePrefix="1" applyNumberFormat="1" applyFont="1" applyBorder="1" applyAlignment="1">
      <alignment horizontal="left" vertical="center"/>
    </xf>
    <xf numFmtId="179" fontId="23" fillId="0" borderId="59" xfId="0" applyNumberFormat="1" applyFont="1" applyBorder="1" applyAlignment="1">
      <alignment vertical="center" shrinkToFit="1"/>
    </xf>
    <xf numFmtId="0" fontId="48" fillId="0" borderId="5" xfId="0" applyFont="1" applyBorder="1">
      <alignment vertical="center"/>
    </xf>
    <xf numFmtId="49" fontId="23" fillId="7" borderId="20" xfId="0" quotePrefix="1" applyNumberFormat="1" applyFont="1" applyFill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/>
    </xf>
    <xf numFmtId="179" fontId="11" fillId="0" borderId="20" xfId="0" applyNumberFormat="1" applyFont="1" applyBorder="1" applyAlignment="1">
      <alignment vertical="center" shrinkToFit="1"/>
    </xf>
    <xf numFmtId="179" fontId="11" fillId="0" borderId="20" xfId="0" applyNumberFormat="1" applyFont="1" applyBorder="1" applyAlignment="1">
      <alignment horizontal="center" vertical="center"/>
    </xf>
    <xf numFmtId="1" fontId="11" fillId="0" borderId="20" xfId="0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right" vertical="center"/>
    </xf>
    <xf numFmtId="0" fontId="21" fillId="0" borderId="25" xfId="0" applyFont="1" applyBorder="1" applyAlignment="1">
      <alignment horizontal="center" vertical="center"/>
    </xf>
    <xf numFmtId="0" fontId="16" fillId="0" borderId="61" xfId="0" applyFont="1" applyBorder="1">
      <alignment vertical="center"/>
    </xf>
    <xf numFmtId="0" fontId="66" fillId="0" borderId="20" xfId="0" applyFont="1" applyBorder="1" applyAlignment="1">
      <alignment horizontal="center" vertical="center"/>
    </xf>
    <xf numFmtId="179" fontId="23" fillId="0" borderId="12" xfId="0" applyNumberFormat="1" applyFont="1" applyBorder="1" applyAlignment="1">
      <alignment vertical="center" shrinkToFit="1"/>
    </xf>
    <xf numFmtId="49" fontId="24" fillId="0" borderId="36" xfId="0" applyNumberFormat="1" applyFont="1" applyBorder="1">
      <alignment vertical="center"/>
    </xf>
    <xf numFmtId="0" fontId="11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11" fillId="0" borderId="40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181" fontId="23" fillId="0" borderId="47" xfId="2" applyNumberFormat="1" applyFont="1" applyFill="1" applyBorder="1" applyAlignment="1">
      <alignment horizontal="center" vertical="center"/>
    </xf>
    <xf numFmtId="49" fontId="24" fillId="3" borderId="28" xfId="0" applyNumberFormat="1" applyFont="1" applyFill="1" applyBorder="1" applyAlignment="1">
      <alignment horizontal="center" vertical="center"/>
    </xf>
    <xf numFmtId="49" fontId="24" fillId="3" borderId="29" xfId="0" applyNumberFormat="1" applyFont="1" applyFill="1" applyBorder="1" applyAlignment="1">
      <alignment horizontal="center" vertical="center"/>
    </xf>
    <xf numFmtId="49" fontId="24" fillId="3" borderId="31" xfId="0" applyNumberFormat="1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9" fontId="24" fillId="8" borderId="28" xfId="0" applyNumberFormat="1" applyFont="1" applyFill="1" applyBorder="1" applyAlignment="1">
      <alignment horizontal="center" vertical="center"/>
    </xf>
    <xf numFmtId="49" fontId="24" fillId="8" borderId="29" xfId="0" applyNumberFormat="1" applyFont="1" applyFill="1" applyBorder="1" applyAlignment="1">
      <alignment horizontal="center" vertical="center"/>
    </xf>
    <xf numFmtId="49" fontId="24" fillId="8" borderId="31" xfId="0" applyNumberFormat="1" applyFont="1" applyFill="1" applyBorder="1" applyAlignment="1">
      <alignment horizontal="center" vertical="center"/>
    </xf>
    <xf numFmtId="0" fontId="11" fillId="0" borderId="60" xfId="0" applyFont="1" applyBorder="1" applyAlignment="1">
      <alignment horizontal="center" vertical="center"/>
    </xf>
    <xf numFmtId="49" fontId="32" fillId="0" borderId="24" xfId="0" applyNumberFormat="1" applyFont="1" applyBorder="1" applyAlignment="1">
      <alignment horizontal="center" vertical="center"/>
    </xf>
    <xf numFmtId="49" fontId="32" fillId="0" borderId="4" xfId="0" applyNumberFormat="1" applyFont="1" applyBorder="1" applyAlignment="1">
      <alignment horizontal="center" vertical="center"/>
    </xf>
    <xf numFmtId="49" fontId="32" fillId="0" borderId="12" xfId="0" applyNumberFormat="1" applyFont="1" applyBorder="1" applyAlignment="1">
      <alignment horizontal="center" vertical="center"/>
    </xf>
    <xf numFmtId="49" fontId="32" fillId="0" borderId="59" xfId="0" applyNumberFormat="1" applyFont="1" applyBorder="1" applyAlignment="1">
      <alignment horizontal="center" vertical="center"/>
    </xf>
    <xf numFmtId="0" fontId="68" fillId="0" borderId="35" xfId="0" applyFont="1" applyBorder="1" applyAlignment="1">
      <alignment horizontal="center" vertical="center"/>
    </xf>
    <xf numFmtId="0" fontId="68" fillId="0" borderId="60" xfId="0" applyFont="1" applyBorder="1" applyAlignment="1">
      <alignment horizontal="center" vertical="center"/>
    </xf>
    <xf numFmtId="0" fontId="68" fillId="0" borderId="32" xfId="0" applyFont="1" applyBorder="1" applyAlignment="1">
      <alignment horizontal="center" vertical="center"/>
    </xf>
    <xf numFmtId="49" fontId="48" fillId="0" borderId="0" xfId="0" applyNumberFormat="1" applyFont="1" applyAlignment="1">
      <alignment horizontal="center" vertical="center"/>
    </xf>
    <xf numFmtId="0" fontId="14" fillId="3" borderId="59" xfId="0" applyFont="1" applyFill="1" applyBorder="1">
      <alignment vertical="center"/>
    </xf>
    <xf numFmtId="0" fontId="14" fillId="3" borderId="12" xfId="0" applyFont="1" applyFill="1" applyBorder="1">
      <alignment vertical="center"/>
    </xf>
    <xf numFmtId="0" fontId="14" fillId="3" borderId="24" xfId="0" applyFont="1" applyFill="1" applyBorder="1">
      <alignment vertical="center"/>
    </xf>
    <xf numFmtId="0" fontId="30" fillId="3" borderId="5" xfId="0" applyFont="1" applyFill="1" applyBorder="1" applyAlignment="1">
      <alignment horizontal="left" vertical="center"/>
    </xf>
    <xf numFmtId="0" fontId="23" fillId="3" borderId="5" xfId="0" applyFont="1" applyFill="1" applyBorder="1" applyAlignment="1">
      <alignment horizontal="center" vertical="center"/>
    </xf>
    <xf numFmtId="178" fontId="23" fillId="3" borderId="5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49" fontId="32" fillId="3" borderId="24" xfId="0" applyNumberFormat="1" applyFont="1" applyFill="1" applyBorder="1">
      <alignment vertical="center"/>
    </xf>
    <xf numFmtId="49" fontId="23" fillId="3" borderId="8" xfId="0" applyNumberFormat="1" applyFont="1" applyFill="1" applyBorder="1" applyAlignment="1">
      <alignment horizontal="left" vertical="center"/>
    </xf>
    <xf numFmtId="0" fontId="23" fillId="3" borderId="8" xfId="0" applyFont="1" applyFill="1" applyBorder="1" applyAlignment="1">
      <alignment horizontal="left" vertical="center"/>
    </xf>
    <xf numFmtId="49" fontId="11" fillId="3" borderId="10" xfId="0" applyNumberFormat="1" applyFont="1" applyFill="1" applyBorder="1" applyAlignment="1">
      <alignment horizontal="left" vertical="center"/>
    </xf>
    <xf numFmtId="0" fontId="23" fillId="3" borderId="8" xfId="0" applyFont="1" applyFill="1" applyBorder="1" applyAlignment="1">
      <alignment horizontal="center" vertical="center" wrapText="1"/>
    </xf>
    <xf numFmtId="1" fontId="11" fillId="3" borderId="8" xfId="0" applyNumberFormat="1" applyFont="1" applyFill="1" applyBorder="1" applyAlignment="1">
      <alignment horizontal="center" vertical="center"/>
    </xf>
    <xf numFmtId="178" fontId="23" fillId="3" borderId="8" xfId="0" applyNumberFormat="1" applyFont="1" applyFill="1" applyBorder="1" applyAlignment="1">
      <alignment horizontal="right" vertical="center"/>
    </xf>
    <xf numFmtId="177" fontId="11" fillId="3" borderId="8" xfId="0" applyNumberFormat="1" applyFont="1" applyFill="1" applyBorder="1" applyAlignment="1">
      <alignment horizontal="right" vertical="center"/>
    </xf>
    <xf numFmtId="49" fontId="32" fillId="3" borderId="59" xfId="0" applyNumberFormat="1" applyFont="1" applyFill="1" applyBorder="1">
      <alignment vertical="center"/>
    </xf>
    <xf numFmtId="0" fontId="11" fillId="3" borderId="10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left" vertical="center"/>
    </xf>
    <xf numFmtId="0" fontId="51" fillId="3" borderId="10" xfId="0" applyFont="1" applyFill="1" applyBorder="1" applyAlignment="1">
      <alignment vertical="center" wrapText="1"/>
    </xf>
    <xf numFmtId="0" fontId="23" fillId="3" borderId="10" xfId="0" applyFont="1" applyFill="1" applyBorder="1" applyAlignment="1">
      <alignment horizontal="center" vertical="center" wrapText="1"/>
    </xf>
    <xf numFmtId="49" fontId="31" fillId="3" borderId="10" xfId="0" quotePrefix="1" applyNumberFormat="1" applyFont="1" applyFill="1" applyBorder="1" applyAlignment="1">
      <alignment horizontal="left" vertical="center"/>
    </xf>
    <xf numFmtId="179" fontId="23" fillId="3" borderId="10" xfId="0" applyNumberFormat="1" applyFont="1" applyFill="1" applyBorder="1" applyAlignment="1">
      <alignment vertical="center" shrinkToFit="1"/>
    </xf>
    <xf numFmtId="49" fontId="28" fillId="3" borderId="11" xfId="0" quotePrefix="1" applyNumberFormat="1" applyFont="1" applyFill="1" applyBorder="1" applyAlignment="1">
      <alignment horizontal="left" vertical="center"/>
    </xf>
    <xf numFmtId="0" fontId="23" fillId="3" borderId="11" xfId="0" applyFont="1" applyFill="1" applyBorder="1" applyAlignment="1">
      <alignment horizontal="left" vertical="center"/>
    </xf>
    <xf numFmtId="179" fontId="23" fillId="3" borderId="11" xfId="0" applyNumberFormat="1" applyFont="1" applyFill="1" applyBorder="1" applyAlignment="1">
      <alignment vertical="center" shrinkToFit="1"/>
    </xf>
    <xf numFmtId="179" fontId="23" fillId="3" borderId="11" xfId="0" applyNumberFormat="1" applyFont="1" applyFill="1" applyBorder="1" applyAlignment="1">
      <alignment horizontal="center" vertical="center" shrinkToFit="1"/>
    </xf>
    <xf numFmtId="178" fontId="23" fillId="3" borderId="11" xfId="0" applyNumberFormat="1" applyFont="1" applyFill="1" applyBorder="1" applyAlignment="1">
      <alignment horizontal="right" vertical="center"/>
    </xf>
    <xf numFmtId="177" fontId="11" fillId="3" borderId="11" xfId="0" applyNumberFormat="1" applyFont="1" applyFill="1" applyBorder="1" applyAlignment="1">
      <alignment horizontal="right" vertical="center"/>
    </xf>
    <xf numFmtId="49" fontId="32" fillId="3" borderId="12" xfId="0" applyNumberFormat="1" applyFont="1" applyFill="1" applyBorder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6" fillId="0" borderId="62" xfId="0" applyFont="1" applyBorder="1">
      <alignment vertical="center"/>
    </xf>
  </cellXfs>
  <cellStyles count="14">
    <cellStyle name="ハイパーリンク" xfId="1" builtinId="8"/>
    <cellStyle name="桁区切り" xfId="2" builtinId="6"/>
    <cellStyle name="桁区切り 2" xfId="3" xr:uid="{00000000-0005-0000-0000-000003000000}"/>
    <cellStyle name="通貨" xfId="12" builtinId="7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4 2 2 2 2" xfId="11" xr:uid="{73C9D90A-4087-4C89-AF2C-7BEE2C949CD1}"/>
    <cellStyle name="標準 4 2 2 2 2 2" xfId="13" xr:uid="{3602255E-FDAE-4EBA-BE0C-A4E749982C91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</xdr:colOff>
      <xdr:row>36</xdr:row>
      <xdr:rowOff>112395</xdr:rowOff>
    </xdr:from>
    <xdr:to>
      <xdr:col>12</xdr:col>
      <xdr:colOff>645795</xdr:colOff>
      <xdr:row>44</xdr:row>
      <xdr:rowOff>150495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F035-D532-48E0-AF4E-B54806D7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54120" y="6652895"/>
          <a:ext cx="3190875" cy="142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148166</xdr:colOff>
      <xdr:row>2</xdr:row>
      <xdr:rowOff>338667</xdr:rowOff>
    </xdr:from>
    <xdr:to>
      <xdr:col>6</xdr:col>
      <xdr:colOff>4362631</xdr:colOff>
      <xdr:row>2</xdr:row>
      <xdr:rowOff>2286001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B8CD297-C4A5-1B56-AE32-C1AC6CF36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41999" y="1862667"/>
          <a:ext cx="4214465" cy="1947334"/>
        </a:xfrm>
        <a:prstGeom prst="rect">
          <a:avLst/>
        </a:prstGeom>
      </xdr:spPr>
    </xdr:pic>
    <xdr:clientData/>
  </xdr:twoCellAnchor>
  <xdr:twoCellAnchor editAs="oneCell">
    <xdr:from>
      <xdr:col>6</xdr:col>
      <xdr:colOff>317500</xdr:colOff>
      <xdr:row>3</xdr:row>
      <xdr:rowOff>211666</xdr:rowOff>
    </xdr:from>
    <xdr:to>
      <xdr:col>6</xdr:col>
      <xdr:colOff>4237568</xdr:colOff>
      <xdr:row>3</xdr:row>
      <xdr:rowOff>2174748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B2DD884-B6B0-02B4-5CDC-05CAE9C7B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11333" y="4212166"/>
          <a:ext cx="3920068" cy="1963082"/>
        </a:xfrm>
        <a:prstGeom prst="rect">
          <a:avLst/>
        </a:prstGeom>
      </xdr:spPr>
    </xdr:pic>
    <xdr:clientData/>
  </xdr:twoCellAnchor>
  <xdr:twoCellAnchor editAs="oneCell">
    <xdr:from>
      <xdr:col>6</xdr:col>
      <xdr:colOff>656167</xdr:colOff>
      <xdr:row>4</xdr:row>
      <xdr:rowOff>127000</xdr:rowOff>
    </xdr:from>
    <xdr:to>
      <xdr:col>6</xdr:col>
      <xdr:colOff>3852334</xdr:colOff>
      <xdr:row>4</xdr:row>
      <xdr:rowOff>2388903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A491253-764D-145D-90AC-7BA374554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00" y="6604000"/>
          <a:ext cx="3196167" cy="2261903"/>
        </a:xfrm>
        <a:prstGeom prst="rect">
          <a:avLst/>
        </a:prstGeom>
      </xdr:spPr>
    </xdr:pic>
    <xdr:clientData/>
  </xdr:twoCellAnchor>
  <xdr:twoCellAnchor editAs="oneCell">
    <xdr:from>
      <xdr:col>6</xdr:col>
      <xdr:colOff>529167</xdr:colOff>
      <xdr:row>5</xdr:row>
      <xdr:rowOff>254000</xdr:rowOff>
    </xdr:from>
    <xdr:to>
      <xdr:col>6</xdr:col>
      <xdr:colOff>4199277</xdr:colOff>
      <xdr:row>5</xdr:row>
      <xdr:rowOff>2223179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F9C9A36-6734-57C8-6618-CC7C5EF97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923000" y="9207500"/>
          <a:ext cx="3670110" cy="1969179"/>
        </a:xfrm>
        <a:prstGeom prst="rect">
          <a:avLst/>
        </a:prstGeom>
      </xdr:spPr>
    </xdr:pic>
    <xdr:clientData/>
  </xdr:twoCellAnchor>
  <xdr:twoCellAnchor editAs="oneCell">
    <xdr:from>
      <xdr:col>6</xdr:col>
      <xdr:colOff>253999</xdr:colOff>
      <xdr:row>6</xdr:row>
      <xdr:rowOff>359834</xdr:rowOff>
    </xdr:from>
    <xdr:to>
      <xdr:col>6</xdr:col>
      <xdr:colOff>4389079</xdr:colOff>
      <xdr:row>6</xdr:row>
      <xdr:rowOff>2243667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A613235-DA81-5FDF-16BE-39FE5372D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47832" y="11789834"/>
          <a:ext cx="4135080" cy="1883833"/>
        </a:xfrm>
        <a:prstGeom prst="rect">
          <a:avLst/>
        </a:prstGeom>
      </xdr:spPr>
    </xdr:pic>
    <xdr:clientData/>
  </xdr:twoCellAnchor>
  <xdr:twoCellAnchor editAs="oneCell">
    <xdr:from>
      <xdr:col>6</xdr:col>
      <xdr:colOff>1312334</xdr:colOff>
      <xdr:row>7</xdr:row>
      <xdr:rowOff>211667</xdr:rowOff>
    </xdr:from>
    <xdr:to>
      <xdr:col>6</xdr:col>
      <xdr:colOff>3111501</xdr:colOff>
      <xdr:row>7</xdr:row>
      <xdr:rowOff>2276359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299FD21-51C2-5B46-9243-AA0DE6AF1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706167" y="14118167"/>
          <a:ext cx="1799167" cy="2064692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1270001</xdr:colOff>
      <xdr:row>8</xdr:row>
      <xdr:rowOff>232833</xdr:rowOff>
    </xdr:from>
    <xdr:to>
      <xdr:col>6</xdr:col>
      <xdr:colOff>3153835</xdr:colOff>
      <xdr:row>8</xdr:row>
      <xdr:rowOff>2419760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DED47E6-097E-EB95-2CB7-BBA6A9432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663834" y="16615833"/>
          <a:ext cx="1883834" cy="2186927"/>
        </a:xfrm>
        <a:prstGeom prst="rect">
          <a:avLst/>
        </a:prstGeom>
      </xdr:spPr>
    </xdr:pic>
    <xdr:clientData/>
  </xdr:twoCellAnchor>
  <xdr:twoCellAnchor editAs="oneCell">
    <xdr:from>
      <xdr:col>6</xdr:col>
      <xdr:colOff>910168</xdr:colOff>
      <xdr:row>9</xdr:row>
      <xdr:rowOff>148167</xdr:rowOff>
    </xdr:from>
    <xdr:to>
      <xdr:col>6</xdr:col>
      <xdr:colOff>3577168</xdr:colOff>
      <xdr:row>9</xdr:row>
      <xdr:rowOff>2446962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A2FE9649-FFA9-868F-4DD8-C6943DE81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304001" y="19007667"/>
          <a:ext cx="2667000" cy="2298795"/>
        </a:xfrm>
        <a:prstGeom prst="rect">
          <a:avLst/>
        </a:prstGeom>
      </xdr:spPr>
    </xdr:pic>
    <xdr:clientData/>
  </xdr:twoCellAnchor>
  <xdr:twoCellAnchor editAs="oneCell">
    <xdr:from>
      <xdr:col>6</xdr:col>
      <xdr:colOff>444500</xdr:colOff>
      <xdr:row>10</xdr:row>
      <xdr:rowOff>105833</xdr:rowOff>
    </xdr:from>
    <xdr:to>
      <xdr:col>6</xdr:col>
      <xdr:colOff>4382857</xdr:colOff>
      <xdr:row>10</xdr:row>
      <xdr:rowOff>2142073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2FBC461-F260-2272-B0EB-B3EC28772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838333" y="21441833"/>
          <a:ext cx="3938357" cy="2036240"/>
        </a:xfrm>
        <a:prstGeom prst="rect">
          <a:avLst/>
        </a:prstGeom>
      </xdr:spPr>
    </xdr:pic>
    <xdr:clientData/>
  </xdr:twoCellAnchor>
  <xdr:twoCellAnchor editAs="oneCell">
    <xdr:from>
      <xdr:col>6</xdr:col>
      <xdr:colOff>973667</xdr:colOff>
      <xdr:row>11</xdr:row>
      <xdr:rowOff>84667</xdr:rowOff>
    </xdr:from>
    <xdr:to>
      <xdr:col>6</xdr:col>
      <xdr:colOff>3492501</xdr:colOff>
      <xdr:row>11</xdr:row>
      <xdr:rowOff>2292960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6072610-28AF-4203-0AD5-60642912B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367500" y="23897167"/>
          <a:ext cx="2518834" cy="2208293"/>
        </a:xfrm>
        <a:prstGeom prst="rect">
          <a:avLst/>
        </a:prstGeom>
      </xdr:spPr>
    </xdr:pic>
    <xdr:clientData/>
  </xdr:twoCellAnchor>
  <xdr:twoCellAnchor editAs="oneCell">
    <xdr:from>
      <xdr:col>6</xdr:col>
      <xdr:colOff>232833</xdr:colOff>
      <xdr:row>12</xdr:row>
      <xdr:rowOff>254000</xdr:rowOff>
    </xdr:from>
    <xdr:to>
      <xdr:col>6</xdr:col>
      <xdr:colOff>4529667</xdr:colOff>
      <xdr:row>12</xdr:row>
      <xdr:rowOff>2204460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2161C87-6606-A3EE-F277-223300B9D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626666" y="26543000"/>
          <a:ext cx="4296834" cy="195046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13</xdr:row>
      <xdr:rowOff>105833</xdr:rowOff>
    </xdr:from>
    <xdr:to>
      <xdr:col>6</xdr:col>
      <xdr:colOff>4543421</xdr:colOff>
      <xdr:row>13</xdr:row>
      <xdr:rowOff>2276197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447D156C-72FC-46D8-F604-8A85ECE84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584333" y="28871333"/>
          <a:ext cx="4352921" cy="21703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800906-VT-DD-01%20.xlsx" TargetMode="External"/><Relationship Id="rId1" Type="http://schemas.openxmlformats.org/officeDocument/2006/relationships/externalLinkPath" Target="file:///C:\Users\19544\Downloads\SY-5800906-VT-DD-01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\\10.251.98.9\fileshare\Users\19544\Downloads\SY-4T601005-VT-DD-01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LABEL"/>
    </sheetNames>
    <sheetDataSet>
      <sheetData sheetId="0">
        <row r="2">
          <cell r="C2" t="str">
            <v xml:space="preserve"> SHUNYA CO., LTD.</v>
          </cell>
        </row>
        <row r="3">
          <cell r="C3" t="str">
            <v xml:space="preserve"> KENSHIN BLDG., 1F, 1-22-10 DOUGENZAKA,</v>
          </cell>
        </row>
        <row r="4">
          <cell r="C4" t="str">
            <v xml:space="preserve"> SHIBUYA-KU 150-0043</v>
          </cell>
        </row>
        <row r="5">
          <cell r="C5" t="str">
            <v xml:space="preserve"> TEL : +81(0)3-5459-1177</v>
          </cell>
        </row>
        <row r="9">
          <cell r="C9" t="str">
            <v>VIVAN GARMENTS VIET NAM COMPANY LIMITED</v>
          </cell>
        </row>
        <row r="10">
          <cell r="C10" t="str">
            <v>D17 Street , Sai Gon South Residential Area</v>
          </cell>
        </row>
        <row r="11">
          <cell r="C11" t="str">
            <v>Hamlet 3 , Long Hau Commune , Can Giuoc District,</v>
          </cell>
        </row>
        <row r="12">
          <cell r="C12" t="str">
            <v xml:space="preserve"> Long An Province , VietNam</v>
          </cell>
        </row>
        <row r="13">
          <cell r="C13" t="str">
            <v xml:space="preserve"> TEL : ( 084 ) 097 22 00 798  ATTN : MR. TUAN</v>
          </cell>
        </row>
        <row r="15">
          <cell r="C15" t="str">
            <v xml:space="preserve"> - SAME AS BUYER -</v>
          </cell>
        </row>
        <row r="21">
          <cell r="C21" t="str">
            <v xml:space="preserve"> NO COMMERCIAL</v>
          </cell>
        </row>
        <row r="24">
          <cell r="C24" t="str">
            <v xml:space="preserve"> AIRCRAFT</v>
          </cell>
        </row>
        <row r="32">
          <cell r="C32" t="str">
            <v xml:space="preserve"> TOKYO, JAPAN</v>
          </cell>
        </row>
        <row r="33">
          <cell r="C33" t="str">
            <v xml:space="preserve"> HOCHIMINH-CITY, VIETNAM</v>
          </cell>
        </row>
        <row r="36">
          <cell r="C36" t="str">
            <v>FABRIC &amp; PARTS FOR WEAR &amp; SAMPLE CLOTHES</v>
          </cell>
        </row>
        <row r="38">
          <cell r="C38" t="str">
            <v>- DETAILS AS PER ATTACHED SHEET -</v>
          </cell>
        </row>
        <row r="48">
          <cell r="C48" t="str">
            <v>F.O.B. TOKYO IN YEN</v>
          </cell>
        </row>
        <row r="60">
          <cell r="C60" t="str">
            <v>COUNTRY OF ORIGIN : JAPAN</v>
          </cell>
        </row>
        <row r="63">
          <cell r="C63" t="str">
            <v>" THESE GOODS WILL BE RETURN TO JAPAN</v>
          </cell>
        </row>
        <row r="64">
          <cell r="C64" t="str">
            <v xml:space="preserve">  AFTER MANUFACTURED AT VIET NAM "</v>
          </cell>
        </row>
      </sheetData>
      <sheetData sheetId="1"/>
      <sheetData sheetId="2"/>
      <sheetData sheetId="3">
        <row r="28">
          <cell r="F28" t="str">
            <v>M.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opLeftCell="A16" workbookViewId="0">
      <selection activeCell="C43" sqref="C43"/>
    </sheetView>
  </sheetViews>
  <sheetFormatPr defaultColWidth="9" defaultRowHeight="12.5"/>
  <cols>
    <col min="1" max="1" width="3.90625" style="7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">
        <v>1</v>
      </c>
      <c r="B1" s="7" t="s">
        <v>1</v>
      </c>
      <c r="C1" s="2" t="s">
        <v>0</v>
      </c>
    </row>
    <row r="2" spans="1:3" s="8" customFormat="1">
      <c r="A2" s="7">
        <f>A1+1</f>
        <v>2</v>
      </c>
      <c r="B2" s="4" t="s">
        <v>5</v>
      </c>
      <c r="C2" s="4" t="s">
        <v>65</v>
      </c>
    </row>
    <row r="3" spans="1:3">
      <c r="A3" s="7">
        <f>A2+1</f>
        <v>3</v>
      </c>
      <c r="B3" s="4" t="s">
        <v>3</v>
      </c>
      <c r="C3" s="2" t="s">
        <v>66</v>
      </c>
    </row>
    <row r="4" spans="1:3">
      <c r="A4" s="7">
        <f t="shared" ref="A4:A68" si="0">A3+1</f>
        <v>4</v>
      </c>
      <c r="B4" s="4" t="s">
        <v>2</v>
      </c>
      <c r="C4" s="2" t="s">
        <v>67</v>
      </c>
    </row>
    <row r="5" spans="1:3" s="8" customFormat="1">
      <c r="A5" s="7">
        <f t="shared" si="0"/>
        <v>5</v>
      </c>
      <c r="B5" s="4" t="s">
        <v>4</v>
      </c>
      <c r="C5" s="4" t="s">
        <v>68</v>
      </c>
    </row>
    <row r="6" spans="1:3" s="8" customFormat="1">
      <c r="A6" s="7">
        <f t="shared" si="0"/>
        <v>6</v>
      </c>
      <c r="B6" s="4" t="s">
        <v>6</v>
      </c>
      <c r="C6" s="3"/>
    </row>
    <row r="7" spans="1:3" s="8" customFormat="1">
      <c r="A7" s="7">
        <f t="shared" si="0"/>
        <v>7</v>
      </c>
      <c r="B7" s="4" t="s">
        <v>7</v>
      </c>
      <c r="C7" s="4"/>
    </row>
    <row r="8" spans="1:3" s="8" customFormat="1">
      <c r="A8" s="7">
        <f t="shared" si="0"/>
        <v>8</v>
      </c>
      <c r="B8" s="4" t="s">
        <v>8</v>
      </c>
      <c r="C8" s="4"/>
    </row>
    <row r="9" spans="1:3" s="8" customFormat="1">
      <c r="A9" s="7">
        <f t="shared" si="0"/>
        <v>9</v>
      </c>
      <c r="B9" s="9" t="s">
        <v>76</v>
      </c>
      <c r="C9" s="4" t="s">
        <v>101</v>
      </c>
    </row>
    <row r="10" spans="1:3" s="8" customFormat="1">
      <c r="A10" s="7">
        <f t="shared" si="0"/>
        <v>10</v>
      </c>
      <c r="B10" s="9" t="s">
        <v>77</v>
      </c>
      <c r="C10" s="4" t="s">
        <v>143</v>
      </c>
    </row>
    <row r="11" spans="1:3" s="8" customFormat="1">
      <c r="A11" s="7">
        <f t="shared" si="0"/>
        <v>11</v>
      </c>
      <c r="B11" s="9" t="s">
        <v>78</v>
      </c>
      <c r="C11" s="2" t="s">
        <v>102</v>
      </c>
    </row>
    <row r="12" spans="1:3" s="8" customFormat="1">
      <c r="A12" s="7">
        <f t="shared" si="0"/>
        <v>12</v>
      </c>
      <c r="B12" s="9" t="s">
        <v>79</v>
      </c>
      <c r="C12" s="2" t="s">
        <v>103</v>
      </c>
    </row>
    <row r="13" spans="1:3" s="8" customFormat="1">
      <c r="A13" s="7">
        <f t="shared" si="0"/>
        <v>13</v>
      </c>
      <c r="B13" s="9" t="s">
        <v>9</v>
      </c>
      <c r="C13" s="3" t="s">
        <v>106</v>
      </c>
    </row>
    <row r="14" spans="1:3" s="8" customFormat="1" ht="13.5">
      <c r="A14" s="7">
        <f t="shared" si="0"/>
        <v>14</v>
      </c>
      <c r="B14" s="9" t="s">
        <v>10</v>
      </c>
      <c r="C14" s="12"/>
    </row>
    <row r="15" spans="1:3" s="8" customFormat="1">
      <c r="A15" s="7">
        <f t="shared" si="0"/>
        <v>15</v>
      </c>
      <c r="B15" s="4" t="s">
        <v>11</v>
      </c>
      <c r="C15" s="4" t="s">
        <v>69</v>
      </c>
    </row>
    <row r="16" spans="1:3" s="8" customFormat="1">
      <c r="A16" s="7">
        <f t="shared" si="0"/>
        <v>16</v>
      </c>
      <c r="B16" s="4" t="s">
        <v>12</v>
      </c>
      <c r="C16" s="2"/>
    </row>
    <row r="17" spans="1:3" s="8" customFormat="1">
      <c r="A17" s="7">
        <f t="shared" si="0"/>
        <v>17</v>
      </c>
      <c r="B17" s="4" t="s">
        <v>13</v>
      </c>
      <c r="C17" s="2"/>
    </row>
    <row r="18" spans="1:3" s="8" customFormat="1">
      <c r="A18" s="7">
        <f t="shared" si="0"/>
        <v>18</v>
      </c>
      <c r="B18" s="4" t="s">
        <v>14</v>
      </c>
      <c r="C18" s="3"/>
    </row>
    <row r="19" spans="1:3" s="8" customFormat="1">
      <c r="A19" s="7">
        <f t="shared" si="0"/>
        <v>19</v>
      </c>
      <c r="B19" s="4" t="s">
        <v>15</v>
      </c>
      <c r="C19" s="4"/>
    </row>
    <row r="20" spans="1:3" s="8" customFormat="1">
      <c r="A20" s="7">
        <f t="shared" si="0"/>
        <v>20</v>
      </c>
      <c r="B20" s="4" t="s">
        <v>16</v>
      </c>
      <c r="C20" s="4"/>
    </row>
    <row r="21" spans="1:3" s="8" customFormat="1">
      <c r="A21" s="7">
        <f t="shared" si="0"/>
        <v>21</v>
      </c>
      <c r="B21" s="4" t="s">
        <v>10</v>
      </c>
      <c r="C21" s="10" t="s">
        <v>84</v>
      </c>
    </row>
    <row r="22" spans="1:3" s="8" customFormat="1">
      <c r="A22" s="7">
        <f t="shared" si="0"/>
        <v>22</v>
      </c>
      <c r="B22" s="4" t="s">
        <v>17</v>
      </c>
      <c r="C22" s="10"/>
    </row>
    <row r="23" spans="1:3" s="8" customFormat="1">
      <c r="A23" s="7">
        <f t="shared" si="0"/>
        <v>23</v>
      </c>
      <c r="B23" s="4" t="s">
        <v>18</v>
      </c>
      <c r="C23" s="10"/>
    </row>
    <row r="24" spans="1:3" s="8" customFormat="1">
      <c r="A24" s="7">
        <f t="shared" si="0"/>
        <v>24</v>
      </c>
      <c r="B24" s="4" t="s">
        <v>19</v>
      </c>
      <c r="C24" s="4" t="s">
        <v>80</v>
      </c>
    </row>
    <row r="25" spans="1:3" s="8" customFormat="1">
      <c r="A25" s="7">
        <f t="shared" si="0"/>
        <v>25</v>
      </c>
      <c r="B25" s="9" t="s">
        <v>20</v>
      </c>
      <c r="C25" s="25" t="s">
        <v>373</v>
      </c>
    </row>
    <row r="26" spans="1:3">
      <c r="A26" s="7">
        <f t="shared" si="0"/>
        <v>26</v>
      </c>
      <c r="B26" s="9" t="s">
        <v>21</v>
      </c>
      <c r="C26" s="26" t="s">
        <v>374</v>
      </c>
    </row>
    <row r="27" spans="1:3">
      <c r="A27" s="7">
        <f t="shared" si="0"/>
        <v>27</v>
      </c>
      <c r="B27" s="9" t="s">
        <v>22</v>
      </c>
      <c r="C27" s="26" t="str">
        <f>C26</f>
        <v xml:space="preserve"> SY-7701110-VT-DD-01</v>
      </c>
    </row>
    <row r="28" spans="1:3">
      <c r="A28" s="7">
        <f t="shared" si="0"/>
        <v>28</v>
      </c>
      <c r="B28" s="9" t="s">
        <v>23</v>
      </c>
      <c r="C28" s="11"/>
    </row>
    <row r="29" spans="1:3">
      <c r="A29" s="7">
        <f t="shared" si="0"/>
        <v>29</v>
      </c>
      <c r="B29" s="9" t="s">
        <v>24</v>
      </c>
      <c r="C29" s="11"/>
    </row>
    <row r="30" spans="1:3">
      <c r="A30" s="7">
        <f t="shared" si="0"/>
        <v>30</v>
      </c>
      <c r="B30" s="9" t="s">
        <v>25</v>
      </c>
    </row>
    <row r="31" spans="1:3">
      <c r="A31" s="7">
        <f t="shared" si="0"/>
        <v>31</v>
      </c>
      <c r="B31" s="4" t="s">
        <v>26</v>
      </c>
    </row>
    <row r="32" spans="1:3">
      <c r="A32" s="7">
        <f t="shared" si="0"/>
        <v>32</v>
      </c>
      <c r="B32" s="4" t="s">
        <v>27</v>
      </c>
      <c r="C32" s="2" t="s">
        <v>28</v>
      </c>
    </row>
    <row r="33" spans="1:3">
      <c r="A33" s="7">
        <f t="shared" si="0"/>
        <v>33</v>
      </c>
      <c r="B33" s="9" t="s">
        <v>29</v>
      </c>
      <c r="C33" s="2" t="s">
        <v>70</v>
      </c>
    </row>
    <row r="34" spans="1:3">
      <c r="A34" s="7">
        <f t="shared" si="0"/>
        <v>34</v>
      </c>
      <c r="B34" s="4" t="s">
        <v>30</v>
      </c>
    </row>
    <row r="35" spans="1:3">
      <c r="A35" s="7">
        <f t="shared" si="0"/>
        <v>35</v>
      </c>
      <c r="B35" s="4" t="s">
        <v>31</v>
      </c>
      <c r="C35" s="2" t="s">
        <v>64</v>
      </c>
    </row>
    <row r="36" spans="1:3">
      <c r="A36" s="7">
        <f t="shared" si="0"/>
        <v>36</v>
      </c>
      <c r="B36" s="9" t="s">
        <v>32</v>
      </c>
      <c r="C36" s="15" t="s">
        <v>105</v>
      </c>
    </row>
    <row r="37" spans="1:3">
      <c r="A37" s="7">
        <f t="shared" si="0"/>
        <v>37</v>
      </c>
      <c r="B37" s="9" t="s">
        <v>33</v>
      </c>
    </row>
    <row r="38" spans="1:3">
      <c r="A38" s="7">
        <f t="shared" si="0"/>
        <v>38</v>
      </c>
      <c r="B38" s="4" t="s">
        <v>34</v>
      </c>
      <c r="C38" s="11" t="s">
        <v>35</v>
      </c>
    </row>
    <row r="39" spans="1:3">
      <c r="A39" s="7">
        <f t="shared" si="0"/>
        <v>39</v>
      </c>
      <c r="B39" s="4" t="s">
        <v>36</v>
      </c>
      <c r="C39" s="11"/>
    </row>
    <row r="40" spans="1:3">
      <c r="A40" s="7">
        <f t="shared" si="0"/>
        <v>40</v>
      </c>
      <c r="B40" s="4" t="s">
        <v>37</v>
      </c>
    </row>
    <row r="41" spans="1:3">
      <c r="A41" s="7">
        <f t="shared" si="0"/>
        <v>41</v>
      </c>
      <c r="B41" s="4" t="s">
        <v>38</v>
      </c>
    </row>
    <row r="42" spans="1:3">
      <c r="A42" s="7">
        <f t="shared" si="0"/>
        <v>42</v>
      </c>
      <c r="B42" s="4" t="s">
        <v>39</v>
      </c>
    </row>
    <row r="43" spans="1:3">
      <c r="A43" s="7">
        <f t="shared" si="0"/>
        <v>43</v>
      </c>
      <c r="B43" s="9" t="s">
        <v>40</v>
      </c>
      <c r="C43" s="2" t="s">
        <v>381</v>
      </c>
    </row>
    <row r="44" spans="1:3">
      <c r="A44" s="7">
        <f t="shared" si="0"/>
        <v>44</v>
      </c>
      <c r="B44" s="4" t="s">
        <v>41</v>
      </c>
      <c r="C44" s="13"/>
    </row>
    <row r="45" spans="1:3">
      <c r="A45" s="7">
        <f t="shared" si="0"/>
        <v>45</v>
      </c>
      <c r="B45" s="9" t="s">
        <v>42</v>
      </c>
      <c r="C45" s="27">
        <f>invoice!M30</f>
        <v>1976908</v>
      </c>
    </row>
    <row r="46" spans="1:3">
      <c r="A46" s="7">
        <f t="shared" si="0"/>
        <v>46</v>
      </c>
      <c r="B46" s="4" t="s">
        <v>43</v>
      </c>
      <c r="C46" s="14"/>
    </row>
    <row r="47" spans="1:3">
      <c r="A47" s="7">
        <f t="shared" si="0"/>
        <v>47</v>
      </c>
      <c r="B47" s="4" t="s">
        <v>43</v>
      </c>
      <c r="C47" s="13"/>
    </row>
    <row r="48" spans="1:3">
      <c r="A48" s="7">
        <f t="shared" si="0"/>
        <v>48</v>
      </c>
      <c r="B48" s="4" t="s">
        <v>31</v>
      </c>
      <c r="C48" s="15" t="s">
        <v>64</v>
      </c>
    </row>
    <row r="49" spans="1:3">
      <c r="A49" s="7">
        <f t="shared" si="0"/>
        <v>49</v>
      </c>
      <c r="B49" s="9" t="s">
        <v>44</v>
      </c>
      <c r="C49" s="2" t="str">
        <f>C27</f>
        <v xml:space="preserve"> SY-7701110-VT-DD-01</v>
      </c>
    </row>
    <row r="50" spans="1:3">
      <c r="A50" s="7">
        <f t="shared" si="0"/>
        <v>50</v>
      </c>
      <c r="B50" s="9" t="s">
        <v>45</v>
      </c>
      <c r="C50" s="4" t="s">
        <v>101</v>
      </c>
    </row>
    <row r="51" spans="1:3">
      <c r="A51" s="7">
        <f t="shared" si="0"/>
        <v>51</v>
      </c>
      <c r="B51" s="9" t="s">
        <v>46</v>
      </c>
      <c r="C51" s="4" t="s">
        <v>143</v>
      </c>
    </row>
    <row r="52" spans="1:3">
      <c r="A52" s="7">
        <f t="shared" si="0"/>
        <v>52</v>
      </c>
      <c r="B52" s="9" t="s">
        <v>47</v>
      </c>
      <c r="C52" s="2" t="s">
        <v>102</v>
      </c>
    </row>
    <row r="53" spans="1:3">
      <c r="A53" s="7">
        <f t="shared" si="0"/>
        <v>53</v>
      </c>
      <c r="B53" s="9" t="s">
        <v>48</v>
      </c>
      <c r="C53" s="2" t="s">
        <v>103</v>
      </c>
    </row>
    <row r="54" spans="1:3">
      <c r="A54" s="7">
        <f t="shared" si="0"/>
        <v>54</v>
      </c>
      <c r="B54" s="9" t="s">
        <v>49</v>
      </c>
      <c r="C54" s="3" t="s">
        <v>104</v>
      </c>
    </row>
    <row r="55" spans="1:3">
      <c r="A55" s="7">
        <f t="shared" si="0"/>
        <v>55</v>
      </c>
      <c r="B55" s="28" t="s">
        <v>50</v>
      </c>
      <c r="C55" s="26" t="s">
        <v>375</v>
      </c>
    </row>
    <row r="56" spans="1:3">
      <c r="A56" s="7">
        <f t="shared" si="0"/>
        <v>56</v>
      </c>
      <c r="B56" s="4" t="s">
        <v>51</v>
      </c>
      <c r="C56" s="4"/>
    </row>
    <row r="57" spans="1:3">
      <c r="A57" s="7">
        <f t="shared" si="0"/>
        <v>57</v>
      </c>
      <c r="B57" s="4"/>
    </row>
    <row r="58" spans="1:3">
      <c r="A58" s="7">
        <f t="shared" si="0"/>
        <v>58</v>
      </c>
      <c r="B58" s="4"/>
    </row>
    <row r="59" spans="1:3">
      <c r="A59" s="7">
        <f t="shared" si="0"/>
        <v>59</v>
      </c>
      <c r="B59" s="4"/>
    </row>
    <row r="60" spans="1:3">
      <c r="A60" s="7">
        <f t="shared" si="0"/>
        <v>60</v>
      </c>
      <c r="B60" s="4" t="s">
        <v>52</v>
      </c>
      <c r="C60" s="2" t="s">
        <v>165</v>
      </c>
    </row>
    <row r="61" spans="1:3">
      <c r="A61" s="7">
        <f t="shared" si="0"/>
        <v>61</v>
      </c>
      <c r="B61" s="4" t="s">
        <v>53</v>
      </c>
    </row>
    <row r="62" spans="1:3">
      <c r="A62" s="7">
        <f t="shared" si="0"/>
        <v>62</v>
      </c>
      <c r="B62" s="4"/>
    </row>
    <row r="63" spans="1:3">
      <c r="A63" s="7">
        <f t="shared" si="0"/>
        <v>63</v>
      </c>
      <c r="B63" s="18" t="s">
        <v>81</v>
      </c>
      <c r="C63" s="17" t="s">
        <v>82</v>
      </c>
    </row>
    <row r="64" spans="1:3">
      <c r="A64" s="7">
        <f t="shared" si="0"/>
        <v>64</v>
      </c>
      <c r="B64" s="4"/>
      <c r="C64" s="17" t="s">
        <v>83</v>
      </c>
    </row>
    <row r="65" spans="1:3">
      <c r="A65" s="7">
        <f t="shared" si="0"/>
        <v>65</v>
      </c>
      <c r="B65" s="4"/>
    </row>
    <row r="66" spans="1:3">
      <c r="A66" s="7">
        <f t="shared" si="0"/>
        <v>66</v>
      </c>
      <c r="B66" s="4"/>
    </row>
    <row r="67" spans="1:3">
      <c r="A67" s="7">
        <f t="shared" si="0"/>
        <v>67</v>
      </c>
      <c r="B67" s="4" t="s">
        <v>54</v>
      </c>
      <c r="C67" s="6"/>
    </row>
    <row r="68" spans="1:3">
      <c r="A68" s="7">
        <f t="shared" si="0"/>
        <v>68</v>
      </c>
      <c r="B68" s="9" t="s">
        <v>55</v>
      </c>
      <c r="C68" s="2" t="s">
        <v>75</v>
      </c>
    </row>
    <row r="69" spans="1:3">
      <c r="A69" s="7">
        <f t="shared" ref="A69:A86" si="1">A68+1</f>
        <v>69</v>
      </c>
      <c r="B69" s="4" t="s">
        <v>56</v>
      </c>
      <c r="C69" s="2" t="s">
        <v>73</v>
      </c>
    </row>
    <row r="70" spans="1:3">
      <c r="A70" s="7">
        <f t="shared" si="1"/>
        <v>70</v>
      </c>
      <c r="B70" s="4" t="s">
        <v>57</v>
      </c>
    </row>
    <row r="71" spans="1:3">
      <c r="A71" s="7">
        <f t="shared" si="1"/>
        <v>71</v>
      </c>
      <c r="B71" s="4"/>
    </row>
    <row r="72" spans="1:3">
      <c r="A72" s="7">
        <f t="shared" si="1"/>
        <v>72</v>
      </c>
      <c r="B72" s="4"/>
    </row>
    <row r="73" spans="1:3">
      <c r="A73" s="7">
        <f t="shared" si="1"/>
        <v>73</v>
      </c>
      <c r="B73" s="4"/>
    </row>
    <row r="74" spans="1:3">
      <c r="A74" s="7">
        <f t="shared" si="1"/>
        <v>74</v>
      </c>
      <c r="B74" s="4"/>
    </row>
    <row r="75" spans="1:3">
      <c r="A75" s="7">
        <f t="shared" si="1"/>
        <v>75</v>
      </c>
      <c r="B75" s="4" t="s">
        <v>58</v>
      </c>
      <c r="C75" s="2" t="s">
        <v>72</v>
      </c>
    </row>
    <row r="76" spans="1:3">
      <c r="A76" s="7">
        <f t="shared" si="1"/>
        <v>76</v>
      </c>
      <c r="B76" s="4" t="s">
        <v>59</v>
      </c>
      <c r="C76" s="4"/>
    </row>
    <row r="77" spans="1:3">
      <c r="A77" s="7">
        <f t="shared" si="1"/>
        <v>77</v>
      </c>
      <c r="B77" s="4"/>
    </row>
    <row r="78" spans="1:3">
      <c r="A78" s="7">
        <f t="shared" si="1"/>
        <v>78</v>
      </c>
      <c r="B78" s="4" t="s">
        <v>60</v>
      </c>
      <c r="C78" s="2" t="s">
        <v>74</v>
      </c>
    </row>
    <row r="79" spans="1:3">
      <c r="A79" s="7">
        <f t="shared" si="1"/>
        <v>79</v>
      </c>
      <c r="B79" s="4" t="s">
        <v>61</v>
      </c>
      <c r="C79" s="2" t="s">
        <v>74</v>
      </c>
    </row>
    <row r="80" spans="1:3">
      <c r="A80" s="7">
        <f t="shared" si="1"/>
        <v>80</v>
      </c>
      <c r="B80" s="4"/>
    </row>
    <row r="81" spans="1:3">
      <c r="A81" s="7">
        <f t="shared" si="1"/>
        <v>81</v>
      </c>
      <c r="B81" s="4" t="s">
        <v>62</v>
      </c>
      <c r="C81" s="271" t="s">
        <v>373</v>
      </c>
    </row>
    <row r="82" spans="1:3">
      <c r="A82" s="7">
        <f t="shared" si="1"/>
        <v>82</v>
      </c>
      <c r="B82" s="4"/>
    </row>
    <row r="83" spans="1:3">
      <c r="A83" s="7">
        <f t="shared" si="1"/>
        <v>83</v>
      </c>
      <c r="B83" s="4" t="s">
        <v>63</v>
      </c>
      <c r="C83" s="2" t="s">
        <v>71</v>
      </c>
    </row>
    <row r="84" spans="1:3">
      <c r="A84" s="7">
        <f t="shared" si="1"/>
        <v>84</v>
      </c>
      <c r="B84" s="4"/>
    </row>
    <row r="85" spans="1:3">
      <c r="A85" s="7">
        <f t="shared" si="1"/>
        <v>85</v>
      </c>
      <c r="B85" s="4"/>
    </row>
    <row r="86" spans="1:3">
      <c r="A86" s="7">
        <f t="shared" si="1"/>
        <v>86</v>
      </c>
      <c r="B86" s="4"/>
    </row>
    <row r="87" spans="1:3">
      <c r="B87" s="4"/>
    </row>
    <row r="88" spans="1:3">
      <c r="B88" s="4"/>
    </row>
    <row r="89" spans="1:3">
      <c r="B89" s="4"/>
    </row>
    <row r="90" spans="1:3">
      <c r="B90" s="4"/>
    </row>
    <row r="91" spans="1:3">
      <c r="B91" s="4"/>
    </row>
    <row r="92" spans="1:3">
      <c r="B92" s="4"/>
    </row>
    <row r="93" spans="1:3">
      <c r="B93" s="4"/>
    </row>
    <row r="95" spans="1:3">
      <c r="B95" s="4"/>
    </row>
    <row r="96" spans="1:3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</sheetData>
  <phoneticPr fontId="13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5B-2836-4BDA-9250-F13773F4C007}">
  <dimension ref="A1:O34"/>
  <sheetViews>
    <sheetView zoomScale="50" zoomScaleNormal="50" workbookViewId="0">
      <selection activeCell="O26" sqref="O26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95" customFormat="1" ht="32.25" customHeight="1">
      <c r="H1" s="96"/>
    </row>
    <row r="2" spans="1:15" s="95" customFormat="1" ht="32.5">
      <c r="A2" s="95" t="str">
        <f>'shipper master'!C26</f>
        <v xml:space="preserve"> SY-7701110-VT-DD-01</v>
      </c>
      <c r="H2" s="96"/>
      <c r="I2" s="95" t="str">
        <f>'shipper master'!C26</f>
        <v xml:space="preserve"> SY-7701110-VT-DD-01</v>
      </c>
    </row>
    <row r="3" spans="1:15" s="95" customFormat="1" ht="32.5">
      <c r="A3" s="95" t="str">
        <f>'[1]shipper master'!C50</f>
        <v xml:space="preserve">VIVAN GARMENTS VIET NAM </v>
      </c>
      <c r="H3" s="96"/>
      <c r="I3" s="95" t="str">
        <f>'[1]shipper master'!C50</f>
        <v xml:space="preserve">VIVAN GARMENTS VIET NAM </v>
      </c>
    </row>
    <row r="4" spans="1:15" s="95" customFormat="1" ht="32.5">
      <c r="A4" s="95" t="str">
        <f>'[1]shipper master'!C51</f>
        <v xml:space="preserve"> COMPANY LIMITED</v>
      </c>
      <c r="H4" s="96"/>
      <c r="I4" s="95" t="str">
        <f>'[1]shipper master'!C51</f>
        <v xml:space="preserve"> COMPANY LIMITED</v>
      </c>
    </row>
    <row r="5" spans="1:15" s="95" customFormat="1" ht="32.5">
      <c r="A5" s="95" t="str">
        <f>'[1]shipper master'!C52</f>
        <v xml:space="preserve"> HOCHIMINH-CITY, VIETNAM</v>
      </c>
      <c r="H5" s="96"/>
      <c r="I5" s="95" t="str">
        <f>'[1]shipper master'!C52</f>
        <v xml:space="preserve"> HOCHIMINH-CITY, VIETNAM</v>
      </c>
    </row>
    <row r="6" spans="1:15" s="95" customFormat="1" ht="32.5">
      <c r="A6" s="95" t="s">
        <v>109</v>
      </c>
      <c r="C6" s="95">
        <v>1</v>
      </c>
      <c r="D6" s="97"/>
      <c r="H6" s="96"/>
      <c r="I6" s="95" t="s">
        <v>109</v>
      </c>
      <c r="K6" s="95">
        <v>2</v>
      </c>
    </row>
    <row r="7" spans="1:15" s="95" customFormat="1" ht="32.25" customHeight="1">
      <c r="A7" s="95" t="str">
        <f>'[1]shipper master'!C54</f>
        <v xml:space="preserve"> MADE IN JAPAN</v>
      </c>
      <c r="H7" s="96"/>
      <c r="I7" s="95" t="str">
        <f>'[1]shipper master'!C54</f>
        <v xml:space="preserve"> MADE IN JAPAN</v>
      </c>
    </row>
    <row r="8" spans="1:15" s="95" customFormat="1" ht="19.5" customHeight="1">
      <c r="H8" s="96"/>
    </row>
    <row r="9" spans="1:15" s="95" customFormat="1" ht="19.5" customHeight="1">
      <c r="H9" s="96"/>
    </row>
    <row r="10" spans="1:15" s="95" customFormat="1" ht="19.5" customHeight="1">
      <c r="A10" s="98"/>
      <c r="B10" s="98"/>
      <c r="C10" s="98"/>
      <c r="D10" s="98"/>
      <c r="E10" s="98"/>
      <c r="F10" s="98"/>
      <c r="G10" s="98"/>
      <c r="H10" s="99"/>
      <c r="I10" s="98"/>
      <c r="J10" s="98"/>
      <c r="K10" s="98"/>
      <c r="L10" s="98"/>
      <c r="M10" s="98"/>
      <c r="N10" s="98"/>
      <c r="O10" s="98"/>
    </row>
    <row r="11" spans="1:15" s="95" customFormat="1" ht="19.5" customHeight="1">
      <c r="H11" s="96"/>
    </row>
    <row r="12" spans="1:15" s="95" customFormat="1" ht="19.5" customHeight="1">
      <c r="H12" s="96"/>
    </row>
    <row r="13" spans="1:15" s="95" customFormat="1" ht="32.5">
      <c r="A13" s="95" t="str">
        <f>'shipper master'!C26</f>
        <v xml:space="preserve"> SY-7701110-VT-DD-01</v>
      </c>
      <c r="H13" s="96"/>
      <c r="I13" s="95" t="str">
        <f>'shipper master'!C26</f>
        <v xml:space="preserve"> SY-7701110-VT-DD-01</v>
      </c>
    </row>
    <row r="14" spans="1:15" s="95" customFormat="1" ht="32.5">
      <c r="A14" s="95" t="str">
        <f>'[1]shipper master'!C50</f>
        <v xml:space="preserve">VIVAN GARMENTS VIET NAM </v>
      </c>
      <c r="H14" s="96"/>
      <c r="I14" s="95" t="str">
        <f>'[1]shipper master'!C50</f>
        <v xml:space="preserve">VIVAN GARMENTS VIET NAM </v>
      </c>
    </row>
    <row r="15" spans="1:15" s="95" customFormat="1" ht="32.5">
      <c r="A15" s="95" t="str">
        <f>'[1]shipper master'!C51</f>
        <v xml:space="preserve"> COMPANY LIMITED</v>
      </c>
      <c r="H15" s="96"/>
      <c r="I15" s="95" t="str">
        <f>'[1]shipper master'!C51</f>
        <v xml:space="preserve"> COMPANY LIMITED</v>
      </c>
    </row>
    <row r="16" spans="1:15" s="95" customFormat="1" ht="32.5">
      <c r="A16" s="95" t="str">
        <f>'[1]shipper master'!C52</f>
        <v xml:space="preserve"> HOCHIMINH-CITY, VIETNAM</v>
      </c>
      <c r="H16" s="96"/>
      <c r="I16" s="95" t="str">
        <f>'[1]shipper master'!C52</f>
        <v xml:space="preserve"> HOCHIMINH-CITY, VIETNAM</v>
      </c>
    </row>
    <row r="17" spans="1:11" s="95" customFormat="1" ht="32.5">
      <c r="A17" s="95" t="s">
        <v>109</v>
      </c>
      <c r="C17" s="95">
        <v>3</v>
      </c>
      <c r="H17" s="96"/>
      <c r="I17" s="95" t="s">
        <v>109</v>
      </c>
      <c r="K17" s="95">
        <v>4</v>
      </c>
    </row>
    <row r="18" spans="1:11" s="95" customFormat="1" ht="32.5">
      <c r="A18" s="95" t="str">
        <f>'[1]shipper master'!C54</f>
        <v xml:space="preserve"> MADE IN JAPAN</v>
      </c>
      <c r="H18" s="96"/>
      <c r="I18" s="95" t="str">
        <f>'[1]shipper master'!C54</f>
        <v xml:space="preserve"> MADE IN JAPAN</v>
      </c>
    </row>
    <row r="19" spans="1:11" s="100" customFormat="1" ht="34">
      <c r="A19" s="95"/>
    </row>
    <row r="20" spans="1:11" s="100" customFormat="1" ht="34"/>
    <row r="21" spans="1:11" s="100" customFormat="1" ht="34"/>
    <row r="22" spans="1:11" s="100" customFormat="1" ht="34"/>
    <row r="23" spans="1:11" s="100" customFormat="1" ht="34"/>
    <row r="24" spans="1:11" s="100" customFormat="1" ht="34"/>
    <row r="25" spans="1:11" s="100" customFormat="1" ht="34"/>
    <row r="26" spans="1:11" s="95" customFormat="1" ht="32.5"/>
    <row r="27" spans="1:11" s="95" customFormat="1" ht="32.5"/>
    <row r="28" spans="1:11" s="95" customFormat="1" ht="32.5"/>
    <row r="29" spans="1:11" s="95" customFormat="1" ht="32.5"/>
    <row r="30" spans="1:11" s="95" customFormat="1" ht="32.5"/>
    <row r="31" spans="1:11" s="95" customFormat="1" ht="32.5"/>
    <row r="32" spans="1:11" s="95" customFormat="1" ht="32.5"/>
    <row r="33" s="95" customFormat="1" ht="32.5"/>
    <row r="34" s="95" customFormat="1" ht="32.5"/>
  </sheetData>
  <phoneticPr fontId="13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66B-09EC-4DA3-BA5A-98BCA7A42B85}">
  <sheetPr>
    <tabColor rgb="FFFFFF00"/>
    <pageSetUpPr fitToPage="1"/>
  </sheetPr>
  <dimension ref="A1:M91"/>
  <sheetViews>
    <sheetView showZeros="0" view="pageBreakPreview" topLeftCell="A16" zoomScale="110" zoomScaleNormal="115" zoomScaleSheetLayoutView="110" workbookViewId="0">
      <selection activeCell="K26" sqref="K26"/>
    </sheetView>
  </sheetViews>
  <sheetFormatPr defaultColWidth="9" defaultRowHeight="16"/>
  <cols>
    <col min="1" max="1" width="8.6328125" style="104" customWidth="1"/>
    <col min="2" max="2" width="11.6328125" style="104" customWidth="1"/>
    <col min="3" max="3" width="4.81640625" style="104" customWidth="1"/>
    <col min="4" max="4" width="23.36328125" style="104" customWidth="1"/>
    <col min="5" max="5" width="6.08984375" style="104" customWidth="1"/>
    <col min="6" max="7" width="3.08984375" style="104" customWidth="1"/>
    <col min="8" max="8" width="2.90625" style="104" customWidth="1"/>
    <col min="9" max="9" width="3.08984375" style="104" hidden="1" customWidth="1"/>
    <col min="10" max="10" width="8.453125" style="104" customWidth="1"/>
    <col min="11" max="11" width="9.90625" style="104" customWidth="1"/>
    <col min="12" max="12" width="13" style="104" customWidth="1"/>
    <col min="13" max="13" width="13.90625" style="104" customWidth="1"/>
    <col min="14" max="16384" width="9" style="104"/>
  </cols>
  <sheetData>
    <row r="1" spans="1:13" s="101" customFormat="1" ht="32.25" customHeight="1">
      <c r="A1" s="318" t="s">
        <v>110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</row>
    <row r="2" spans="1:13" ht="23.25" customHeight="1">
      <c r="A2" s="102" t="str">
        <f>'[2]shipper master'!C2</f>
        <v xml:space="preserve"> SHUNYA CO., LTD.</v>
      </c>
      <c r="B2" s="103"/>
      <c r="C2" s="103"/>
      <c r="D2" s="103"/>
      <c r="E2" s="103"/>
      <c r="L2" s="105"/>
    </row>
    <row r="3" spans="1:13" ht="15.75" customHeight="1">
      <c r="A3" s="3" t="str">
        <f>'[2]shipper master'!C3</f>
        <v xml:space="preserve"> KENSHIN BLDG., 1F, 1-22-10 DOUGENZAKA,</v>
      </c>
      <c r="B3" s="103"/>
      <c r="C3" s="103"/>
      <c r="D3" s="103"/>
      <c r="E3" s="103"/>
      <c r="L3" s="105"/>
    </row>
    <row r="4" spans="1:13" ht="18" customHeight="1">
      <c r="A4" s="3" t="str">
        <f>'[2]shipper master'!C4</f>
        <v xml:space="preserve"> SHIBUYA-KU 150-0043</v>
      </c>
      <c r="B4" s="103"/>
      <c r="C4" s="103"/>
      <c r="D4" s="103"/>
      <c r="E4" s="103"/>
      <c r="F4" s="106"/>
      <c r="G4" s="106"/>
      <c r="H4" s="106"/>
      <c r="I4" s="106"/>
      <c r="J4" s="106"/>
      <c r="L4" s="3">
        <f>'[2]shipper master'!C6</f>
        <v>0</v>
      </c>
    </row>
    <row r="5" spans="1:13" ht="16.5" thickBot="1">
      <c r="A5" s="107" t="str">
        <f>'[2]shipper master'!C5</f>
        <v xml:space="preserve"> TEL : +81(0)3-5459-1177</v>
      </c>
      <c r="B5" s="103"/>
      <c r="C5" s="103"/>
      <c r="D5" s="103"/>
      <c r="L5" s="3">
        <f>'[2]shipper master'!C7</f>
        <v>0</v>
      </c>
      <c r="M5" s="108"/>
    </row>
    <row r="6" spans="1:13" ht="13.4" customHeight="1">
      <c r="A6" s="109" t="s">
        <v>111</v>
      </c>
      <c r="B6" s="110"/>
      <c r="C6" s="110"/>
      <c r="D6" s="110"/>
      <c r="E6" s="110"/>
      <c r="F6" s="111" t="s">
        <v>112</v>
      </c>
      <c r="G6" s="112"/>
      <c r="H6" s="112"/>
      <c r="I6" s="112"/>
      <c r="J6" s="110"/>
      <c r="K6" s="208"/>
      <c r="L6" s="111" t="s">
        <v>113</v>
      </c>
      <c r="M6" s="105"/>
    </row>
    <row r="7" spans="1:13" ht="13.4" customHeight="1">
      <c r="A7" s="3" t="str">
        <f>'[2]shipper master'!C9</f>
        <v>VIVAN GARMENTS VIET NAM COMPANY LIMITED</v>
      </c>
      <c r="B7" s="105"/>
      <c r="C7" s="105"/>
      <c r="D7" s="105"/>
      <c r="E7" s="105"/>
      <c r="F7" s="113" t="str">
        <f>'shipper master'!C26</f>
        <v xml:space="preserve"> SY-7701110-VT-DD-01</v>
      </c>
      <c r="G7" s="114"/>
      <c r="H7" s="114"/>
      <c r="I7" s="114"/>
      <c r="J7" s="114"/>
      <c r="K7" s="209"/>
      <c r="L7" s="115"/>
      <c r="M7" s="105"/>
    </row>
    <row r="8" spans="1:13" ht="13.4" customHeight="1">
      <c r="A8" s="3" t="str">
        <f>'[2]shipper master'!C10</f>
        <v>D17 Street , Sai Gon South Residential Area</v>
      </c>
      <c r="B8" s="105"/>
      <c r="C8" s="105"/>
      <c r="D8" s="105"/>
      <c r="E8" s="105"/>
      <c r="F8" s="116" t="s">
        <v>114</v>
      </c>
      <c r="G8" s="109"/>
      <c r="H8" s="109"/>
      <c r="I8" s="109"/>
      <c r="J8" s="105"/>
      <c r="K8" s="210"/>
      <c r="L8" s="117" t="str">
        <f>'shipper master'!C26</f>
        <v xml:space="preserve"> SY-7701110-VT-DD-01</v>
      </c>
      <c r="M8" s="105"/>
    </row>
    <row r="9" spans="1:13" ht="13.4" customHeight="1">
      <c r="A9" s="3" t="str">
        <f>'[2]shipper master'!C11</f>
        <v>Hamlet 3 , Long Hau Commune , Can Giuoc District,</v>
      </c>
      <c r="B9" s="105"/>
      <c r="C9" s="105"/>
      <c r="D9" s="105"/>
      <c r="E9" s="105"/>
      <c r="F9" s="211" t="str">
        <f>'shipper master'!C25</f>
        <v>Nov, 13 2025</v>
      </c>
      <c r="G9" s="118"/>
      <c r="H9" s="118"/>
      <c r="I9" s="118"/>
      <c r="J9" s="118"/>
      <c r="K9" s="119"/>
      <c r="L9" s="117" t="str">
        <f>'[1]shipper master'!C50</f>
        <v xml:space="preserve">VIVAN GARMENTS VIET NAM </v>
      </c>
      <c r="M9" s="105"/>
    </row>
    <row r="10" spans="1:13" ht="13.4" customHeight="1">
      <c r="A10" s="3" t="str">
        <f>'[2]shipper master'!C12</f>
        <v xml:space="preserve"> Long An Province , VietNam</v>
      </c>
      <c r="B10" s="105"/>
      <c r="C10" s="105"/>
      <c r="D10" s="105"/>
      <c r="E10" s="105"/>
      <c r="F10" s="116" t="s">
        <v>115</v>
      </c>
      <c r="G10" s="109"/>
      <c r="H10" s="109"/>
      <c r="I10" s="109"/>
      <c r="J10" s="105"/>
      <c r="K10" s="210"/>
      <c r="L10" s="117" t="str">
        <f>'[1]shipper master'!C51</f>
        <v xml:space="preserve"> COMPANY LIMITED</v>
      </c>
      <c r="M10" s="105"/>
    </row>
    <row r="11" spans="1:13" ht="13.4" customHeight="1">
      <c r="A11" s="114" t="str">
        <f>'[2]shipper master'!C13</f>
        <v xml:space="preserve"> TEL : ( 084 ) 097 22 00 798  ATTN : MR. TUAN</v>
      </c>
      <c r="B11" s="105"/>
      <c r="C11" s="105"/>
      <c r="D11" s="105"/>
      <c r="E11" s="124"/>
      <c r="F11" s="319" t="str">
        <f>'shipper master'!C26</f>
        <v xml:space="preserve"> SY-7701110-VT-DD-01</v>
      </c>
      <c r="G11" s="320"/>
      <c r="H11" s="320"/>
      <c r="I11" s="320"/>
      <c r="J11" s="320"/>
      <c r="K11" s="321"/>
      <c r="L11" s="117" t="str">
        <f>'[1]shipper master'!C52</f>
        <v xml:space="preserve"> HOCHIMINH-CITY, VIETNAM</v>
      </c>
      <c r="M11" s="105"/>
    </row>
    <row r="12" spans="1:13" ht="13.4" customHeight="1">
      <c r="A12" s="109" t="s">
        <v>116</v>
      </c>
      <c r="B12" s="120"/>
      <c r="C12" s="120"/>
      <c r="D12" s="120"/>
      <c r="E12" s="105"/>
      <c r="F12" s="116" t="s">
        <v>117</v>
      </c>
      <c r="G12" s="109"/>
      <c r="H12" s="109"/>
      <c r="I12" s="109"/>
      <c r="J12" s="105"/>
      <c r="K12" s="105"/>
      <c r="L12" s="121" t="s">
        <v>372</v>
      </c>
      <c r="M12" s="105"/>
    </row>
    <row r="13" spans="1:13" ht="13.4" customHeight="1">
      <c r="A13" s="3" t="str">
        <f>'[2]shipper master'!C15</f>
        <v xml:space="preserve"> - SAME AS BUYER -</v>
      </c>
      <c r="B13" s="105"/>
      <c r="C13" s="105"/>
      <c r="D13" s="105"/>
      <c r="E13" s="105"/>
      <c r="F13" s="319">
        <f>'[2]shipper master'!C30</f>
        <v>0</v>
      </c>
      <c r="G13" s="320"/>
      <c r="H13" s="320"/>
      <c r="I13" s="320"/>
      <c r="J13" s="320"/>
      <c r="K13" s="321"/>
      <c r="L13" s="117" t="s">
        <v>118</v>
      </c>
      <c r="M13" s="105"/>
    </row>
    <row r="14" spans="1:13" ht="13.4" customHeight="1">
      <c r="A14" s="3">
        <f>'[2]shipper master'!C16</f>
        <v>0</v>
      </c>
      <c r="B14" s="105"/>
      <c r="C14" s="105"/>
      <c r="D14" s="105"/>
      <c r="E14" s="105"/>
      <c r="F14" s="122" t="s">
        <v>24</v>
      </c>
      <c r="G14" s="3"/>
      <c r="H14" s="3"/>
      <c r="I14" s="3"/>
      <c r="J14" s="3"/>
      <c r="K14" s="123"/>
      <c r="L14" s="117" t="s">
        <v>173</v>
      </c>
      <c r="M14" s="105"/>
    </row>
    <row r="15" spans="1:13" ht="13.4" customHeight="1">
      <c r="A15" s="3">
        <f>'[2]shipper master'!C17</f>
        <v>0</v>
      </c>
      <c r="B15" s="105"/>
      <c r="C15" s="105"/>
      <c r="D15" s="105"/>
      <c r="E15" s="105"/>
      <c r="F15" s="319">
        <f>'[2]shipper master'!C29</f>
        <v>0</v>
      </c>
      <c r="G15" s="320"/>
      <c r="H15" s="320"/>
      <c r="I15" s="320"/>
      <c r="J15" s="320"/>
      <c r="K15" s="321"/>
      <c r="L15" s="115"/>
      <c r="M15" s="105"/>
    </row>
    <row r="16" spans="1:13" ht="13.4" customHeight="1">
      <c r="A16" s="3">
        <f>'[2]shipper master'!C18</f>
        <v>0</v>
      </c>
      <c r="B16" s="105"/>
      <c r="C16" s="105"/>
      <c r="D16" s="105"/>
      <c r="E16" s="105"/>
      <c r="F16" s="116" t="s">
        <v>119</v>
      </c>
      <c r="G16" s="109"/>
      <c r="H16" s="109"/>
      <c r="I16" s="109"/>
      <c r="J16" s="105"/>
      <c r="K16" s="105"/>
      <c r="L16" s="115"/>
      <c r="M16" s="105"/>
    </row>
    <row r="17" spans="1:13" ht="13.4" customHeight="1">
      <c r="A17" s="114">
        <f>'[2]shipper master'!C19</f>
        <v>0</v>
      </c>
      <c r="B17" s="124"/>
      <c r="C17" s="124"/>
      <c r="D17" s="124"/>
      <c r="E17" s="124"/>
      <c r="F17" s="322"/>
      <c r="G17" s="323"/>
      <c r="H17" s="323"/>
      <c r="I17" s="323"/>
      <c r="J17" s="323"/>
      <c r="K17" s="324"/>
      <c r="L17" s="115"/>
      <c r="M17" s="105"/>
    </row>
    <row r="18" spans="1:13" ht="13.4" customHeight="1">
      <c r="A18" s="109" t="s">
        <v>120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15"/>
      <c r="M18" s="105"/>
    </row>
    <row r="19" spans="1:13" ht="13.4" customHeight="1">
      <c r="A19" s="114" t="str">
        <f>'[2]shipper master'!C21</f>
        <v xml:space="preserve"> NO COMMERCIAL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5"/>
      <c r="M19" s="124"/>
    </row>
    <row r="20" spans="1:13" ht="13.4" customHeight="1">
      <c r="A20" s="109" t="s">
        <v>121</v>
      </c>
      <c r="B20" s="105"/>
      <c r="C20" s="105"/>
      <c r="D20" s="126" t="s">
        <v>122</v>
      </c>
      <c r="E20" s="127"/>
      <c r="F20" s="109" t="s">
        <v>123</v>
      </c>
      <c r="G20" s="109"/>
      <c r="H20" s="109"/>
      <c r="I20" s="109"/>
      <c r="J20" s="128" t="s">
        <v>124</v>
      </c>
      <c r="K20" s="129"/>
      <c r="L20" s="109" t="s">
        <v>125</v>
      </c>
      <c r="M20" s="105"/>
    </row>
    <row r="21" spans="1:13" s="1" customFormat="1" ht="13.4" customHeight="1" thickBot="1">
      <c r="A21" s="3" t="str">
        <f>'[2]shipper master'!C24</f>
        <v xml:space="preserve"> AIRCRAFT</v>
      </c>
      <c r="B21" s="107"/>
      <c r="C21" s="3"/>
      <c r="D21" s="130" t="str">
        <f>'[2]shipper master'!C32</f>
        <v xml:space="preserve"> TOKYO, JAPAN</v>
      </c>
      <c r="E21" s="4"/>
      <c r="F21" s="4"/>
      <c r="G21" s="4" t="str">
        <f>'[2]shipper master'!C33</f>
        <v xml:space="preserve"> HOCHIMINH-CITY, VIETNAM</v>
      </c>
      <c r="H21" s="3"/>
      <c r="I21" s="3"/>
      <c r="J21" s="107"/>
      <c r="K21" s="107"/>
      <c r="L21" s="4"/>
      <c r="M21" s="107"/>
    </row>
    <row r="22" spans="1:13" s="135" customFormat="1" ht="16.399999999999999" customHeight="1">
      <c r="A22" s="131" t="s">
        <v>126</v>
      </c>
      <c r="B22" s="131" t="s">
        <v>127</v>
      </c>
      <c r="C22" s="131"/>
      <c r="D22" s="132" t="s">
        <v>128</v>
      </c>
      <c r="E22" s="131" t="s">
        <v>129</v>
      </c>
      <c r="F22" s="132"/>
      <c r="G22" s="132"/>
      <c r="H22" s="132" t="s">
        <v>130</v>
      </c>
      <c r="I22" s="132"/>
      <c r="J22" s="132"/>
      <c r="K22" s="133" t="s">
        <v>131</v>
      </c>
      <c r="L22" s="131" t="s">
        <v>132</v>
      </c>
      <c r="M22" s="134" t="s">
        <v>133</v>
      </c>
    </row>
    <row r="23" spans="1:13" ht="13.4" customHeight="1">
      <c r="A23" s="136"/>
      <c r="B23" s="137"/>
      <c r="C23" s="137"/>
      <c r="D23" s="105"/>
      <c r="E23" s="137"/>
      <c r="F23" s="105"/>
      <c r="G23" s="105"/>
      <c r="H23" s="105"/>
      <c r="I23" s="105"/>
      <c r="J23" s="105"/>
      <c r="K23" s="138"/>
      <c r="L23" s="105"/>
      <c r="M23" s="115"/>
    </row>
    <row r="24" spans="1:13" s="1" customFormat="1" ht="13.4" customHeight="1">
      <c r="A24" s="139"/>
      <c r="B24" s="140" t="str">
        <f>'[2]shipper master'!C36</f>
        <v>FABRIC &amp; PARTS FOR WEAR &amp; SAMPLE CLOTHES</v>
      </c>
      <c r="C24" s="140"/>
      <c r="D24" s="4"/>
      <c r="E24" s="4"/>
      <c r="F24" s="4"/>
      <c r="G24" s="4"/>
      <c r="H24" s="4"/>
      <c r="I24" s="4"/>
      <c r="J24" s="4"/>
      <c r="K24" s="141"/>
      <c r="L24" s="142" t="str">
        <f>'[2]shipper master'!C48</f>
        <v>F.O.B. TOKYO IN YEN</v>
      </c>
      <c r="M24" s="143"/>
    </row>
    <row r="25" spans="1:13" s="1" customFormat="1" ht="13.4" customHeight="1">
      <c r="A25" s="139"/>
      <c r="B25" s="140"/>
      <c r="C25" s="140"/>
      <c r="D25" s="4"/>
      <c r="E25" s="4"/>
      <c r="F25" s="4"/>
      <c r="G25" s="4"/>
      <c r="H25" s="4"/>
      <c r="I25" s="4"/>
      <c r="J25" s="4"/>
      <c r="K25" s="141"/>
      <c r="L25" s="144"/>
      <c r="M25" s="143"/>
    </row>
    <row r="26" spans="1:13" s="1" customFormat="1" ht="13.4" customHeight="1">
      <c r="A26" s="145"/>
      <c r="B26" s="140">
        <f>'[2]shipper master'!C37</f>
        <v>0</v>
      </c>
      <c r="C26" s="140"/>
      <c r="D26" s="4"/>
      <c r="E26" s="4"/>
      <c r="F26" s="3"/>
      <c r="G26" s="3"/>
      <c r="H26" s="3"/>
      <c r="I26" s="3"/>
      <c r="J26" s="3"/>
      <c r="K26" s="147">
        <f>'NARITA '!E135</f>
        <v>1035.6999999999998</v>
      </c>
      <c r="L26" s="148" t="s">
        <v>148</v>
      </c>
      <c r="M26" s="149">
        <f>'NARITA '!H135</f>
        <v>1400908</v>
      </c>
    </row>
    <row r="27" spans="1:13" s="1" customFormat="1" ht="13.4" customHeight="1">
      <c r="A27" s="5"/>
      <c r="B27" s="4"/>
      <c r="C27" s="4"/>
      <c r="D27" s="3"/>
      <c r="E27" s="4"/>
      <c r="F27" s="4"/>
      <c r="G27" s="4"/>
      <c r="H27" s="4"/>
      <c r="I27" s="4"/>
      <c r="J27" s="4"/>
      <c r="K27" s="147">
        <f>'NARITA '!E136</f>
        <v>1312</v>
      </c>
      <c r="L27" s="148" t="s">
        <v>145</v>
      </c>
      <c r="M27" s="149">
        <f>'NARITA '!H136</f>
        <v>576000</v>
      </c>
    </row>
    <row r="28" spans="1:13" s="1" customFormat="1" ht="13.4" customHeight="1">
      <c r="A28" s="150"/>
      <c r="B28" s="22" t="str">
        <f>'[2]shipper master'!C38</f>
        <v>- DETAILS AS PER ATTACHED SHEET -</v>
      </c>
      <c r="C28" s="22"/>
      <c r="D28" s="3"/>
      <c r="E28" s="4"/>
      <c r="F28" s="3"/>
      <c r="G28" s="3"/>
      <c r="H28" s="3"/>
      <c r="I28" s="3"/>
      <c r="J28" s="3"/>
      <c r="K28" s="151"/>
      <c r="L28" s="148"/>
      <c r="M28" s="152"/>
    </row>
    <row r="29" spans="1:13" s="1" customFormat="1" ht="13.4" customHeight="1">
      <c r="A29" s="150"/>
      <c r="B29" s="22"/>
      <c r="C29" s="22"/>
      <c r="D29" s="3"/>
      <c r="E29" s="4"/>
      <c r="F29" s="3"/>
      <c r="G29" s="3"/>
      <c r="H29" s="3"/>
      <c r="I29" s="3"/>
      <c r="J29" s="3"/>
      <c r="K29" s="151"/>
      <c r="L29" s="148"/>
      <c r="M29" s="152"/>
    </row>
    <row r="30" spans="1:13" s="1" customFormat="1" ht="17.25" customHeight="1" thickBot="1">
      <c r="A30" s="153"/>
      <c r="B30" s="154" t="s">
        <v>144</v>
      </c>
      <c r="C30" s="192"/>
      <c r="D30" s="198">
        <f>K26</f>
        <v>1035.6999999999998</v>
      </c>
      <c r="E30" s="192" t="s">
        <v>147</v>
      </c>
      <c r="F30" s="325">
        <f>K27</f>
        <v>1312</v>
      </c>
      <c r="G30" s="325"/>
      <c r="H30" s="325"/>
      <c r="I30" s="155" t="s">
        <v>85</v>
      </c>
      <c r="J30" s="155" t="s">
        <v>85</v>
      </c>
      <c r="K30" s="193">
        <f>K28</f>
        <v>0</v>
      </c>
      <c r="L30" s="194"/>
      <c r="M30" s="156">
        <f>SUM(M26:M29)</f>
        <v>1976908</v>
      </c>
    </row>
    <row r="31" spans="1:13" s="1" customFormat="1" ht="13.4" customHeight="1" thickTop="1">
      <c r="A31" s="157"/>
      <c r="B31" s="158"/>
      <c r="C31" s="158"/>
      <c r="D31" s="3"/>
      <c r="E31" s="159"/>
      <c r="F31" s="3"/>
      <c r="G31" s="159"/>
      <c r="H31" s="3"/>
      <c r="I31" s="3"/>
      <c r="J31" s="3"/>
      <c r="K31" s="150"/>
      <c r="L31" s="160"/>
      <c r="M31" s="157"/>
    </row>
    <row r="32" spans="1:13" s="1" customFormat="1" ht="13.4" customHeight="1">
      <c r="A32" s="3"/>
      <c r="B32" s="4"/>
      <c r="C32" s="4"/>
      <c r="D32" s="3"/>
      <c r="E32" s="3"/>
      <c r="F32" s="3"/>
      <c r="G32" s="3"/>
      <c r="H32" s="3"/>
      <c r="I32" s="3"/>
      <c r="J32" s="3"/>
      <c r="K32" s="161"/>
      <c r="L32" s="160"/>
      <c r="M32" s="162"/>
    </row>
    <row r="33" spans="1:13" s="1" customFormat="1" ht="13.4" customHeight="1">
      <c r="A33" s="3" t="str">
        <f>'[2]shipper master'!C63</f>
        <v>" THESE GOODS WILL BE RETURN TO JAPAN</v>
      </c>
      <c r="B33" s="163"/>
      <c r="C33" s="163"/>
      <c r="D33" s="163"/>
      <c r="E33" s="163"/>
      <c r="F33" s="163"/>
      <c r="G33" s="3"/>
      <c r="H33" s="3"/>
      <c r="I33" s="3" t="s">
        <v>134</v>
      </c>
      <c r="J33" s="3"/>
      <c r="K33" s="161" t="s">
        <v>135</v>
      </c>
      <c r="L33" s="160"/>
      <c r="M33" s="3"/>
    </row>
    <row r="34" spans="1:13" s="1" customFormat="1" ht="13.4" customHeight="1">
      <c r="A34" s="317" t="str">
        <f>'[2]shipper master'!C64</f>
        <v xml:space="preserve">  AFTER MANUFACTURED AT VIET NAM "</v>
      </c>
      <c r="B34" s="317"/>
      <c r="C34" s="317"/>
      <c r="D34" s="317"/>
      <c r="E34" s="4"/>
      <c r="F34" s="3"/>
      <c r="G34" s="3"/>
      <c r="H34" s="3"/>
      <c r="I34" s="3" t="s">
        <v>136</v>
      </c>
      <c r="J34" s="3"/>
      <c r="K34" s="161" t="s">
        <v>137</v>
      </c>
      <c r="L34" s="160"/>
      <c r="M34" s="162"/>
    </row>
    <row r="35" spans="1:13" s="1" customFormat="1" ht="13.4" customHeight="1">
      <c r="A35" s="3"/>
      <c r="B35" s="4"/>
      <c r="C35" s="4"/>
      <c r="D35" s="4">
        <f>'[2]shipper master'!C58</f>
        <v>0</v>
      </c>
      <c r="E35" s="4"/>
      <c r="F35" s="3"/>
      <c r="G35" s="3"/>
      <c r="H35" s="3"/>
      <c r="I35" s="3"/>
      <c r="J35" s="3"/>
      <c r="K35" s="150"/>
      <c r="L35" s="160"/>
      <c r="M35" s="3"/>
    </row>
    <row r="36" spans="1:13" s="1" customFormat="1" ht="13.4" customHeight="1">
      <c r="A36" s="4" t="str">
        <f>'[2]shipper master'!C60</f>
        <v>COUNTRY OF ORIGIN : JAPAN</v>
      </c>
      <c r="B36" s="4"/>
      <c r="C36" s="4"/>
      <c r="D36" s="4"/>
      <c r="E36" s="4"/>
      <c r="F36" s="3"/>
      <c r="G36" s="3"/>
      <c r="H36" s="3"/>
      <c r="I36" s="3"/>
      <c r="J36" s="3"/>
      <c r="K36" s="150"/>
      <c r="L36" s="160"/>
      <c r="M36" s="3"/>
    </row>
    <row r="37" spans="1:13" s="1" customFormat="1" ht="13.4" customHeight="1">
      <c r="A37" s="4"/>
      <c r="B37" s="4"/>
      <c r="C37" s="4"/>
      <c r="D37" s="4"/>
      <c r="E37" s="4"/>
      <c r="F37" s="3"/>
      <c r="G37" s="3"/>
      <c r="H37" s="3"/>
      <c r="I37" s="3"/>
      <c r="J37" s="3"/>
      <c r="K37" s="150"/>
      <c r="L37" s="160"/>
      <c r="M37" s="3"/>
    </row>
    <row r="38" spans="1:13" s="1" customFormat="1" ht="13.4" customHeight="1">
      <c r="A38" s="164" t="s">
        <v>138</v>
      </c>
      <c r="B38" s="165"/>
      <c r="C38" s="165"/>
      <c r="D38" s="166" t="s">
        <v>332</v>
      </c>
      <c r="E38" s="4"/>
      <c r="F38" s="3"/>
      <c r="G38" s="3"/>
      <c r="H38" s="3"/>
      <c r="I38" s="3"/>
      <c r="J38" s="3"/>
      <c r="K38" s="150"/>
      <c r="L38" s="160"/>
      <c r="M38" s="3"/>
    </row>
    <row r="39" spans="1:13" s="1" customFormat="1" ht="13.4" customHeight="1">
      <c r="A39" s="164" t="s">
        <v>139</v>
      </c>
      <c r="B39" s="165"/>
      <c r="C39" s="165"/>
      <c r="D39" s="167" t="s">
        <v>140</v>
      </c>
      <c r="E39" s="4"/>
      <c r="F39" s="3"/>
      <c r="G39" s="3"/>
      <c r="H39" s="3"/>
      <c r="I39" s="3"/>
      <c r="J39" s="3"/>
      <c r="K39" s="150"/>
      <c r="L39" s="160"/>
      <c r="M39" s="3"/>
    </row>
    <row r="40" spans="1:13" s="1" customFormat="1" ht="13.4" customHeight="1">
      <c r="A40" s="146"/>
      <c r="B40" s="140"/>
      <c r="C40" s="140"/>
      <c r="D40" s="168"/>
      <c r="E40" s="140"/>
      <c r="F40" s="169"/>
      <c r="G40" s="169"/>
      <c r="H40" s="169"/>
      <c r="I40" s="3"/>
      <c r="J40" s="3"/>
      <c r="K40" s="150"/>
      <c r="L40" s="160"/>
      <c r="M40" s="3"/>
    </row>
    <row r="41" spans="1:13" ht="18" customHeight="1">
      <c r="A41" s="146"/>
      <c r="B41" s="105"/>
      <c r="C41" s="105"/>
      <c r="D41" s="105"/>
      <c r="E41" s="105"/>
      <c r="F41" s="105"/>
      <c r="G41" s="105"/>
      <c r="H41" s="137"/>
      <c r="I41" s="105"/>
      <c r="J41" s="105"/>
      <c r="K41" s="137"/>
      <c r="L41" s="170"/>
      <c r="M41" s="105"/>
    </row>
    <row r="42" spans="1:13" ht="13.4" customHeight="1">
      <c r="A42" s="105"/>
      <c r="B42" s="171"/>
      <c r="C42" s="171"/>
      <c r="D42" s="105"/>
      <c r="E42" s="105"/>
      <c r="F42" s="105"/>
      <c r="G42" s="105"/>
      <c r="H42" s="105"/>
      <c r="I42" s="105"/>
      <c r="J42" s="105"/>
      <c r="K42" s="172"/>
      <c r="L42" s="170"/>
      <c r="M42" s="105"/>
    </row>
    <row r="43" spans="1:13" ht="13.4" customHeight="1">
      <c r="A43" s="105"/>
      <c r="B43" s="171"/>
      <c r="C43" s="171"/>
      <c r="D43" s="105"/>
      <c r="E43" s="105"/>
      <c r="F43" s="105"/>
      <c r="G43" s="105"/>
      <c r="H43" s="105"/>
      <c r="I43" s="105"/>
      <c r="J43" s="105"/>
      <c r="K43" s="172"/>
      <c r="L43" s="170"/>
      <c r="M43" s="105"/>
    </row>
    <row r="44" spans="1:13" ht="13.4" customHeight="1">
      <c r="A44" s="105"/>
      <c r="B44" s="105"/>
      <c r="C44" s="105"/>
      <c r="D44" s="105"/>
      <c r="E44" s="105"/>
      <c r="F44" s="105"/>
      <c r="G44" s="105"/>
      <c r="H44" s="124"/>
      <c r="I44" s="124"/>
      <c r="J44" s="124"/>
      <c r="K44" s="173"/>
      <c r="L44" s="174"/>
      <c r="M44" s="124"/>
    </row>
    <row r="45" spans="1:13" ht="13.4" customHeight="1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72"/>
      <c r="L45" s="170"/>
      <c r="M45" s="105"/>
    </row>
    <row r="46" spans="1:13" ht="13.4" customHeight="1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72"/>
      <c r="L46" s="170"/>
      <c r="M46" s="105"/>
    </row>
    <row r="47" spans="1:13" ht="13.4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72"/>
      <c r="L47" s="170"/>
      <c r="M47" s="105"/>
    </row>
    <row r="48" spans="1:13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72"/>
      <c r="L48" s="170"/>
      <c r="M48" s="105"/>
    </row>
    <row r="49" spans="1:13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72"/>
      <c r="L49" s="175"/>
      <c r="M49" s="105"/>
    </row>
    <row r="50" spans="1:13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72"/>
      <c r="L50" s="175"/>
      <c r="M50" s="105"/>
    </row>
    <row r="51" spans="1:13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72"/>
      <c r="L51" s="175"/>
      <c r="M51" s="105"/>
    </row>
    <row r="52" spans="1:13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72"/>
      <c r="L52" s="175"/>
      <c r="M52" s="105"/>
    </row>
    <row r="53" spans="1:13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72"/>
      <c r="L53" s="175"/>
      <c r="M53" s="105"/>
    </row>
    <row r="54" spans="1:13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72"/>
      <c r="L54" s="175"/>
      <c r="M54" s="105"/>
    </row>
    <row r="55" spans="1:13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72"/>
      <c r="L55" s="175"/>
      <c r="M55" s="105"/>
    </row>
    <row r="56" spans="1:13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72"/>
      <c r="L56" s="175"/>
      <c r="M56" s="105"/>
    </row>
    <row r="57" spans="1:13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72"/>
      <c r="L57" s="175"/>
      <c r="M57" s="105"/>
    </row>
    <row r="58" spans="1:13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72"/>
      <c r="L58" s="175"/>
      <c r="M58" s="105"/>
    </row>
    <row r="59" spans="1:13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72"/>
      <c r="L59" s="175"/>
      <c r="M59" s="105"/>
    </row>
    <row r="60" spans="1:13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72"/>
      <c r="L60" s="175"/>
      <c r="M60" s="105"/>
    </row>
    <row r="61" spans="1:13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72"/>
      <c r="L61" s="175"/>
      <c r="M61" s="105"/>
    </row>
    <row r="62" spans="1:13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72"/>
      <c r="L62" s="175"/>
      <c r="M62" s="105"/>
    </row>
    <row r="63" spans="1:13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72"/>
      <c r="L63" s="175"/>
      <c r="M63" s="105"/>
    </row>
    <row r="64" spans="1:13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72"/>
      <c r="L64" s="175"/>
      <c r="M64" s="105"/>
    </row>
    <row r="65" spans="1:13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72"/>
      <c r="L65" s="175"/>
      <c r="M65" s="105"/>
    </row>
    <row r="66" spans="1:13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72"/>
      <c r="L66" s="175"/>
      <c r="M66" s="105"/>
    </row>
    <row r="67" spans="1:13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72"/>
      <c r="L67" s="175"/>
      <c r="M67" s="105"/>
    </row>
    <row r="68" spans="1:13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72"/>
      <c r="L68" s="175"/>
      <c r="M68" s="105"/>
    </row>
    <row r="69" spans="1:13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72"/>
      <c r="L69" s="175"/>
      <c r="M69" s="105"/>
    </row>
    <row r="70" spans="1:13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72"/>
      <c r="L70" s="175"/>
      <c r="M70" s="105"/>
    </row>
    <row r="71" spans="1:13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72"/>
      <c r="L71" s="175"/>
      <c r="M71" s="105"/>
    </row>
    <row r="72" spans="1:13">
      <c r="K72" s="176"/>
      <c r="L72" s="177"/>
    </row>
    <row r="73" spans="1:13">
      <c r="K73" s="176"/>
      <c r="L73" s="177"/>
    </row>
    <row r="74" spans="1:13">
      <c r="L74" s="177"/>
    </row>
    <row r="75" spans="1:13">
      <c r="L75" s="177"/>
    </row>
    <row r="76" spans="1:13">
      <c r="L76" s="177"/>
    </row>
    <row r="77" spans="1:13">
      <c r="L77" s="177"/>
    </row>
    <row r="78" spans="1:13">
      <c r="L78" s="177"/>
    </row>
    <row r="79" spans="1:13">
      <c r="L79" s="177"/>
    </row>
    <row r="80" spans="1:13">
      <c r="L80" s="177"/>
    </row>
    <row r="81" spans="12:12">
      <c r="L81" s="177"/>
    </row>
    <row r="82" spans="12:12">
      <c r="L82" s="177"/>
    </row>
    <row r="83" spans="12:12">
      <c r="L83" s="177"/>
    </row>
    <row r="84" spans="12:12">
      <c r="L84" s="177"/>
    </row>
    <row r="85" spans="12:12">
      <c r="L85" s="177"/>
    </row>
    <row r="86" spans="12:12">
      <c r="L86" s="177"/>
    </row>
    <row r="87" spans="12:12">
      <c r="L87" s="177"/>
    </row>
    <row r="88" spans="12:12">
      <c r="L88" s="177"/>
    </row>
    <row r="89" spans="12:12">
      <c r="L89" s="177"/>
    </row>
    <row r="90" spans="12:12">
      <c r="L90" s="177"/>
    </row>
    <row r="91" spans="12:12">
      <c r="L91" s="177"/>
    </row>
  </sheetData>
  <mergeCells count="7">
    <mergeCell ref="A34:D34"/>
    <mergeCell ref="A1:M1"/>
    <mergeCell ref="F11:K11"/>
    <mergeCell ref="F13:K13"/>
    <mergeCell ref="F15:K15"/>
    <mergeCell ref="F17:K17"/>
    <mergeCell ref="F30:H30"/>
  </mergeCells>
  <phoneticPr fontId="13"/>
  <pageMargins left="0.39370078740157483" right="0.19685039370078741" top="0.59055118110236227" bottom="0.39370078740157483" header="0.51181102362204722" footer="0.51181102362204722"/>
  <pageSetup paperSize="9" scale="8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dimension ref="A1:N190"/>
  <sheetViews>
    <sheetView view="pageBreakPreview" topLeftCell="A49" zoomScale="70" zoomScaleNormal="90" zoomScaleSheetLayoutView="70" workbookViewId="0">
      <selection activeCell="D72" sqref="D72:D76"/>
    </sheetView>
  </sheetViews>
  <sheetFormatPr defaultRowHeight="15"/>
  <cols>
    <col min="1" max="1" width="7.90625" style="7" customWidth="1"/>
    <col min="2" max="2" width="41.90625" style="22" customWidth="1"/>
    <col min="3" max="3" width="24.08984375" style="7" customWidth="1"/>
    <col min="4" max="4" width="60.36328125" style="3" customWidth="1"/>
    <col min="5" max="5" width="10.08984375" style="7" customWidth="1"/>
    <col min="6" max="6" width="5.6328125" style="7" customWidth="1"/>
    <col min="7" max="7" width="13.453125" style="7" customWidth="1"/>
    <col min="8" max="8" width="13.90625" style="7" customWidth="1"/>
    <col min="9" max="9" width="36" style="7" customWidth="1"/>
    <col min="10" max="10" width="14.453125" style="7" customWidth="1"/>
    <col min="11" max="11" width="11.453125" style="7" customWidth="1"/>
    <col min="12" max="12" width="25.36328125" style="7" customWidth="1"/>
    <col min="13" max="13" width="10.08984375" style="7" customWidth="1"/>
    <col min="14" max="14" width="7" style="7" customWidth="1"/>
  </cols>
  <sheetData>
    <row r="1" spans="1:14">
      <c r="A1" s="5"/>
      <c r="I1" s="5"/>
      <c r="J1" s="5"/>
      <c r="K1" s="5"/>
      <c r="L1" s="5"/>
      <c r="M1" s="5"/>
      <c r="N1" s="5"/>
    </row>
    <row r="2" spans="1:14" ht="15.5" thickBot="1">
      <c r="A2" s="332" t="s">
        <v>98</v>
      </c>
      <c r="B2" s="332"/>
      <c r="C2" s="332"/>
      <c r="D2" s="332"/>
      <c r="E2" s="332"/>
      <c r="F2" s="332"/>
      <c r="G2" s="332"/>
      <c r="H2" s="332"/>
      <c r="I2" s="36"/>
      <c r="L2" s="37"/>
      <c r="M2" s="37"/>
      <c r="N2" s="37"/>
    </row>
    <row r="3" spans="1:14" ht="15.5" thickBot="1">
      <c r="A3" s="38"/>
      <c r="B3" s="39"/>
      <c r="C3" s="38"/>
      <c r="D3" s="38"/>
      <c r="E3" s="38"/>
      <c r="F3" s="38"/>
      <c r="G3" s="38"/>
      <c r="H3" s="38"/>
      <c r="I3" s="36"/>
      <c r="L3" s="37"/>
      <c r="M3" s="37"/>
      <c r="N3" s="37"/>
    </row>
    <row r="4" spans="1:14" ht="21.75" customHeight="1" thickBot="1">
      <c r="A4" s="40" t="s">
        <v>36</v>
      </c>
      <c r="B4" s="24" t="s">
        <v>96</v>
      </c>
      <c r="C4" s="40" t="s">
        <v>86</v>
      </c>
      <c r="D4" s="23" t="s">
        <v>87</v>
      </c>
      <c r="E4" s="40" t="s">
        <v>88</v>
      </c>
      <c r="F4" s="333" t="s">
        <v>89</v>
      </c>
      <c r="G4" s="334"/>
      <c r="H4" s="41" t="s">
        <v>90</v>
      </c>
      <c r="I4" s="42" t="s">
        <v>91</v>
      </c>
      <c r="J4" s="43" t="s">
        <v>92</v>
      </c>
      <c r="K4" s="44" t="s">
        <v>93</v>
      </c>
      <c r="L4" s="45" t="s">
        <v>107</v>
      </c>
      <c r="M4" s="45" t="s">
        <v>94</v>
      </c>
      <c r="N4" s="46" t="s">
        <v>95</v>
      </c>
    </row>
    <row r="5" spans="1:14">
      <c r="A5" s="47"/>
      <c r="B5" s="48"/>
      <c r="C5" s="49"/>
      <c r="D5" s="50"/>
      <c r="E5" s="49"/>
      <c r="F5" s="49"/>
      <c r="G5" s="51"/>
      <c r="H5" s="51"/>
      <c r="I5" s="52"/>
      <c r="J5" s="53"/>
      <c r="K5" s="53"/>
      <c r="L5" s="53"/>
      <c r="M5" s="53"/>
      <c r="N5" s="54"/>
    </row>
    <row r="6" spans="1:14">
      <c r="A6" s="55"/>
      <c r="B6" s="56" t="s">
        <v>97</v>
      </c>
      <c r="C6" s="49"/>
      <c r="D6" s="57" t="str">
        <f>[3]invoice!B24</f>
        <v>FABRIC &amp; PARTS FOR WEAR &amp; SAMPLE CLOTHES</v>
      </c>
      <c r="E6" s="51"/>
      <c r="F6" s="51"/>
      <c r="G6" s="58" t="str">
        <f>'[1]shipper master'!C48</f>
        <v>F.O.B. TOKYO IN YEN</v>
      </c>
      <c r="H6" s="51"/>
      <c r="I6" s="59"/>
      <c r="J6" s="60"/>
      <c r="K6" s="60"/>
      <c r="L6" s="60"/>
      <c r="M6" s="60"/>
      <c r="N6" s="61"/>
    </row>
    <row r="7" spans="1:14" ht="15.5" thickBot="1">
      <c r="A7" s="62"/>
      <c r="B7" s="63"/>
      <c r="C7" s="64"/>
      <c r="D7" s="65" t="s">
        <v>108</v>
      </c>
      <c r="E7" s="64"/>
      <c r="F7" s="64"/>
      <c r="G7" s="66"/>
      <c r="H7" s="20"/>
      <c r="I7" s="67"/>
      <c r="J7" s="68"/>
      <c r="K7" s="68"/>
      <c r="L7" s="68"/>
      <c r="M7" s="69"/>
      <c r="N7" s="70"/>
    </row>
    <row r="8" spans="1:14" ht="15.65" customHeight="1">
      <c r="A8" s="326" t="s">
        <v>181</v>
      </c>
      <c r="B8" s="29"/>
      <c r="C8" s="29"/>
      <c r="D8" s="190" t="s">
        <v>176</v>
      </c>
      <c r="E8" s="71"/>
      <c r="F8" s="71"/>
      <c r="G8" s="72"/>
      <c r="H8" s="73"/>
      <c r="I8" s="231"/>
      <c r="J8" s="237"/>
      <c r="K8" s="73"/>
      <c r="L8" s="73"/>
      <c r="M8" s="73"/>
      <c r="N8" s="329">
        <v>2</v>
      </c>
    </row>
    <row r="9" spans="1:14">
      <c r="A9" s="327"/>
      <c r="B9" s="30" t="s">
        <v>174</v>
      </c>
      <c r="C9" s="199" t="s">
        <v>168</v>
      </c>
      <c r="D9" s="21" t="s">
        <v>146</v>
      </c>
      <c r="E9" s="204">
        <v>55</v>
      </c>
      <c r="F9" s="76" t="s">
        <v>147</v>
      </c>
      <c r="G9" s="200">
        <v>1110</v>
      </c>
      <c r="H9" s="201">
        <f>E9*G9</f>
        <v>61050</v>
      </c>
      <c r="I9" s="206"/>
      <c r="J9" s="238"/>
      <c r="K9" s="51"/>
      <c r="L9" s="79"/>
      <c r="M9" s="51"/>
      <c r="N9" s="330"/>
    </row>
    <row r="10" spans="1:14" ht="16.5">
      <c r="A10" s="327"/>
      <c r="B10" s="21" t="s">
        <v>146</v>
      </c>
      <c r="C10" s="74" t="s">
        <v>175</v>
      </c>
      <c r="D10" s="233" t="s">
        <v>177</v>
      </c>
      <c r="E10" s="75">
        <v>44</v>
      </c>
      <c r="F10" s="76" t="s">
        <v>147</v>
      </c>
      <c r="G10" s="77">
        <v>1110</v>
      </c>
      <c r="H10" s="201">
        <f>E10*G10</f>
        <v>48840</v>
      </c>
      <c r="I10" s="206" t="s">
        <v>179</v>
      </c>
      <c r="J10" s="238" t="s">
        <v>180</v>
      </c>
      <c r="K10" s="51"/>
      <c r="L10" s="51"/>
      <c r="M10" s="51"/>
      <c r="N10" s="330"/>
    </row>
    <row r="11" spans="1:14" ht="16.5">
      <c r="A11" s="327"/>
      <c r="B11" s="33" t="s">
        <v>166</v>
      </c>
      <c r="C11" s="74"/>
      <c r="D11" s="32" t="s">
        <v>178</v>
      </c>
      <c r="E11" s="75"/>
      <c r="F11" s="76"/>
      <c r="G11" s="77"/>
      <c r="H11" s="78"/>
      <c r="I11" s="206"/>
      <c r="J11" s="238"/>
      <c r="K11" s="51"/>
      <c r="L11" s="51"/>
      <c r="M11" s="51"/>
      <c r="N11" s="330"/>
    </row>
    <row r="12" spans="1:14" ht="15.5" thickBot="1">
      <c r="A12" s="328"/>
      <c r="B12" s="35" t="s">
        <v>160</v>
      </c>
      <c r="C12" s="80"/>
      <c r="D12" s="34"/>
      <c r="E12" s="81"/>
      <c r="F12" s="195"/>
      <c r="G12" s="82"/>
      <c r="H12" s="83"/>
      <c r="I12" s="232"/>
      <c r="J12" s="239"/>
      <c r="K12" s="19"/>
      <c r="L12" s="19"/>
      <c r="M12" s="19"/>
      <c r="N12" s="331"/>
    </row>
    <row r="13" spans="1:14" ht="15.5" thickBot="1">
      <c r="A13" s="236"/>
      <c r="B13" s="202"/>
      <c r="C13" s="199"/>
      <c r="D13" s="203"/>
      <c r="E13" s="254"/>
      <c r="F13" s="234"/>
      <c r="G13" s="84"/>
      <c r="H13" s="85"/>
      <c r="I13" s="206"/>
      <c r="J13" s="238"/>
      <c r="K13" s="16"/>
      <c r="L13" s="16"/>
      <c r="M13" s="16"/>
      <c r="N13" s="207"/>
    </row>
    <row r="14" spans="1:14" ht="15.65" customHeight="1">
      <c r="A14" s="326" t="s">
        <v>182</v>
      </c>
      <c r="B14" s="29"/>
      <c r="C14" s="29"/>
      <c r="D14" s="190" t="s">
        <v>188</v>
      </c>
      <c r="E14" s="71"/>
      <c r="F14" s="71"/>
      <c r="G14" s="72"/>
      <c r="H14" s="73"/>
      <c r="I14" s="231"/>
      <c r="J14" s="237"/>
      <c r="K14" s="73"/>
      <c r="L14" s="73"/>
      <c r="M14" s="73"/>
      <c r="N14" s="329">
        <v>2</v>
      </c>
    </row>
    <row r="15" spans="1:14">
      <c r="A15" s="327"/>
      <c r="B15" s="202" t="s">
        <v>183</v>
      </c>
      <c r="C15" s="199" t="s">
        <v>185</v>
      </c>
      <c r="D15" s="21" t="s">
        <v>157</v>
      </c>
      <c r="E15" s="204">
        <v>41.2</v>
      </c>
      <c r="F15" s="76" t="s">
        <v>147</v>
      </c>
      <c r="G15" s="200">
        <v>1020</v>
      </c>
      <c r="H15" s="201">
        <f>E15*G15</f>
        <v>42024</v>
      </c>
      <c r="I15" s="206"/>
      <c r="J15" s="238" t="s">
        <v>180</v>
      </c>
      <c r="K15" s="51"/>
      <c r="L15" s="79"/>
      <c r="M15" s="51"/>
      <c r="N15" s="330"/>
    </row>
    <row r="16" spans="1:14" ht="16.5">
      <c r="A16" s="327"/>
      <c r="B16" s="21" t="s">
        <v>157</v>
      </c>
      <c r="C16" s="74" t="s">
        <v>186</v>
      </c>
      <c r="D16" s="233" t="s">
        <v>190</v>
      </c>
      <c r="E16" s="75">
        <v>14</v>
      </c>
      <c r="F16" s="76" t="s">
        <v>147</v>
      </c>
      <c r="G16" s="200">
        <v>1020</v>
      </c>
      <c r="H16" s="201">
        <f>E16*G16</f>
        <v>14280</v>
      </c>
      <c r="I16" s="206" t="s">
        <v>192</v>
      </c>
      <c r="J16" s="238"/>
      <c r="K16" s="51"/>
      <c r="L16" s="51"/>
      <c r="M16" s="51"/>
      <c r="N16" s="330"/>
    </row>
    <row r="17" spans="1:14" ht="16.5">
      <c r="A17" s="327"/>
      <c r="B17" s="33" t="s">
        <v>193</v>
      </c>
      <c r="C17" s="74"/>
      <c r="D17" s="32" t="s">
        <v>191</v>
      </c>
      <c r="E17" s="75"/>
      <c r="F17" s="76"/>
      <c r="G17" s="77"/>
      <c r="H17" s="78"/>
      <c r="I17" s="206"/>
      <c r="J17" s="238"/>
      <c r="K17" s="51"/>
      <c r="L17" s="51"/>
      <c r="M17" s="51"/>
      <c r="N17" s="330"/>
    </row>
    <row r="18" spans="1:14" ht="15.5" thickBot="1">
      <c r="A18" s="328"/>
      <c r="B18" s="35" t="s">
        <v>189</v>
      </c>
      <c r="C18" s="80"/>
      <c r="D18" s="34"/>
      <c r="E18" s="81"/>
      <c r="F18" s="81"/>
      <c r="G18" s="82"/>
      <c r="H18" s="83"/>
      <c r="I18" s="232"/>
      <c r="J18" s="239"/>
      <c r="K18" s="19"/>
      <c r="L18" s="19"/>
      <c r="M18" s="19"/>
      <c r="N18" s="331"/>
    </row>
    <row r="19" spans="1:14" ht="15.5" thickBot="1">
      <c r="A19" s="236"/>
      <c r="B19" s="196"/>
      <c r="C19" s="74"/>
      <c r="D19" s="32"/>
      <c r="E19" s="204"/>
      <c r="F19" s="76"/>
      <c r="G19" s="200"/>
      <c r="H19" s="201"/>
      <c r="I19" s="206"/>
      <c r="J19" s="238"/>
      <c r="K19" s="90"/>
      <c r="L19" s="90"/>
      <c r="M19" s="90"/>
      <c r="N19" s="207"/>
    </row>
    <row r="20" spans="1:14" ht="15.65" customHeight="1">
      <c r="A20" s="326" t="s">
        <v>200</v>
      </c>
      <c r="B20" s="29"/>
      <c r="C20" s="29"/>
      <c r="D20" s="190" t="s">
        <v>187</v>
      </c>
      <c r="E20" s="71"/>
      <c r="F20" s="71"/>
      <c r="G20" s="72"/>
      <c r="H20" s="73"/>
      <c r="I20" s="231"/>
      <c r="J20" s="237"/>
      <c r="K20" s="73"/>
      <c r="L20" s="73"/>
      <c r="M20" s="73"/>
      <c r="N20" s="329">
        <v>2</v>
      </c>
    </row>
    <row r="21" spans="1:14">
      <c r="A21" s="327"/>
      <c r="B21" s="202" t="s">
        <v>194</v>
      </c>
      <c r="C21" s="199" t="s">
        <v>185</v>
      </c>
      <c r="D21" s="21" t="s">
        <v>184</v>
      </c>
      <c r="E21" s="204">
        <v>8</v>
      </c>
      <c r="F21" s="76" t="s">
        <v>148</v>
      </c>
      <c r="G21" s="200">
        <v>1040</v>
      </c>
      <c r="H21" s="78">
        <f>E21*G21</f>
        <v>8320</v>
      </c>
      <c r="I21" s="206"/>
      <c r="J21" s="238"/>
      <c r="K21" s="51"/>
      <c r="L21" s="51"/>
      <c r="M21" s="51"/>
      <c r="N21" s="330"/>
    </row>
    <row r="22" spans="1:14" ht="16.5">
      <c r="A22" s="327"/>
      <c r="B22" s="21" t="s">
        <v>157</v>
      </c>
      <c r="C22" s="74" t="s">
        <v>186</v>
      </c>
      <c r="D22" s="203" t="s">
        <v>196</v>
      </c>
      <c r="E22" s="75">
        <v>3</v>
      </c>
      <c r="F22" s="76" t="s">
        <v>148</v>
      </c>
      <c r="G22" s="200">
        <v>1040</v>
      </c>
      <c r="H22" s="78">
        <f>E22*G22</f>
        <v>3120</v>
      </c>
      <c r="I22" s="206" t="s">
        <v>198</v>
      </c>
      <c r="J22" s="238" t="s">
        <v>180</v>
      </c>
      <c r="K22" s="51"/>
      <c r="L22" s="51"/>
      <c r="M22" s="51"/>
      <c r="N22" s="330"/>
    </row>
    <row r="23" spans="1:14">
      <c r="A23" s="327"/>
      <c r="B23" s="33" t="s">
        <v>195</v>
      </c>
      <c r="C23" s="74"/>
      <c r="D23" s="31" t="s">
        <v>197</v>
      </c>
      <c r="E23" s="75"/>
      <c r="F23" s="76"/>
      <c r="G23" s="77"/>
      <c r="H23" s="78"/>
      <c r="I23" s="206" t="s">
        <v>199</v>
      </c>
      <c r="J23" s="238"/>
      <c r="K23" s="51"/>
      <c r="L23" s="51"/>
      <c r="M23" s="51"/>
      <c r="N23" s="330"/>
    </row>
    <row r="24" spans="1:14" ht="15.5" thickBot="1">
      <c r="A24" s="328"/>
      <c r="B24" s="35" t="s">
        <v>189</v>
      </c>
      <c r="C24" s="80"/>
      <c r="D24" s="34"/>
      <c r="E24" s="81"/>
      <c r="F24" s="81"/>
      <c r="G24" s="82"/>
      <c r="H24" s="83"/>
      <c r="I24" s="232"/>
      <c r="J24" s="239"/>
      <c r="K24" s="19"/>
      <c r="L24" s="19"/>
      <c r="M24" s="19"/>
      <c r="N24" s="331"/>
    </row>
    <row r="25" spans="1:14" ht="15.5" thickBot="1">
      <c r="A25" s="236"/>
      <c r="B25" s="196"/>
      <c r="C25" s="74"/>
      <c r="D25" s="32"/>
      <c r="E25" s="204"/>
      <c r="F25" s="76"/>
      <c r="G25" s="200"/>
      <c r="H25" s="201"/>
      <c r="I25" s="206"/>
      <c r="J25" s="238"/>
      <c r="K25" s="90"/>
      <c r="L25" s="90"/>
      <c r="M25" s="90"/>
      <c r="N25" s="207"/>
    </row>
    <row r="26" spans="1:14" ht="15.65" customHeight="1">
      <c r="A26" s="326" t="s">
        <v>229</v>
      </c>
      <c r="B26" s="29"/>
      <c r="C26" s="29"/>
      <c r="D26" s="190" t="s">
        <v>210</v>
      </c>
      <c r="E26" s="71"/>
      <c r="F26" s="71"/>
      <c r="G26" s="72"/>
      <c r="H26" s="73"/>
      <c r="I26" s="231"/>
      <c r="J26" s="237"/>
      <c r="K26" s="73"/>
      <c r="L26" s="73"/>
      <c r="M26" s="73"/>
      <c r="N26" s="329">
        <v>2</v>
      </c>
    </row>
    <row r="27" spans="1:14">
      <c r="A27" s="327"/>
      <c r="B27" s="202" t="s">
        <v>201</v>
      </c>
      <c r="C27" s="199" t="s">
        <v>204</v>
      </c>
      <c r="D27" s="21" t="s">
        <v>184</v>
      </c>
      <c r="E27" s="204">
        <v>26</v>
      </c>
      <c r="F27" s="76" t="s">
        <v>148</v>
      </c>
      <c r="G27" s="200">
        <v>770</v>
      </c>
      <c r="H27" s="78">
        <f>E27*G27</f>
        <v>20020</v>
      </c>
      <c r="I27" s="206"/>
      <c r="J27" s="238"/>
      <c r="K27" s="51"/>
      <c r="L27" s="51"/>
      <c r="M27" s="51"/>
      <c r="N27" s="330"/>
    </row>
    <row r="28" spans="1:14" ht="16.5">
      <c r="A28" s="327"/>
      <c r="B28" s="21" t="s">
        <v>184</v>
      </c>
      <c r="C28" s="74" t="s">
        <v>206</v>
      </c>
      <c r="D28" s="203" t="s">
        <v>171</v>
      </c>
      <c r="E28" s="75">
        <v>16</v>
      </c>
      <c r="F28" s="76" t="s">
        <v>148</v>
      </c>
      <c r="G28" s="77">
        <v>770</v>
      </c>
      <c r="H28" s="78">
        <f>E28*G28</f>
        <v>12320</v>
      </c>
      <c r="I28" s="206" t="s">
        <v>212</v>
      </c>
      <c r="J28" s="238" t="s">
        <v>180</v>
      </c>
      <c r="K28" s="51"/>
      <c r="L28" s="51"/>
      <c r="M28" s="51"/>
      <c r="N28" s="330"/>
    </row>
    <row r="29" spans="1:14">
      <c r="A29" s="327"/>
      <c r="B29" s="33" t="s">
        <v>202</v>
      </c>
      <c r="C29" s="74" t="s">
        <v>208</v>
      </c>
      <c r="D29" s="31" t="s">
        <v>211</v>
      </c>
      <c r="E29" s="75">
        <v>4</v>
      </c>
      <c r="F29" s="76" t="s">
        <v>148</v>
      </c>
      <c r="G29" s="77">
        <v>770</v>
      </c>
      <c r="H29" s="78">
        <f>E29*G29</f>
        <v>3080</v>
      </c>
      <c r="I29" s="206" t="s">
        <v>213</v>
      </c>
      <c r="J29" s="238"/>
      <c r="K29" s="51"/>
      <c r="L29" s="51"/>
      <c r="M29" s="51"/>
      <c r="N29" s="330"/>
    </row>
    <row r="30" spans="1:14" ht="15.5" thickBot="1">
      <c r="A30" s="327"/>
      <c r="B30" s="35" t="s">
        <v>167</v>
      </c>
      <c r="C30" s="80"/>
      <c r="D30" s="34"/>
      <c r="E30" s="81"/>
      <c r="F30" s="81"/>
      <c r="G30" s="82"/>
      <c r="H30" s="83"/>
      <c r="I30" s="232"/>
      <c r="J30" s="239"/>
      <c r="K30" s="19"/>
      <c r="L30" s="19"/>
      <c r="M30" s="19"/>
      <c r="N30" s="330"/>
    </row>
    <row r="31" spans="1:14" ht="15.5" thickBot="1">
      <c r="A31" s="327"/>
      <c r="B31" s="196"/>
      <c r="C31" s="74"/>
      <c r="D31" s="32"/>
      <c r="E31" s="204"/>
      <c r="F31" s="76"/>
      <c r="G31" s="200"/>
      <c r="H31" s="201"/>
      <c r="I31" s="206"/>
      <c r="J31" s="238"/>
      <c r="K31" s="90"/>
      <c r="L31" s="90"/>
      <c r="M31" s="90"/>
      <c r="N31" s="330"/>
    </row>
    <row r="32" spans="1:14" ht="15.65" customHeight="1">
      <c r="A32" s="327"/>
      <c r="B32" s="29"/>
      <c r="C32" s="29"/>
      <c r="D32" s="190" t="s">
        <v>209</v>
      </c>
      <c r="E32" s="71"/>
      <c r="F32" s="71"/>
      <c r="G32" s="72"/>
      <c r="H32" s="73"/>
      <c r="I32" s="231"/>
      <c r="J32" s="237"/>
      <c r="K32" s="73"/>
      <c r="L32" s="73"/>
      <c r="M32" s="73"/>
      <c r="N32" s="330"/>
    </row>
    <row r="33" spans="1:14">
      <c r="A33" s="327"/>
      <c r="B33" s="202" t="s">
        <v>214</v>
      </c>
      <c r="C33" s="199" t="s">
        <v>203</v>
      </c>
      <c r="D33" s="21" t="s">
        <v>184</v>
      </c>
      <c r="E33" s="204">
        <v>2</v>
      </c>
      <c r="F33" s="76" t="s">
        <v>148</v>
      </c>
      <c r="G33" s="200">
        <v>660</v>
      </c>
      <c r="H33" s="78">
        <f>E33*G33</f>
        <v>1320</v>
      </c>
      <c r="I33" s="206"/>
      <c r="J33" s="238"/>
      <c r="K33" s="51"/>
      <c r="L33" s="51"/>
      <c r="M33" s="51"/>
      <c r="N33" s="330"/>
    </row>
    <row r="34" spans="1:14">
      <c r="A34" s="327"/>
      <c r="B34" s="21" t="s">
        <v>184</v>
      </c>
      <c r="C34" s="74" t="s">
        <v>205</v>
      </c>
      <c r="D34" s="203" t="s">
        <v>216</v>
      </c>
      <c r="E34" s="75">
        <v>3</v>
      </c>
      <c r="F34" s="76" t="s">
        <v>148</v>
      </c>
      <c r="G34" s="77">
        <v>660</v>
      </c>
      <c r="H34" s="78">
        <f t="shared" ref="H34:H35" si="0">E34*G34</f>
        <v>1980</v>
      </c>
      <c r="I34" s="206" t="s">
        <v>213</v>
      </c>
      <c r="J34" s="238" t="s">
        <v>180</v>
      </c>
      <c r="K34" s="51"/>
      <c r="L34" s="51"/>
      <c r="M34" s="51"/>
      <c r="N34" s="330"/>
    </row>
    <row r="35" spans="1:14">
      <c r="A35" s="327"/>
      <c r="B35" s="33" t="s">
        <v>215</v>
      </c>
      <c r="C35" s="74" t="s">
        <v>207</v>
      </c>
      <c r="D35" s="31" t="s">
        <v>217</v>
      </c>
      <c r="E35" s="75">
        <v>1</v>
      </c>
      <c r="F35" s="76" t="s">
        <v>148</v>
      </c>
      <c r="G35" s="77">
        <v>660</v>
      </c>
      <c r="H35" s="78">
        <f t="shared" si="0"/>
        <v>660</v>
      </c>
      <c r="I35" s="206"/>
      <c r="J35" s="238"/>
      <c r="K35" s="51"/>
      <c r="L35" s="51"/>
      <c r="M35" s="51"/>
      <c r="N35" s="330"/>
    </row>
    <row r="36" spans="1:14" ht="15.5" thickBot="1">
      <c r="A36" s="328"/>
      <c r="B36" s="35" t="s">
        <v>167</v>
      </c>
      <c r="C36" s="80"/>
      <c r="D36" s="34"/>
      <c r="E36" s="81"/>
      <c r="F36" s="81"/>
      <c r="G36" s="82"/>
      <c r="H36" s="83"/>
      <c r="I36" s="232"/>
      <c r="J36" s="239"/>
      <c r="K36" s="19"/>
      <c r="L36" s="19"/>
      <c r="M36" s="19"/>
      <c r="N36" s="331"/>
    </row>
    <row r="37" spans="1:14" ht="15.5" thickBot="1">
      <c r="A37" s="236"/>
      <c r="B37" s="202"/>
      <c r="C37" s="199"/>
      <c r="D37" s="203"/>
      <c r="E37" s="254"/>
      <c r="F37" s="234"/>
      <c r="G37" s="84"/>
      <c r="H37" s="85"/>
      <c r="I37" s="206"/>
      <c r="J37" s="238"/>
      <c r="K37" s="16"/>
      <c r="L37" s="16"/>
      <c r="M37" s="16"/>
      <c r="N37" s="207"/>
    </row>
    <row r="38" spans="1:14" ht="15.65" customHeight="1">
      <c r="A38" s="326" t="s">
        <v>226</v>
      </c>
      <c r="B38" s="29"/>
      <c r="C38" s="29"/>
      <c r="D38" s="190" t="s">
        <v>223</v>
      </c>
      <c r="E38" s="71"/>
      <c r="F38" s="71"/>
      <c r="G38" s="72"/>
      <c r="H38" s="73"/>
      <c r="I38" s="231"/>
      <c r="J38" s="237"/>
      <c r="K38" s="73"/>
      <c r="L38" s="73"/>
      <c r="M38" s="73"/>
      <c r="N38" s="329">
        <v>3</v>
      </c>
    </row>
    <row r="39" spans="1:14">
      <c r="A39" s="327"/>
      <c r="B39" s="202" t="s">
        <v>218</v>
      </c>
      <c r="C39" s="199" t="s">
        <v>168</v>
      </c>
      <c r="D39" s="21" t="s">
        <v>146</v>
      </c>
      <c r="E39" s="204">
        <v>35</v>
      </c>
      <c r="F39" s="76" t="s">
        <v>147</v>
      </c>
      <c r="G39" s="200">
        <v>1950</v>
      </c>
      <c r="H39" s="201">
        <f>E39*G39</f>
        <v>68250</v>
      </c>
      <c r="I39" s="206"/>
      <c r="J39" s="238"/>
      <c r="K39" s="51"/>
      <c r="L39" s="79"/>
      <c r="M39" s="51"/>
      <c r="N39" s="330"/>
    </row>
    <row r="40" spans="1:14" ht="16.5">
      <c r="A40" s="327"/>
      <c r="B40" s="21" t="s">
        <v>146</v>
      </c>
      <c r="C40" s="74" t="s">
        <v>220</v>
      </c>
      <c r="D40" s="233" t="s">
        <v>224</v>
      </c>
      <c r="E40" s="75">
        <v>7</v>
      </c>
      <c r="F40" s="76" t="s">
        <v>147</v>
      </c>
      <c r="G40" s="200">
        <v>1950</v>
      </c>
      <c r="H40" s="201">
        <f>E40*G40</f>
        <v>13650</v>
      </c>
      <c r="I40" s="206" t="s">
        <v>227</v>
      </c>
      <c r="J40" s="238" t="s">
        <v>180</v>
      </c>
      <c r="K40" s="51"/>
      <c r="L40" s="51"/>
      <c r="M40" s="51"/>
      <c r="N40" s="330"/>
    </row>
    <row r="41" spans="1:14" ht="16.5">
      <c r="A41" s="327"/>
      <c r="B41" s="33" t="s">
        <v>219</v>
      </c>
      <c r="C41" s="74" t="s">
        <v>221</v>
      </c>
      <c r="D41" s="32" t="s">
        <v>225</v>
      </c>
      <c r="E41" s="75">
        <v>23</v>
      </c>
      <c r="F41" s="76" t="s">
        <v>147</v>
      </c>
      <c r="G41" s="200">
        <v>1950</v>
      </c>
      <c r="H41" s="201">
        <f>E41*G41</f>
        <v>44850</v>
      </c>
      <c r="I41" s="206" t="s">
        <v>228</v>
      </c>
      <c r="J41" s="238"/>
      <c r="K41" s="51"/>
      <c r="L41" s="51"/>
      <c r="M41" s="51"/>
      <c r="N41" s="330"/>
    </row>
    <row r="42" spans="1:14" ht="15.5" thickBot="1">
      <c r="A42" s="328"/>
      <c r="B42" s="35" t="s">
        <v>160</v>
      </c>
      <c r="C42" s="80"/>
      <c r="D42" s="34"/>
      <c r="E42" s="81"/>
      <c r="F42" s="81"/>
      <c r="G42" s="82"/>
      <c r="H42" s="83"/>
      <c r="I42" s="232"/>
      <c r="J42" s="239"/>
      <c r="K42" s="19"/>
      <c r="L42" s="19"/>
      <c r="M42" s="19"/>
      <c r="N42" s="331"/>
    </row>
    <row r="43" spans="1:14" ht="15.5" thickBot="1">
      <c r="A43" s="236"/>
      <c r="B43" s="196"/>
      <c r="C43" s="74"/>
      <c r="D43" s="32"/>
      <c r="E43" s="204"/>
      <c r="F43" s="76"/>
      <c r="G43" s="200"/>
      <c r="H43" s="201"/>
      <c r="I43" s="206"/>
      <c r="J43" s="238"/>
      <c r="K43" s="90"/>
      <c r="L43" s="90"/>
      <c r="M43" s="90"/>
      <c r="N43" s="207"/>
    </row>
    <row r="44" spans="1:14" ht="15.65" customHeight="1">
      <c r="A44" s="326" t="s">
        <v>241</v>
      </c>
      <c r="B44" s="29"/>
      <c r="C44" s="29"/>
      <c r="D44" s="190" t="s">
        <v>233</v>
      </c>
      <c r="E44" s="71"/>
      <c r="F44" s="71"/>
      <c r="G44" s="72"/>
      <c r="H44" s="73"/>
      <c r="I44" s="231"/>
      <c r="J44" s="237"/>
      <c r="K44" s="73"/>
      <c r="L44" s="73"/>
      <c r="M44" s="73"/>
      <c r="N44" s="329">
        <v>5</v>
      </c>
    </row>
    <row r="45" spans="1:14">
      <c r="A45" s="327"/>
      <c r="B45" s="202" t="s">
        <v>230</v>
      </c>
      <c r="C45" s="199" t="s">
        <v>232</v>
      </c>
      <c r="D45" s="21" t="s">
        <v>184</v>
      </c>
      <c r="E45" s="204">
        <v>21</v>
      </c>
      <c r="F45" s="76" t="s">
        <v>148</v>
      </c>
      <c r="G45" s="200">
        <v>940</v>
      </c>
      <c r="H45" s="78">
        <f>E45*G45</f>
        <v>19740</v>
      </c>
      <c r="I45" s="206"/>
      <c r="J45" s="238"/>
      <c r="K45" s="51"/>
      <c r="L45" s="51"/>
      <c r="M45" s="51"/>
      <c r="N45" s="330"/>
    </row>
    <row r="46" spans="1:14">
      <c r="A46" s="327"/>
      <c r="B46" s="21" t="s">
        <v>157</v>
      </c>
      <c r="C46" s="74"/>
      <c r="D46" s="203" t="s">
        <v>234</v>
      </c>
      <c r="E46" s="75"/>
      <c r="F46" s="76"/>
      <c r="G46" s="200"/>
      <c r="H46" s="78"/>
      <c r="I46" s="206"/>
      <c r="J46" s="238"/>
      <c r="K46" s="51"/>
      <c r="L46" s="51"/>
      <c r="M46" s="51"/>
      <c r="N46" s="330"/>
    </row>
    <row r="47" spans="1:14">
      <c r="A47" s="327"/>
      <c r="B47" s="33" t="s">
        <v>231</v>
      </c>
      <c r="C47" s="74"/>
      <c r="D47" s="31" t="s">
        <v>235</v>
      </c>
      <c r="E47" s="75"/>
      <c r="F47" s="76"/>
      <c r="G47" s="77"/>
      <c r="H47" s="78"/>
      <c r="I47" s="206"/>
      <c r="J47" s="238"/>
      <c r="K47" s="51"/>
      <c r="L47" s="51"/>
      <c r="M47" s="51"/>
      <c r="N47" s="330"/>
    </row>
    <row r="48" spans="1:14" ht="15.5" thickBot="1">
      <c r="A48" s="327"/>
      <c r="B48" s="35" t="s">
        <v>189</v>
      </c>
      <c r="C48" s="80"/>
      <c r="D48" s="34"/>
      <c r="E48" s="81"/>
      <c r="F48" s="81"/>
      <c r="G48" s="82"/>
      <c r="H48" s="83"/>
      <c r="I48" s="206" t="s">
        <v>243</v>
      </c>
      <c r="J48" s="238"/>
      <c r="K48" s="20"/>
      <c r="L48" s="20"/>
      <c r="M48" s="20"/>
      <c r="N48" s="330"/>
    </row>
    <row r="49" spans="1:14" ht="15.5" thickBot="1">
      <c r="A49" s="327"/>
      <c r="B49" s="196"/>
      <c r="C49" s="74"/>
      <c r="D49" s="32"/>
      <c r="E49" s="204"/>
      <c r="F49" s="76"/>
      <c r="G49" s="200"/>
      <c r="H49" s="201"/>
      <c r="I49" s="206"/>
      <c r="J49" s="238" t="s">
        <v>242</v>
      </c>
      <c r="K49" s="51"/>
      <c r="L49" s="51"/>
      <c r="M49" s="51"/>
      <c r="N49" s="330"/>
    </row>
    <row r="50" spans="1:14" ht="15.65" customHeight="1">
      <c r="A50" s="327"/>
      <c r="B50" s="29"/>
      <c r="C50" s="29"/>
      <c r="D50" s="190" t="s">
        <v>239</v>
      </c>
      <c r="E50" s="71"/>
      <c r="F50" s="71"/>
      <c r="G50" s="72"/>
      <c r="H50" s="73"/>
      <c r="I50" s="206"/>
      <c r="J50" s="238"/>
      <c r="K50" s="90"/>
      <c r="L50" s="90"/>
      <c r="M50" s="90"/>
      <c r="N50" s="330"/>
    </row>
    <row r="51" spans="1:14">
      <c r="A51" s="327"/>
      <c r="B51" s="202" t="s">
        <v>236</v>
      </c>
      <c r="C51" s="199" t="s">
        <v>238</v>
      </c>
      <c r="D51" s="21" t="s">
        <v>146</v>
      </c>
      <c r="E51" s="204">
        <v>26</v>
      </c>
      <c r="F51" s="76" t="s">
        <v>148</v>
      </c>
      <c r="G51" s="200">
        <v>990</v>
      </c>
      <c r="H51" s="78">
        <f>E51*G51</f>
        <v>25740</v>
      </c>
      <c r="I51" s="206"/>
      <c r="J51" s="238"/>
      <c r="K51" s="51"/>
      <c r="L51" s="51"/>
      <c r="M51" s="51"/>
      <c r="N51" s="330"/>
    </row>
    <row r="52" spans="1:14" ht="16.5">
      <c r="A52" s="327"/>
      <c r="B52" s="21" t="s">
        <v>146</v>
      </c>
      <c r="C52" s="74" t="s">
        <v>172</v>
      </c>
      <c r="D52" s="291" t="s">
        <v>261</v>
      </c>
      <c r="E52" s="75">
        <v>50</v>
      </c>
      <c r="F52" s="76" t="s">
        <v>148</v>
      </c>
      <c r="G52" s="77">
        <v>990</v>
      </c>
      <c r="H52" s="78">
        <f>E52*G52</f>
        <v>49500</v>
      </c>
      <c r="I52" s="206"/>
      <c r="J52" s="238"/>
      <c r="K52" s="51"/>
      <c r="L52" s="51"/>
      <c r="M52" s="51"/>
      <c r="N52" s="330"/>
    </row>
    <row r="53" spans="1:14">
      <c r="A53" s="327"/>
      <c r="B53" s="33" t="s">
        <v>237</v>
      </c>
      <c r="C53" s="74" t="s">
        <v>232</v>
      </c>
      <c r="D53" s="31" t="s">
        <v>240</v>
      </c>
      <c r="E53" s="75">
        <v>100</v>
      </c>
      <c r="F53" s="76" t="s">
        <v>148</v>
      </c>
      <c r="G53" s="77">
        <v>990</v>
      </c>
      <c r="H53" s="78">
        <f>E53*G53</f>
        <v>99000</v>
      </c>
      <c r="I53" s="206"/>
      <c r="J53" s="238"/>
      <c r="K53" s="51"/>
      <c r="L53" s="51"/>
      <c r="M53" s="51"/>
      <c r="N53" s="330"/>
    </row>
    <row r="54" spans="1:14" ht="15.5" thickBot="1">
      <c r="A54" s="328"/>
      <c r="B54" s="35" t="s">
        <v>160</v>
      </c>
      <c r="C54" s="80"/>
      <c r="D54" s="34"/>
      <c r="E54" s="81"/>
      <c r="F54" s="81"/>
      <c r="G54" s="82"/>
      <c r="H54" s="83"/>
      <c r="I54" s="232"/>
      <c r="J54" s="239"/>
      <c r="K54" s="19"/>
      <c r="L54" s="19"/>
      <c r="M54" s="19"/>
      <c r="N54" s="331"/>
    </row>
    <row r="55" spans="1:14" ht="15.5" thickBot="1">
      <c r="A55" s="236"/>
      <c r="B55" s="202"/>
      <c r="C55" s="199"/>
      <c r="D55" s="203"/>
      <c r="E55" s="254"/>
      <c r="F55" s="234"/>
      <c r="G55" s="84"/>
      <c r="H55" s="85"/>
      <c r="I55" s="206"/>
      <c r="J55" s="238"/>
      <c r="K55" s="16"/>
      <c r="L55" s="16"/>
      <c r="M55" s="16"/>
      <c r="N55" s="207"/>
    </row>
    <row r="56" spans="1:14" ht="15.65" customHeight="1">
      <c r="A56" s="335" t="s">
        <v>256</v>
      </c>
      <c r="B56" s="29"/>
      <c r="C56" s="29"/>
      <c r="D56" s="190" t="s">
        <v>254</v>
      </c>
      <c r="E56" s="71"/>
      <c r="F56" s="71"/>
      <c r="G56" s="72"/>
      <c r="H56" s="73"/>
      <c r="I56" s="231"/>
      <c r="J56" s="237"/>
      <c r="K56" s="73"/>
      <c r="L56" s="73"/>
      <c r="M56" s="73"/>
      <c r="N56" s="329">
        <v>8</v>
      </c>
    </row>
    <row r="57" spans="1:14">
      <c r="A57" s="336"/>
      <c r="B57" s="202" t="s">
        <v>244</v>
      </c>
      <c r="C57" s="199" t="s">
        <v>246</v>
      </c>
      <c r="D57" s="21" t="s">
        <v>146</v>
      </c>
      <c r="E57" s="204">
        <v>29.2</v>
      </c>
      <c r="F57" s="76" t="s">
        <v>147</v>
      </c>
      <c r="G57" s="200">
        <v>1750</v>
      </c>
      <c r="H57" s="201">
        <f>E57*G57</f>
        <v>51100</v>
      </c>
      <c r="I57" s="294"/>
      <c r="J57" s="296"/>
      <c r="K57" s="51"/>
      <c r="L57" s="79"/>
      <c r="M57" s="51"/>
      <c r="N57" s="338"/>
    </row>
    <row r="58" spans="1:14" ht="16.5">
      <c r="A58" s="336"/>
      <c r="B58" s="21" t="s">
        <v>146</v>
      </c>
      <c r="C58" s="74" t="s">
        <v>252</v>
      </c>
      <c r="D58" s="233" t="s">
        <v>361</v>
      </c>
      <c r="E58" s="75">
        <v>92.8</v>
      </c>
      <c r="F58" s="76" t="s">
        <v>147</v>
      </c>
      <c r="G58" s="200">
        <v>1750</v>
      </c>
      <c r="H58" s="201">
        <f>E58*G58</f>
        <v>162400</v>
      </c>
      <c r="I58" s="294"/>
      <c r="J58" s="296"/>
      <c r="K58" s="51"/>
      <c r="L58" s="51"/>
      <c r="M58" s="51"/>
      <c r="N58" s="338"/>
    </row>
    <row r="59" spans="1:14" ht="16.5">
      <c r="A59" s="336"/>
      <c r="B59" s="33" t="s">
        <v>245</v>
      </c>
      <c r="C59" s="74" t="s">
        <v>247</v>
      </c>
      <c r="D59" s="32" t="s">
        <v>225</v>
      </c>
      <c r="E59" s="75">
        <v>57.6</v>
      </c>
      <c r="F59" s="76" t="s">
        <v>147</v>
      </c>
      <c r="G59" s="200">
        <v>1750</v>
      </c>
      <c r="H59" s="201">
        <f>E59*G59</f>
        <v>100800</v>
      </c>
      <c r="I59" s="294"/>
      <c r="J59" s="296" t="s">
        <v>180</v>
      </c>
      <c r="K59" s="51"/>
      <c r="L59" s="51"/>
      <c r="M59" s="51"/>
      <c r="N59" s="338"/>
    </row>
    <row r="60" spans="1:14">
      <c r="A60" s="336"/>
      <c r="B60" s="286" t="s">
        <v>160</v>
      </c>
      <c r="C60" s="272" t="s">
        <v>248</v>
      </c>
      <c r="D60" s="273"/>
      <c r="E60" s="289">
        <v>1</v>
      </c>
      <c r="F60" s="76" t="s">
        <v>147</v>
      </c>
      <c r="G60" s="200">
        <v>1750</v>
      </c>
      <c r="H60" s="201">
        <f t="shared" ref="H60:H64" si="1">E60*G60</f>
        <v>1750</v>
      </c>
      <c r="I60" s="294" t="s">
        <v>255</v>
      </c>
      <c r="J60" s="296"/>
      <c r="K60" s="20"/>
      <c r="L60" s="20"/>
      <c r="M60" s="20"/>
      <c r="N60" s="338"/>
    </row>
    <row r="61" spans="1:14">
      <c r="A61" s="336"/>
      <c r="B61" s="287"/>
      <c r="C61" s="74" t="s">
        <v>249</v>
      </c>
      <c r="D61" s="32"/>
      <c r="E61" s="288">
        <v>16</v>
      </c>
      <c r="F61" s="76" t="s">
        <v>147</v>
      </c>
      <c r="G61" s="200">
        <v>1750</v>
      </c>
      <c r="H61" s="201">
        <f t="shared" si="1"/>
        <v>28000</v>
      </c>
      <c r="I61" s="294"/>
      <c r="J61" s="296"/>
      <c r="K61" s="51"/>
      <c r="L61" s="51"/>
      <c r="M61" s="51"/>
      <c r="N61" s="338"/>
    </row>
    <row r="62" spans="1:14">
      <c r="A62" s="336"/>
      <c r="B62" s="287"/>
      <c r="C62" s="74" t="s">
        <v>250</v>
      </c>
      <c r="D62" s="32"/>
      <c r="E62" s="288">
        <v>28</v>
      </c>
      <c r="F62" s="76" t="s">
        <v>147</v>
      </c>
      <c r="G62" s="200">
        <v>1750</v>
      </c>
      <c r="H62" s="201">
        <f t="shared" si="1"/>
        <v>49000</v>
      </c>
      <c r="I62" s="294"/>
      <c r="J62" s="296"/>
      <c r="K62" s="51"/>
      <c r="L62" s="51"/>
      <c r="M62" s="51"/>
      <c r="N62" s="338"/>
    </row>
    <row r="63" spans="1:14">
      <c r="A63" s="336"/>
      <c r="B63" s="286"/>
      <c r="C63" s="272" t="s">
        <v>251</v>
      </c>
      <c r="D63" s="273"/>
      <c r="E63" s="289">
        <v>1</v>
      </c>
      <c r="F63" s="76" t="s">
        <v>147</v>
      </c>
      <c r="G63" s="200">
        <v>1750</v>
      </c>
      <c r="H63" s="201">
        <f t="shared" si="1"/>
        <v>1750</v>
      </c>
      <c r="I63" s="294"/>
      <c r="J63" s="296"/>
      <c r="K63" s="20"/>
      <c r="L63" s="20"/>
      <c r="M63" s="20"/>
      <c r="N63" s="338"/>
    </row>
    <row r="64" spans="1:14" ht="15.5" thickBot="1">
      <c r="A64" s="336"/>
      <c r="B64" s="35"/>
      <c r="C64" s="80" t="s">
        <v>253</v>
      </c>
      <c r="D64" s="34"/>
      <c r="E64" s="81">
        <v>23</v>
      </c>
      <c r="F64" s="290" t="s">
        <v>147</v>
      </c>
      <c r="G64" s="82">
        <v>1750</v>
      </c>
      <c r="H64" s="83">
        <f t="shared" si="1"/>
        <v>40250</v>
      </c>
      <c r="I64" s="232"/>
      <c r="J64" s="239"/>
      <c r="K64" s="19"/>
      <c r="L64" s="19"/>
      <c r="M64" s="19"/>
      <c r="N64" s="338"/>
    </row>
    <row r="65" spans="1:14" ht="15.5" thickBot="1">
      <c r="A65" s="336"/>
      <c r="B65" s="202"/>
      <c r="C65" s="199"/>
      <c r="D65" s="203"/>
      <c r="E65" s="300"/>
      <c r="F65" s="301"/>
      <c r="G65" s="292"/>
      <c r="H65" s="293"/>
      <c r="I65" s="294"/>
      <c r="J65" s="296"/>
      <c r="K65" s="295"/>
      <c r="L65" s="295"/>
      <c r="M65" s="295"/>
      <c r="N65" s="338"/>
    </row>
    <row r="66" spans="1:14" ht="15.65" customHeight="1">
      <c r="A66" s="336"/>
      <c r="B66" s="350"/>
      <c r="C66" s="350"/>
      <c r="D66" s="190" t="s">
        <v>291</v>
      </c>
      <c r="E66" s="351"/>
      <c r="F66" s="351"/>
      <c r="G66" s="352"/>
      <c r="H66" s="353"/>
      <c r="I66" s="349"/>
      <c r="J66" s="354"/>
      <c r="K66" s="353"/>
      <c r="L66" s="353"/>
      <c r="M66" s="353"/>
      <c r="N66" s="338"/>
    </row>
    <row r="67" spans="1:14">
      <c r="A67" s="336"/>
      <c r="B67" s="355" t="s">
        <v>298</v>
      </c>
      <c r="C67" s="356" t="s">
        <v>299</v>
      </c>
      <c r="D67" s="357" t="s">
        <v>146</v>
      </c>
      <c r="E67" s="358">
        <v>2</v>
      </c>
      <c r="F67" s="359" t="s">
        <v>147</v>
      </c>
      <c r="G67" s="360">
        <v>1370</v>
      </c>
      <c r="H67" s="361">
        <f>E67*G67</f>
        <v>2740</v>
      </c>
      <c r="I67" s="347"/>
      <c r="J67" s="362"/>
      <c r="K67" s="363"/>
      <c r="L67" s="364"/>
      <c r="M67" s="363"/>
      <c r="N67" s="338"/>
    </row>
    <row r="68" spans="1:14" ht="16.5">
      <c r="A68" s="336"/>
      <c r="B68" s="357" t="s">
        <v>146</v>
      </c>
      <c r="C68" s="365"/>
      <c r="D68" s="366" t="s">
        <v>190</v>
      </c>
      <c r="E68" s="367"/>
      <c r="F68" s="359"/>
      <c r="G68" s="360"/>
      <c r="H68" s="361"/>
      <c r="I68" s="347"/>
      <c r="J68" s="362" t="s">
        <v>301</v>
      </c>
      <c r="K68" s="363"/>
      <c r="L68" s="363"/>
      <c r="M68" s="363"/>
      <c r="N68" s="338"/>
    </row>
    <row r="69" spans="1:14" ht="16.5">
      <c r="A69" s="336"/>
      <c r="B69" s="368" t="s">
        <v>269</v>
      </c>
      <c r="C69" s="365"/>
      <c r="D69" s="369" t="s">
        <v>300</v>
      </c>
      <c r="E69" s="367"/>
      <c r="F69" s="359"/>
      <c r="G69" s="360"/>
      <c r="H69" s="361"/>
      <c r="I69" s="347"/>
      <c r="J69" s="362"/>
      <c r="K69" s="363"/>
      <c r="L69" s="363"/>
      <c r="M69" s="363"/>
      <c r="N69" s="338"/>
    </row>
    <row r="70" spans="1:14" ht="15.5" thickBot="1">
      <c r="A70" s="336"/>
      <c r="B70" s="370" t="s">
        <v>189</v>
      </c>
      <c r="C70" s="371"/>
      <c r="D70" s="372"/>
      <c r="E70" s="373"/>
      <c r="F70" s="373"/>
      <c r="G70" s="374"/>
      <c r="H70" s="375"/>
      <c r="I70" s="348"/>
      <c r="J70" s="376"/>
      <c r="K70" s="377"/>
      <c r="L70" s="377"/>
      <c r="M70" s="377"/>
      <c r="N70" s="338"/>
    </row>
    <row r="71" spans="1:14" ht="15.5" thickBot="1">
      <c r="A71" s="336"/>
      <c r="B71" s="202"/>
      <c r="C71" s="199"/>
      <c r="D71" s="203"/>
      <c r="E71" s="300"/>
      <c r="F71" s="301"/>
      <c r="G71" s="292"/>
      <c r="H71" s="293"/>
      <c r="I71" s="294"/>
      <c r="J71" s="296"/>
      <c r="K71" s="295"/>
      <c r="L71" s="295"/>
      <c r="M71" s="295"/>
      <c r="N71" s="338"/>
    </row>
    <row r="72" spans="1:14" ht="15.65" customHeight="1">
      <c r="A72" s="336"/>
      <c r="B72" s="29"/>
      <c r="C72" s="29"/>
      <c r="D72" s="190" t="s">
        <v>376</v>
      </c>
      <c r="E72" s="71"/>
      <c r="F72" s="71"/>
      <c r="G72" s="72"/>
      <c r="H72" s="73"/>
      <c r="I72" s="349"/>
      <c r="J72" s="237"/>
      <c r="K72" s="73"/>
      <c r="L72" s="73"/>
      <c r="M72" s="73"/>
      <c r="N72" s="338"/>
    </row>
    <row r="73" spans="1:14">
      <c r="A73" s="336"/>
      <c r="B73" s="30" t="s">
        <v>377</v>
      </c>
      <c r="C73" s="199" t="s">
        <v>378</v>
      </c>
      <c r="D73" s="21" t="s">
        <v>146</v>
      </c>
      <c r="E73" s="204">
        <v>4</v>
      </c>
      <c r="F73" s="76" t="s">
        <v>147</v>
      </c>
      <c r="G73" s="200">
        <v>1080</v>
      </c>
      <c r="H73" s="201">
        <f>E73*G73</f>
        <v>4320</v>
      </c>
      <c r="I73" s="347"/>
      <c r="J73" s="296"/>
      <c r="K73" s="51"/>
      <c r="L73" s="79"/>
      <c r="M73" s="51"/>
      <c r="N73" s="338"/>
    </row>
    <row r="74" spans="1:14" ht="16.5">
      <c r="A74" s="336"/>
      <c r="B74" s="21" t="s">
        <v>146</v>
      </c>
      <c r="C74" s="74"/>
      <c r="D74" s="233" t="s">
        <v>379</v>
      </c>
      <c r="E74" s="75"/>
      <c r="F74" s="76"/>
      <c r="G74" s="77"/>
      <c r="H74" s="78"/>
      <c r="I74" s="347"/>
      <c r="J74" s="296"/>
      <c r="K74" s="51"/>
      <c r="L74" s="51"/>
      <c r="M74" s="51"/>
      <c r="N74" s="338"/>
    </row>
    <row r="75" spans="1:14" ht="16.5">
      <c r="A75" s="336"/>
      <c r="B75" s="33" t="s">
        <v>245</v>
      </c>
      <c r="C75" s="74"/>
      <c r="D75" s="32" t="s">
        <v>380</v>
      </c>
      <c r="E75" s="75"/>
      <c r="F75" s="76"/>
      <c r="G75" s="77"/>
      <c r="H75" s="78"/>
      <c r="I75" s="347"/>
      <c r="J75" s="296"/>
      <c r="K75" s="51"/>
      <c r="L75" s="51"/>
      <c r="M75" s="51"/>
      <c r="N75" s="338"/>
    </row>
    <row r="76" spans="1:14" ht="15.5" thickBot="1">
      <c r="A76" s="337"/>
      <c r="B76" s="35" t="s">
        <v>189</v>
      </c>
      <c r="C76" s="80"/>
      <c r="D76" s="34"/>
      <c r="E76" s="81"/>
      <c r="F76" s="195"/>
      <c r="G76" s="82"/>
      <c r="H76" s="83"/>
      <c r="I76" s="348"/>
      <c r="J76" s="239"/>
      <c r="K76" s="19"/>
      <c r="L76" s="19"/>
      <c r="M76" s="19"/>
      <c r="N76" s="331"/>
    </row>
    <row r="77" spans="1:14" ht="15.5" thickBot="1">
      <c r="A77" s="236"/>
      <c r="B77" s="202"/>
      <c r="C77" s="199"/>
      <c r="D77" s="203"/>
      <c r="E77" s="254"/>
      <c r="F77" s="234"/>
      <c r="G77" s="84"/>
      <c r="H77" s="85"/>
      <c r="I77" s="206"/>
      <c r="J77" s="238"/>
      <c r="K77" s="16"/>
      <c r="L77" s="16"/>
      <c r="M77" s="16"/>
      <c r="N77" s="207"/>
    </row>
    <row r="78" spans="1:14" ht="15.65" customHeight="1">
      <c r="A78" s="326" t="s">
        <v>264</v>
      </c>
      <c r="B78" s="29"/>
      <c r="C78" s="29"/>
      <c r="D78" s="190" t="s">
        <v>222</v>
      </c>
      <c r="E78" s="71"/>
      <c r="F78" s="71"/>
      <c r="G78" s="72"/>
      <c r="H78" s="73"/>
      <c r="I78" s="231"/>
      <c r="J78" s="237"/>
      <c r="K78" s="73"/>
      <c r="L78" s="73"/>
      <c r="M78" s="73"/>
      <c r="N78" s="329">
        <v>3</v>
      </c>
    </row>
    <row r="79" spans="1:14">
      <c r="A79" s="327"/>
      <c r="B79" s="202" t="s">
        <v>257</v>
      </c>
      <c r="C79" s="199" t="s">
        <v>232</v>
      </c>
      <c r="D79" s="21" t="s">
        <v>146</v>
      </c>
      <c r="E79" s="204">
        <v>50</v>
      </c>
      <c r="F79" s="76" t="s">
        <v>147</v>
      </c>
      <c r="G79" s="200">
        <v>950</v>
      </c>
      <c r="H79" s="201">
        <f>E79*G79</f>
        <v>47500</v>
      </c>
      <c r="I79" s="206"/>
      <c r="J79" s="238"/>
      <c r="K79" s="51"/>
      <c r="L79" s="79"/>
      <c r="M79" s="51"/>
      <c r="N79" s="330"/>
    </row>
    <row r="80" spans="1:14" ht="16.5">
      <c r="A80" s="327"/>
      <c r="B80" s="21" t="s">
        <v>146</v>
      </c>
      <c r="C80" s="74" t="s">
        <v>259</v>
      </c>
      <c r="D80" s="233" t="s">
        <v>262</v>
      </c>
      <c r="E80" s="75">
        <v>39</v>
      </c>
      <c r="F80" s="76" t="s">
        <v>147</v>
      </c>
      <c r="G80" s="200">
        <v>950</v>
      </c>
      <c r="H80" s="201">
        <f>E80*G80</f>
        <v>37050</v>
      </c>
      <c r="I80" s="206" t="s">
        <v>265</v>
      </c>
      <c r="J80" s="238" t="s">
        <v>267</v>
      </c>
      <c r="K80" s="51"/>
      <c r="L80" s="51"/>
      <c r="M80" s="51"/>
      <c r="N80" s="330"/>
    </row>
    <row r="81" spans="1:14" ht="16.5">
      <c r="A81" s="327"/>
      <c r="B81" s="33" t="s">
        <v>258</v>
      </c>
      <c r="C81" s="74" t="s">
        <v>260</v>
      </c>
      <c r="D81" s="32" t="s">
        <v>263</v>
      </c>
      <c r="E81" s="75">
        <v>9</v>
      </c>
      <c r="F81" s="76" t="s">
        <v>147</v>
      </c>
      <c r="G81" s="200">
        <v>950</v>
      </c>
      <c r="H81" s="201">
        <f>E81*G81</f>
        <v>8550</v>
      </c>
      <c r="I81" s="206" t="s">
        <v>266</v>
      </c>
      <c r="J81" s="238"/>
      <c r="K81" s="51"/>
      <c r="L81" s="51"/>
      <c r="M81" s="51"/>
      <c r="N81" s="330"/>
    </row>
    <row r="82" spans="1:14" ht="15.5" thickBot="1">
      <c r="A82" s="328"/>
      <c r="B82" s="35" t="s">
        <v>160</v>
      </c>
      <c r="C82" s="80"/>
      <c r="D82" s="34"/>
      <c r="E82" s="81"/>
      <c r="F82" s="81"/>
      <c r="G82" s="82"/>
      <c r="H82" s="83"/>
      <c r="I82" s="232"/>
      <c r="J82" s="239"/>
      <c r="K82" s="19"/>
      <c r="L82" s="19"/>
      <c r="M82" s="19"/>
      <c r="N82" s="331"/>
    </row>
    <row r="83" spans="1:14" ht="15.5" thickBot="1">
      <c r="A83" s="236"/>
      <c r="B83" s="202"/>
      <c r="C83" s="199"/>
      <c r="D83" s="203"/>
      <c r="E83" s="254"/>
      <c r="F83" s="234"/>
      <c r="G83" s="84"/>
      <c r="H83" s="85"/>
      <c r="I83" s="206"/>
      <c r="J83" s="238"/>
      <c r="K83" s="16"/>
      <c r="L83" s="16"/>
      <c r="M83" s="16"/>
      <c r="N83" s="207"/>
    </row>
    <row r="84" spans="1:14" ht="15.65" customHeight="1">
      <c r="A84" s="326" t="s">
        <v>296</v>
      </c>
      <c r="B84" s="29"/>
      <c r="C84" s="29"/>
      <c r="D84" s="190" t="s">
        <v>272</v>
      </c>
      <c r="E84" s="71"/>
      <c r="F84" s="71"/>
      <c r="G84" s="72"/>
      <c r="H84" s="73"/>
      <c r="I84" s="231"/>
      <c r="J84" s="339" t="s">
        <v>267</v>
      </c>
      <c r="K84" s="73"/>
      <c r="L84" s="73"/>
      <c r="M84" s="73"/>
      <c r="N84" s="329">
        <v>5</v>
      </c>
    </row>
    <row r="85" spans="1:14">
      <c r="A85" s="327"/>
      <c r="B85" s="202" t="s">
        <v>268</v>
      </c>
      <c r="C85" s="199" t="s">
        <v>270</v>
      </c>
      <c r="D85" s="21" t="s">
        <v>146</v>
      </c>
      <c r="E85" s="204">
        <v>65</v>
      </c>
      <c r="F85" s="76" t="s">
        <v>147</v>
      </c>
      <c r="G85" s="200">
        <v>1840</v>
      </c>
      <c r="H85" s="201">
        <f>E85*G85</f>
        <v>119600</v>
      </c>
      <c r="I85" s="206"/>
      <c r="J85" s="340"/>
      <c r="K85" s="51"/>
      <c r="L85" s="79"/>
      <c r="M85" s="51"/>
      <c r="N85" s="330"/>
    </row>
    <row r="86" spans="1:14" ht="16.5">
      <c r="A86" s="327"/>
      <c r="B86" s="21" t="s">
        <v>146</v>
      </c>
      <c r="C86" s="74" t="s">
        <v>271</v>
      </c>
      <c r="D86" s="233" t="s">
        <v>190</v>
      </c>
      <c r="E86" s="75">
        <v>50</v>
      </c>
      <c r="F86" s="76" t="s">
        <v>147</v>
      </c>
      <c r="G86" s="200">
        <v>1570</v>
      </c>
      <c r="H86" s="201">
        <f>E86*G86</f>
        <v>78500</v>
      </c>
      <c r="I86" s="206"/>
      <c r="J86" s="340"/>
      <c r="K86" s="51"/>
      <c r="L86" s="51"/>
      <c r="M86" s="51"/>
      <c r="N86" s="330"/>
    </row>
    <row r="87" spans="1:14" ht="16.5">
      <c r="A87" s="327"/>
      <c r="B87" s="33" t="s">
        <v>269</v>
      </c>
      <c r="C87" s="74"/>
      <c r="D87" s="32" t="s">
        <v>273</v>
      </c>
      <c r="E87" s="75"/>
      <c r="F87" s="76"/>
      <c r="G87" s="200"/>
      <c r="H87" s="201"/>
      <c r="I87" s="206"/>
      <c r="J87" s="340"/>
      <c r="K87" s="51"/>
      <c r="L87" s="51"/>
      <c r="M87" s="51"/>
      <c r="N87" s="330"/>
    </row>
    <row r="88" spans="1:14" ht="15.5" thickBot="1">
      <c r="A88" s="327"/>
      <c r="B88" s="35" t="s">
        <v>189</v>
      </c>
      <c r="C88" s="80"/>
      <c r="D88" s="34"/>
      <c r="E88" s="81"/>
      <c r="F88" s="81"/>
      <c r="G88" s="82"/>
      <c r="H88" s="83"/>
      <c r="I88" s="206"/>
      <c r="J88" s="340"/>
      <c r="K88" s="51"/>
      <c r="L88" s="51"/>
      <c r="M88" s="51"/>
      <c r="N88" s="330"/>
    </row>
    <row r="89" spans="1:14" ht="15.5" thickBot="1">
      <c r="A89" s="327"/>
      <c r="B89" s="202"/>
      <c r="C89" s="199"/>
      <c r="D89" s="203"/>
      <c r="E89" s="254"/>
      <c r="F89" s="234"/>
      <c r="G89" s="84"/>
      <c r="H89" s="85"/>
      <c r="I89" s="206"/>
      <c r="J89" s="340"/>
      <c r="K89" s="51"/>
      <c r="L89" s="51"/>
      <c r="M89" s="51"/>
      <c r="N89" s="330"/>
    </row>
    <row r="90" spans="1:14" ht="15.65" customHeight="1">
      <c r="A90" s="327"/>
      <c r="B90" s="29"/>
      <c r="C90" s="29"/>
      <c r="D90" s="190" t="s">
        <v>210</v>
      </c>
      <c r="E90" s="71"/>
      <c r="F90" s="71"/>
      <c r="G90" s="72"/>
      <c r="H90" s="73"/>
      <c r="I90" s="206"/>
      <c r="J90" s="340"/>
      <c r="K90" s="51"/>
      <c r="L90" s="51"/>
      <c r="M90" s="51"/>
      <c r="N90" s="330"/>
    </row>
    <row r="91" spans="1:14">
      <c r="A91" s="327"/>
      <c r="B91" s="202" t="s">
        <v>274</v>
      </c>
      <c r="C91" s="199" t="s">
        <v>276</v>
      </c>
      <c r="D91" s="21" t="s">
        <v>146</v>
      </c>
      <c r="E91" s="204">
        <v>20</v>
      </c>
      <c r="F91" s="76" t="s">
        <v>147</v>
      </c>
      <c r="G91" s="200">
        <v>1460</v>
      </c>
      <c r="H91" s="201">
        <f>E91*G91</f>
        <v>29200</v>
      </c>
      <c r="I91" s="206"/>
      <c r="J91" s="340"/>
      <c r="K91" s="51"/>
      <c r="L91" s="79"/>
      <c r="M91" s="51"/>
      <c r="N91" s="330"/>
    </row>
    <row r="92" spans="1:14" ht="16.5">
      <c r="A92" s="327"/>
      <c r="B92" s="21" t="s">
        <v>146</v>
      </c>
      <c r="C92" s="74" t="s">
        <v>277</v>
      </c>
      <c r="D92" s="233" t="s">
        <v>279</v>
      </c>
      <c r="E92" s="75">
        <v>31.9</v>
      </c>
      <c r="F92" s="76" t="s">
        <v>147</v>
      </c>
      <c r="G92" s="200">
        <v>1460</v>
      </c>
      <c r="H92" s="201">
        <f>E92*G92</f>
        <v>46574</v>
      </c>
      <c r="I92" s="206"/>
      <c r="J92" s="340"/>
      <c r="K92" s="51"/>
      <c r="L92" s="51"/>
      <c r="M92" s="51"/>
      <c r="N92" s="330"/>
    </row>
    <row r="93" spans="1:14" ht="16.5">
      <c r="A93" s="327"/>
      <c r="B93" s="33" t="s">
        <v>275</v>
      </c>
      <c r="C93" s="74" t="s">
        <v>278</v>
      </c>
      <c r="D93" s="32" t="s">
        <v>280</v>
      </c>
      <c r="E93" s="75">
        <v>4</v>
      </c>
      <c r="F93" s="76" t="s">
        <v>147</v>
      </c>
      <c r="G93" s="200">
        <v>1460</v>
      </c>
      <c r="H93" s="201">
        <f>E93*G93</f>
        <v>5840</v>
      </c>
      <c r="I93" s="206"/>
      <c r="J93" s="340"/>
      <c r="K93" s="51"/>
      <c r="L93" s="51"/>
      <c r="M93" s="51"/>
      <c r="N93" s="330"/>
    </row>
    <row r="94" spans="1:14" ht="15.5" thickBot="1">
      <c r="A94" s="327"/>
      <c r="B94" s="35" t="s">
        <v>160</v>
      </c>
      <c r="C94" s="80"/>
      <c r="D94" s="34"/>
      <c r="E94" s="81"/>
      <c r="F94" s="81"/>
      <c r="G94" s="82"/>
      <c r="H94" s="83"/>
      <c r="I94" s="206"/>
      <c r="J94" s="340"/>
      <c r="K94" s="51"/>
      <c r="L94" s="51"/>
      <c r="M94" s="51"/>
      <c r="N94" s="330"/>
    </row>
    <row r="95" spans="1:14" ht="15.5" thickBot="1">
      <c r="A95" s="327"/>
      <c r="B95" s="202"/>
      <c r="C95" s="199"/>
      <c r="D95" s="203"/>
      <c r="E95" s="254"/>
      <c r="F95" s="234"/>
      <c r="G95" s="84"/>
      <c r="H95" s="85"/>
      <c r="I95" s="206"/>
      <c r="J95" s="340"/>
      <c r="K95" s="51"/>
      <c r="L95" s="51"/>
      <c r="M95" s="51"/>
      <c r="N95" s="330"/>
    </row>
    <row r="96" spans="1:14" ht="15.65" customHeight="1">
      <c r="A96" s="327"/>
      <c r="B96" s="29"/>
      <c r="C96" s="29"/>
      <c r="D96" s="190" t="s">
        <v>286</v>
      </c>
      <c r="E96" s="71"/>
      <c r="F96" s="71"/>
      <c r="G96" s="72"/>
      <c r="H96" s="73"/>
      <c r="I96" s="206"/>
      <c r="J96" s="340"/>
      <c r="K96" s="51"/>
      <c r="L96" s="51"/>
      <c r="M96" s="51"/>
      <c r="N96" s="330"/>
    </row>
    <row r="97" spans="1:14">
      <c r="A97" s="327"/>
      <c r="B97" s="202" t="s">
        <v>281</v>
      </c>
      <c r="C97" s="199" t="s">
        <v>284</v>
      </c>
      <c r="D97" s="21" t="s">
        <v>157</v>
      </c>
      <c r="E97" s="204">
        <v>10</v>
      </c>
      <c r="F97" s="76" t="s">
        <v>147</v>
      </c>
      <c r="G97" s="200">
        <v>1370</v>
      </c>
      <c r="H97" s="201">
        <f>E97*G97</f>
        <v>13700</v>
      </c>
      <c r="I97" s="206"/>
      <c r="J97" s="340"/>
      <c r="K97" s="51"/>
      <c r="L97" s="79"/>
      <c r="M97" s="51"/>
      <c r="N97" s="330"/>
    </row>
    <row r="98" spans="1:14" ht="16.5">
      <c r="A98" s="327"/>
      <c r="B98" s="21" t="s">
        <v>184</v>
      </c>
      <c r="C98" s="74" t="s">
        <v>285</v>
      </c>
      <c r="D98" s="233" t="s">
        <v>190</v>
      </c>
      <c r="E98" s="75">
        <v>19</v>
      </c>
      <c r="F98" s="76" t="s">
        <v>147</v>
      </c>
      <c r="G98" s="200">
        <v>1370</v>
      </c>
      <c r="H98" s="201">
        <f>E98*G98</f>
        <v>26030</v>
      </c>
      <c r="I98" s="206" t="s">
        <v>297</v>
      </c>
      <c r="J98" s="340"/>
      <c r="K98" s="51"/>
      <c r="L98" s="51"/>
      <c r="M98" s="51"/>
      <c r="N98" s="330"/>
    </row>
    <row r="99" spans="1:14" ht="16.5">
      <c r="A99" s="327"/>
      <c r="B99" s="33" t="s">
        <v>282</v>
      </c>
      <c r="C99" s="74"/>
      <c r="D99" s="32" t="s">
        <v>283</v>
      </c>
      <c r="E99" s="75"/>
      <c r="F99" s="76"/>
      <c r="G99" s="200"/>
      <c r="H99" s="201"/>
      <c r="I99" s="206"/>
      <c r="J99" s="340"/>
      <c r="K99" s="51"/>
      <c r="L99" s="51"/>
      <c r="M99" s="51"/>
      <c r="N99" s="330"/>
    </row>
    <row r="100" spans="1:14" ht="15.5" thickBot="1">
      <c r="A100" s="327"/>
      <c r="B100" s="35" t="s">
        <v>189</v>
      </c>
      <c r="C100" s="80"/>
      <c r="D100" s="34"/>
      <c r="E100" s="81"/>
      <c r="F100" s="81"/>
      <c r="G100" s="82"/>
      <c r="H100" s="83"/>
      <c r="I100" s="206"/>
      <c r="J100" s="340"/>
      <c r="K100" s="51"/>
      <c r="L100" s="51"/>
      <c r="M100" s="51"/>
      <c r="N100" s="330"/>
    </row>
    <row r="101" spans="1:14" ht="15.5" thickBot="1">
      <c r="A101" s="327"/>
      <c r="B101" s="202"/>
      <c r="C101" s="199"/>
      <c r="D101" s="203"/>
      <c r="E101" s="254"/>
      <c r="F101" s="234"/>
      <c r="G101" s="84"/>
      <c r="H101" s="85"/>
      <c r="I101" s="206"/>
      <c r="J101" s="340"/>
      <c r="K101" s="51"/>
      <c r="L101" s="51"/>
      <c r="M101" s="51"/>
      <c r="N101" s="330"/>
    </row>
    <row r="102" spans="1:14" ht="15.65" customHeight="1">
      <c r="A102" s="327"/>
      <c r="B102" s="29"/>
      <c r="C102" s="29"/>
      <c r="D102" s="190" t="s">
        <v>292</v>
      </c>
      <c r="E102" s="71"/>
      <c r="F102" s="71"/>
      <c r="G102" s="72"/>
      <c r="H102" s="73"/>
      <c r="I102" s="206"/>
      <c r="J102" s="340"/>
      <c r="K102" s="51"/>
      <c r="L102" s="51"/>
      <c r="M102" s="51"/>
      <c r="N102" s="330"/>
    </row>
    <row r="103" spans="1:14">
      <c r="A103" s="327"/>
      <c r="B103" s="202" t="s">
        <v>287</v>
      </c>
      <c r="C103" s="199" t="s">
        <v>288</v>
      </c>
      <c r="D103" s="21" t="s">
        <v>146</v>
      </c>
      <c r="E103" s="204">
        <v>1</v>
      </c>
      <c r="F103" s="76" t="s">
        <v>147</v>
      </c>
      <c r="G103" s="200">
        <v>2380</v>
      </c>
      <c r="H103" s="201">
        <f>E103*G103</f>
        <v>2380</v>
      </c>
      <c r="I103" s="206"/>
      <c r="J103" s="340"/>
      <c r="K103" s="51"/>
      <c r="L103" s="79"/>
      <c r="M103" s="51"/>
      <c r="N103" s="330"/>
    </row>
    <row r="104" spans="1:14" ht="16.5">
      <c r="A104" s="327"/>
      <c r="B104" s="21" t="s">
        <v>146</v>
      </c>
      <c r="C104" s="74" t="s">
        <v>289</v>
      </c>
      <c r="D104" s="233" t="s">
        <v>293</v>
      </c>
      <c r="E104" s="75">
        <v>1</v>
      </c>
      <c r="F104" s="76" t="s">
        <v>147</v>
      </c>
      <c r="G104" s="200">
        <v>2380</v>
      </c>
      <c r="H104" s="201">
        <f>E104*G104</f>
        <v>2380</v>
      </c>
      <c r="I104" s="206"/>
      <c r="J104" s="340"/>
      <c r="K104" s="51"/>
      <c r="L104" s="51"/>
      <c r="M104" s="51"/>
      <c r="N104" s="330"/>
    </row>
    <row r="105" spans="1:14" ht="16.5">
      <c r="A105" s="327"/>
      <c r="B105" s="33" t="s">
        <v>269</v>
      </c>
      <c r="C105" s="74" t="s">
        <v>290</v>
      </c>
      <c r="D105" s="32" t="s">
        <v>294</v>
      </c>
      <c r="E105" s="75">
        <v>1</v>
      </c>
      <c r="F105" s="76" t="s">
        <v>147</v>
      </c>
      <c r="G105" s="200">
        <v>2380</v>
      </c>
      <c r="H105" s="201">
        <f>E105*G105</f>
        <v>2380</v>
      </c>
      <c r="I105" s="206"/>
      <c r="J105" s="340"/>
      <c r="K105" s="51"/>
      <c r="L105" s="51"/>
      <c r="M105" s="51"/>
      <c r="N105" s="330"/>
    </row>
    <row r="106" spans="1:14" ht="15.5" thickBot="1">
      <c r="A106" s="327"/>
      <c r="B106" s="35" t="s">
        <v>189</v>
      </c>
      <c r="C106" s="80"/>
      <c r="D106" s="34"/>
      <c r="E106" s="81"/>
      <c r="F106" s="81"/>
      <c r="G106" s="82"/>
      <c r="H106" s="83"/>
      <c r="I106" s="206"/>
      <c r="J106" s="340"/>
      <c r="K106" s="51"/>
      <c r="L106" s="51"/>
      <c r="M106" s="51"/>
      <c r="N106" s="330"/>
    </row>
    <row r="107" spans="1:14" ht="15.5" thickBot="1">
      <c r="A107" s="327"/>
      <c r="B107" s="202"/>
      <c r="C107" s="199"/>
      <c r="D107" s="203"/>
      <c r="E107" s="254"/>
      <c r="F107" s="234"/>
      <c r="G107" s="84"/>
      <c r="H107" s="85"/>
      <c r="I107" s="206"/>
      <c r="J107" s="340"/>
      <c r="K107" s="51"/>
      <c r="L107" s="51"/>
      <c r="M107" s="51"/>
      <c r="N107" s="330"/>
    </row>
    <row r="108" spans="1:14" ht="15.65" customHeight="1">
      <c r="A108" s="327"/>
      <c r="B108" s="29"/>
      <c r="C108" s="29"/>
      <c r="D108" s="190" t="s">
        <v>292</v>
      </c>
      <c r="E108" s="71"/>
      <c r="F108" s="71"/>
      <c r="G108" s="72"/>
      <c r="H108" s="73"/>
      <c r="I108" s="206"/>
      <c r="J108" s="340"/>
      <c r="K108" s="51"/>
      <c r="L108" s="51"/>
      <c r="M108" s="51"/>
      <c r="N108" s="330"/>
    </row>
    <row r="109" spans="1:14">
      <c r="A109" s="327"/>
      <c r="B109" s="202" t="s">
        <v>302</v>
      </c>
      <c r="C109" s="199" t="s">
        <v>303</v>
      </c>
      <c r="D109" s="21" t="s">
        <v>146</v>
      </c>
      <c r="E109" s="204">
        <v>1</v>
      </c>
      <c r="F109" s="76" t="s">
        <v>147</v>
      </c>
      <c r="G109" s="200">
        <v>1370</v>
      </c>
      <c r="H109" s="201">
        <f>E109*G109</f>
        <v>1370</v>
      </c>
      <c r="I109" s="206"/>
      <c r="J109" s="340"/>
      <c r="K109" s="51"/>
      <c r="L109" s="79"/>
      <c r="M109" s="51"/>
      <c r="N109" s="330"/>
    </row>
    <row r="110" spans="1:14" ht="16.5">
      <c r="A110" s="327"/>
      <c r="B110" s="21" t="s">
        <v>146</v>
      </c>
      <c r="C110" s="74"/>
      <c r="D110" s="233" t="s">
        <v>190</v>
      </c>
      <c r="E110" s="75"/>
      <c r="F110" s="76"/>
      <c r="G110" s="200"/>
      <c r="H110" s="201"/>
      <c r="I110" s="206"/>
      <c r="J110" s="340"/>
      <c r="K110" s="51"/>
      <c r="L110" s="51"/>
      <c r="M110" s="51"/>
      <c r="N110" s="330"/>
    </row>
    <row r="111" spans="1:14" ht="16.5">
      <c r="A111" s="327"/>
      <c r="B111" s="33" t="s">
        <v>269</v>
      </c>
      <c r="C111" s="74"/>
      <c r="D111" s="32" t="s">
        <v>304</v>
      </c>
      <c r="E111" s="75"/>
      <c r="F111" s="76"/>
      <c r="G111" s="200"/>
      <c r="H111" s="201"/>
      <c r="I111" s="206"/>
      <c r="J111" s="340"/>
      <c r="K111" s="51"/>
      <c r="L111" s="51"/>
      <c r="M111" s="51"/>
      <c r="N111" s="330"/>
    </row>
    <row r="112" spans="1:14" ht="15.5" thickBot="1">
      <c r="A112" s="327"/>
      <c r="B112" s="35" t="s">
        <v>189</v>
      </c>
      <c r="C112" s="80"/>
      <c r="D112" s="34"/>
      <c r="E112" s="81"/>
      <c r="F112" s="81"/>
      <c r="G112" s="82"/>
      <c r="H112" s="83"/>
      <c r="I112" s="206"/>
      <c r="J112" s="340"/>
      <c r="K112" s="51"/>
      <c r="L112" s="51"/>
      <c r="M112" s="51"/>
      <c r="N112" s="330"/>
    </row>
    <row r="113" spans="1:14" ht="15.5" thickBot="1">
      <c r="A113" s="327"/>
      <c r="B113" s="196"/>
      <c r="C113" s="74"/>
      <c r="D113" s="32"/>
      <c r="E113" s="204"/>
      <c r="F113" s="76"/>
      <c r="G113" s="200"/>
      <c r="H113" s="201"/>
      <c r="I113" s="206"/>
      <c r="J113" s="340"/>
      <c r="K113" s="51"/>
      <c r="L113" s="51"/>
      <c r="M113" s="51"/>
      <c r="N113" s="330"/>
    </row>
    <row r="114" spans="1:14" ht="15.65" customHeight="1">
      <c r="A114" s="327"/>
      <c r="B114" s="255"/>
      <c r="C114" s="29"/>
      <c r="D114" s="190" t="s">
        <v>295</v>
      </c>
      <c r="E114" s="71"/>
      <c r="F114" s="71"/>
      <c r="G114" s="72"/>
      <c r="H114" s="73"/>
      <c r="I114" s="206"/>
      <c r="J114" s="340"/>
      <c r="K114" s="51"/>
      <c r="L114" s="51"/>
      <c r="M114" s="51"/>
      <c r="N114" s="330"/>
    </row>
    <row r="115" spans="1:14">
      <c r="A115" s="327"/>
      <c r="B115" s="256" t="s">
        <v>169</v>
      </c>
      <c r="C115" s="74" t="s">
        <v>163</v>
      </c>
      <c r="D115" s="31" t="s">
        <v>146</v>
      </c>
      <c r="E115" s="204">
        <v>500</v>
      </c>
      <c r="F115" s="76" t="s">
        <v>85</v>
      </c>
      <c r="G115" s="200">
        <v>1000</v>
      </c>
      <c r="H115" s="78">
        <f>E115*G115</f>
        <v>500000</v>
      </c>
      <c r="I115" s="206"/>
      <c r="J115" s="340"/>
      <c r="K115" s="51"/>
      <c r="L115" s="51"/>
      <c r="M115" s="51"/>
      <c r="N115" s="330"/>
    </row>
    <row r="116" spans="1:14" ht="16.5">
      <c r="A116" s="327"/>
      <c r="B116" s="257" t="s">
        <v>170</v>
      </c>
      <c r="C116" s="74"/>
      <c r="D116" s="31"/>
      <c r="E116" s="75"/>
      <c r="F116" s="76"/>
      <c r="G116" s="77"/>
      <c r="H116" s="78"/>
      <c r="I116" s="260"/>
      <c r="J116" s="340"/>
      <c r="K116" s="51"/>
      <c r="L116" s="51"/>
      <c r="M116" s="51"/>
      <c r="N116" s="330"/>
    </row>
    <row r="117" spans="1:14">
      <c r="A117" s="327"/>
      <c r="B117" s="258" t="s">
        <v>161</v>
      </c>
      <c r="C117" s="74"/>
      <c r="D117" s="32"/>
      <c r="E117" s="75"/>
      <c r="F117" s="76"/>
      <c r="G117" s="77"/>
      <c r="H117" s="78"/>
      <c r="I117" s="206"/>
      <c r="J117" s="340"/>
      <c r="K117" s="51"/>
      <c r="L117" s="51"/>
      <c r="M117" s="51"/>
      <c r="N117" s="330"/>
    </row>
    <row r="118" spans="1:14" ht="15.5" thickBot="1">
      <c r="A118" s="328"/>
      <c r="B118" s="259" t="s">
        <v>162</v>
      </c>
      <c r="C118" s="80"/>
      <c r="D118" s="34"/>
      <c r="E118" s="81"/>
      <c r="F118" s="81"/>
      <c r="G118" s="82"/>
      <c r="H118" s="83"/>
      <c r="I118" s="232"/>
      <c r="J118" s="341"/>
      <c r="K118" s="19"/>
      <c r="L118" s="19"/>
      <c r="M118" s="19"/>
      <c r="N118" s="331"/>
    </row>
    <row r="119" spans="1:14" ht="15.5" thickBot="1">
      <c r="A119" s="236"/>
      <c r="B119" s="297"/>
      <c r="C119" s="298"/>
      <c r="D119" s="299"/>
      <c r="E119" s="300"/>
      <c r="F119" s="301"/>
      <c r="G119" s="292"/>
      <c r="H119" s="293"/>
      <c r="I119" s="294"/>
      <c r="J119" s="296"/>
      <c r="K119" s="295"/>
      <c r="L119" s="295"/>
      <c r="M119" s="295"/>
      <c r="N119" s="302"/>
    </row>
    <row r="120" spans="1:14" ht="18" thickBot="1">
      <c r="A120" s="326" t="s">
        <v>328</v>
      </c>
      <c r="B120" s="264" t="s">
        <v>311</v>
      </c>
      <c r="C120" s="246"/>
      <c r="D120" s="247" t="s">
        <v>305</v>
      </c>
      <c r="E120" s="248">
        <v>1</v>
      </c>
      <c r="F120" s="191" t="s">
        <v>85</v>
      </c>
      <c r="G120" s="205">
        <v>3000</v>
      </c>
      <c r="H120" s="205">
        <f t="shared" ref="H120:H131" si="2">E120*G120</f>
        <v>3000</v>
      </c>
      <c r="I120" s="231"/>
      <c r="J120" s="339" t="s">
        <v>301</v>
      </c>
      <c r="K120" s="73"/>
      <c r="L120" s="305"/>
      <c r="M120" s="73"/>
      <c r="N120" s="329">
        <v>1</v>
      </c>
    </row>
    <row r="121" spans="1:14" ht="18" thickBot="1">
      <c r="A121" s="327"/>
      <c r="B121" s="264" t="s">
        <v>306</v>
      </c>
      <c r="C121" s="246"/>
      <c r="D121" s="247" t="s">
        <v>307</v>
      </c>
      <c r="E121" s="248">
        <v>1</v>
      </c>
      <c r="F121" s="191" t="s">
        <v>85</v>
      </c>
      <c r="G121" s="205">
        <v>3000</v>
      </c>
      <c r="H121" s="205">
        <f t="shared" si="2"/>
        <v>3000</v>
      </c>
      <c r="I121" s="294"/>
      <c r="J121" s="342"/>
      <c r="K121" s="51"/>
      <c r="L121" s="261"/>
      <c r="M121" s="51"/>
      <c r="N121" s="338"/>
    </row>
    <row r="122" spans="1:14" ht="18" thickBot="1">
      <c r="A122" s="327"/>
      <c r="B122" s="264" t="s">
        <v>308</v>
      </c>
      <c r="C122" s="246"/>
      <c r="D122" s="247" t="s">
        <v>309</v>
      </c>
      <c r="E122" s="248">
        <v>1</v>
      </c>
      <c r="F122" s="191" t="s">
        <v>85</v>
      </c>
      <c r="G122" s="205">
        <v>3000</v>
      </c>
      <c r="H122" s="205">
        <f t="shared" si="2"/>
        <v>3000</v>
      </c>
      <c r="I122" s="294"/>
      <c r="J122" s="342"/>
      <c r="K122" s="51"/>
      <c r="L122" s="261"/>
      <c r="M122" s="51"/>
      <c r="N122" s="338"/>
    </row>
    <row r="123" spans="1:14" ht="18" thickBot="1">
      <c r="A123" s="327"/>
      <c r="B123" s="264" t="s">
        <v>310</v>
      </c>
      <c r="C123" s="246"/>
      <c r="D123" s="247" t="s">
        <v>312</v>
      </c>
      <c r="E123" s="248">
        <v>1</v>
      </c>
      <c r="F123" s="191" t="s">
        <v>85</v>
      </c>
      <c r="G123" s="205">
        <v>3000</v>
      </c>
      <c r="H123" s="205">
        <f t="shared" si="2"/>
        <v>3000</v>
      </c>
      <c r="I123" s="294"/>
      <c r="J123" s="342"/>
      <c r="K123" s="51"/>
      <c r="L123" s="261"/>
      <c r="M123" s="51"/>
      <c r="N123" s="338"/>
    </row>
    <row r="124" spans="1:14" ht="18" thickBot="1">
      <c r="A124" s="327"/>
      <c r="B124" s="264" t="s">
        <v>313</v>
      </c>
      <c r="C124" s="246"/>
      <c r="D124" s="247" t="s">
        <v>314</v>
      </c>
      <c r="E124" s="248">
        <v>1</v>
      </c>
      <c r="F124" s="191" t="s">
        <v>85</v>
      </c>
      <c r="G124" s="205">
        <v>3000</v>
      </c>
      <c r="H124" s="205">
        <f t="shared" si="2"/>
        <v>3000</v>
      </c>
      <c r="I124" s="294"/>
      <c r="J124" s="342"/>
      <c r="K124" s="51"/>
      <c r="L124" s="261"/>
      <c r="M124" s="51"/>
      <c r="N124" s="338"/>
    </row>
    <row r="125" spans="1:14" ht="18" thickBot="1">
      <c r="A125" s="327"/>
      <c r="B125" s="264" t="s">
        <v>315</v>
      </c>
      <c r="C125" s="246"/>
      <c r="D125" s="247" t="s">
        <v>316</v>
      </c>
      <c r="E125" s="248">
        <v>1</v>
      </c>
      <c r="F125" s="191" t="s">
        <v>85</v>
      </c>
      <c r="G125" s="205">
        <v>3000</v>
      </c>
      <c r="H125" s="205">
        <f t="shared" si="2"/>
        <v>3000</v>
      </c>
      <c r="I125" s="206" t="s">
        <v>331</v>
      </c>
      <c r="J125" s="342"/>
      <c r="K125" s="51"/>
      <c r="L125" s="261"/>
      <c r="M125" s="51"/>
      <c r="N125" s="338"/>
    </row>
    <row r="126" spans="1:14" ht="18" thickBot="1">
      <c r="A126" s="327"/>
      <c r="B126" s="264" t="s">
        <v>315</v>
      </c>
      <c r="C126" s="246"/>
      <c r="D126" s="247" t="s">
        <v>317</v>
      </c>
      <c r="E126" s="248">
        <v>1</v>
      </c>
      <c r="F126" s="191" t="s">
        <v>85</v>
      </c>
      <c r="G126" s="205">
        <v>3000</v>
      </c>
      <c r="H126" s="205">
        <f t="shared" si="2"/>
        <v>3000</v>
      </c>
      <c r="I126" s="294"/>
      <c r="J126" s="342"/>
      <c r="K126" s="51"/>
      <c r="L126" s="261"/>
      <c r="M126" s="51"/>
      <c r="N126" s="338"/>
    </row>
    <row r="127" spans="1:14" ht="18" thickBot="1">
      <c r="A127" s="327"/>
      <c r="B127" s="264" t="s">
        <v>318</v>
      </c>
      <c r="C127" s="246"/>
      <c r="D127" s="247" t="s">
        <v>319</v>
      </c>
      <c r="E127" s="248">
        <v>1</v>
      </c>
      <c r="F127" s="191" t="s">
        <v>85</v>
      </c>
      <c r="G127" s="205">
        <v>3000</v>
      </c>
      <c r="H127" s="205">
        <f t="shared" si="2"/>
        <v>3000</v>
      </c>
      <c r="I127" s="294"/>
      <c r="J127" s="342"/>
      <c r="K127" s="51"/>
      <c r="L127" s="261"/>
      <c r="M127" s="51"/>
      <c r="N127" s="338"/>
    </row>
    <row r="128" spans="1:14" ht="18" thickBot="1">
      <c r="A128" s="327"/>
      <c r="B128" s="264" t="s">
        <v>320</v>
      </c>
      <c r="C128" s="246"/>
      <c r="D128" s="247" t="s">
        <v>321</v>
      </c>
      <c r="E128" s="248">
        <v>1</v>
      </c>
      <c r="F128" s="191" t="s">
        <v>85</v>
      </c>
      <c r="G128" s="205">
        <v>3000</v>
      </c>
      <c r="H128" s="205">
        <f t="shared" si="2"/>
        <v>3000</v>
      </c>
      <c r="I128" s="294"/>
      <c r="J128" s="342"/>
      <c r="K128" s="51"/>
      <c r="L128" s="261"/>
      <c r="M128" s="51"/>
      <c r="N128" s="338"/>
    </row>
    <row r="129" spans="1:14" ht="18" thickBot="1">
      <c r="A129" s="327"/>
      <c r="B129" s="264" t="s">
        <v>322</v>
      </c>
      <c r="C129" s="246"/>
      <c r="D129" s="247" t="s">
        <v>323</v>
      </c>
      <c r="E129" s="248">
        <v>1</v>
      </c>
      <c r="F129" s="191" t="s">
        <v>85</v>
      </c>
      <c r="G129" s="205">
        <v>3000</v>
      </c>
      <c r="H129" s="205">
        <f t="shared" si="2"/>
        <v>3000</v>
      </c>
      <c r="I129" s="294"/>
      <c r="J129" s="342"/>
      <c r="K129" s="51"/>
      <c r="L129" s="261"/>
      <c r="M129" s="51"/>
      <c r="N129" s="338"/>
    </row>
    <row r="130" spans="1:14" ht="18" thickBot="1">
      <c r="A130" s="327"/>
      <c r="B130" s="264" t="s">
        <v>324</v>
      </c>
      <c r="C130" s="246"/>
      <c r="D130" s="247" t="s">
        <v>325</v>
      </c>
      <c r="E130" s="248">
        <v>1</v>
      </c>
      <c r="F130" s="191" t="s">
        <v>85</v>
      </c>
      <c r="G130" s="205">
        <v>3000</v>
      </c>
      <c r="H130" s="205">
        <f t="shared" si="2"/>
        <v>3000</v>
      </c>
      <c r="I130" s="294"/>
      <c r="J130" s="342"/>
      <c r="K130" s="51"/>
      <c r="L130" s="261"/>
      <c r="M130" s="51"/>
      <c r="N130" s="338"/>
    </row>
    <row r="131" spans="1:14" ht="18" thickBot="1">
      <c r="A131" s="327"/>
      <c r="B131" s="264" t="s">
        <v>326</v>
      </c>
      <c r="C131" s="246"/>
      <c r="D131" s="247" t="s">
        <v>327</v>
      </c>
      <c r="E131" s="248">
        <v>1</v>
      </c>
      <c r="F131" s="191" t="s">
        <v>85</v>
      </c>
      <c r="G131" s="205">
        <v>3000</v>
      </c>
      <c r="H131" s="205">
        <f t="shared" si="2"/>
        <v>3000</v>
      </c>
      <c r="I131" s="294"/>
      <c r="J131" s="342"/>
      <c r="K131" s="51"/>
      <c r="L131" s="261"/>
      <c r="M131" s="51"/>
      <c r="N131" s="338"/>
    </row>
    <row r="132" spans="1:14" ht="15.65" customHeight="1" thickBot="1">
      <c r="A132" s="327"/>
      <c r="B132" s="263"/>
      <c r="C132" s="29"/>
      <c r="D132" s="274"/>
      <c r="E132" s="71"/>
      <c r="F132" s="71"/>
      <c r="G132" s="72"/>
      <c r="H132" s="73"/>
      <c r="I132" s="294"/>
      <c r="J132" s="342"/>
      <c r="K132" s="51"/>
      <c r="L132" s="51"/>
      <c r="M132" s="51"/>
      <c r="N132" s="338"/>
    </row>
    <row r="133" spans="1:14" ht="18.5" customHeight="1" thickBot="1">
      <c r="A133" s="328"/>
      <c r="B133" s="306" t="s">
        <v>330</v>
      </c>
      <c r="C133" s="307"/>
      <c r="D133" s="308" t="s">
        <v>329</v>
      </c>
      <c r="E133" s="309">
        <v>800</v>
      </c>
      <c r="F133" s="310" t="s">
        <v>85</v>
      </c>
      <c r="G133" s="311">
        <v>50</v>
      </c>
      <c r="H133" s="311">
        <f t="shared" ref="H133" si="3">E133*G133</f>
        <v>40000</v>
      </c>
      <c r="I133" s="232"/>
      <c r="J133" s="341"/>
      <c r="K133" s="19"/>
      <c r="L133" s="262"/>
      <c r="M133" s="19"/>
      <c r="N133" s="331"/>
    </row>
    <row r="134" spans="1:14" ht="15.5" thickBot="1">
      <c r="A134" s="236"/>
      <c r="B134" s="303"/>
      <c r="C134" s="298"/>
      <c r="D134" s="304"/>
      <c r="E134" s="300"/>
      <c r="F134" s="301"/>
      <c r="G134" s="292"/>
      <c r="H134" s="293"/>
      <c r="I134" s="294"/>
      <c r="J134" s="296"/>
      <c r="K134" s="295"/>
      <c r="L134" s="295"/>
      <c r="M134" s="295"/>
      <c r="N134" s="302"/>
    </row>
    <row r="135" spans="1:14">
      <c r="A135" s="252"/>
      <c r="B135" s="240"/>
      <c r="C135" s="274"/>
      <c r="D135" s="241"/>
      <c r="E135" s="253">
        <f>SUMIF($F$8:$F$134,"M.",$E$8:$E$134)</f>
        <v>1035.6999999999998</v>
      </c>
      <c r="F135" s="191" t="s">
        <v>147</v>
      </c>
      <c r="G135" s="249"/>
      <c r="H135" s="268">
        <f>SUMIF($F$8:$F$134,"M.",$H$8:$H$134)</f>
        <v>1400908</v>
      </c>
      <c r="I135" s="88"/>
      <c r="J135" s="89"/>
      <c r="K135" s="90"/>
      <c r="L135" s="90"/>
      <c r="M135" s="90"/>
      <c r="N135" s="91"/>
    </row>
    <row r="136" spans="1:14">
      <c r="A136" s="51"/>
      <c r="B136" s="21"/>
      <c r="C136" s="51"/>
      <c r="D136" s="92"/>
      <c r="E136" s="87">
        <f>SUMIF($F$8:$F$134,"PCS.",$E$8:$E$134)</f>
        <v>1312</v>
      </c>
      <c r="F136" s="86" t="s">
        <v>85</v>
      </c>
      <c r="G136" s="51"/>
      <c r="H136" s="269">
        <f>SUMIF($F$8:$F$134,"PCS.",$H$8:$H$134)</f>
        <v>576000</v>
      </c>
      <c r="I136" s="51"/>
      <c r="J136" s="93"/>
      <c r="K136" s="51"/>
      <c r="L136" s="51"/>
      <c r="M136" s="51"/>
      <c r="N136" s="94"/>
    </row>
    <row r="137" spans="1:14">
      <c r="A137" s="20"/>
      <c r="B137" s="63"/>
      <c r="C137" s="20"/>
      <c r="D137" s="275"/>
      <c r="E137" s="276"/>
      <c r="F137" s="277"/>
      <c r="G137" s="278"/>
      <c r="H137" s="279"/>
      <c r="I137" s="51"/>
      <c r="J137" s="93"/>
      <c r="K137" s="51"/>
      <c r="L137" s="51"/>
      <c r="M137" s="51"/>
      <c r="N137" s="94"/>
    </row>
    <row r="138" spans="1:14" ht="14" customHeight="1" thickBot="1">
      <c r="A138" s="280"/>
      <c r="B138" s="281" t="s">
        <v>144</v>
      </c>
      <c r="C138" s="282" t="s">
        <v>332</v>
      </c>
      <c r="D138" s="283"/>
      <c r="E138" s="281"/>
      <c r="F138" s="284"/>
      <c r="G138" s="19" t="s">
        <v>158</v>
      </c>
      <c r="H138" s="285">
        <f>SUM(H8:H134)</f>
        <v>1976908</v>
      </c>
      <c r="I138" s="232"/>
      <c r="J138" s="242"/>
      <c r="K138" s="243"/>
      <c r="L138" s="244"/>
      <c r="M138" s="230"/>
      <c r="N138" s="245"/>
    </row>
    <row r="142" spans="1:14">
      <c r="C142" s="3"/>
    </row>
    <row r="143" spans="1:14">
      <c r="C143" s="3"/>
    </row>
    <row r="190" spans="1:1">
      <c r="A190" s="7" t="s">
        <v>99</v>
      </c>
    </row>
  </sheetData>
  <mergeCells count="24">
    <mergeCell ref="A120:A133"/>
    <mergeCell ref="N120:N133"/>
    <mergeCell ref="A84:A118"/>
    <mergeCell ref="J84:J118"/>
    <mergeCell ref="N84:N118"/>
    <mergeCell ref="A78:A82"/>
    <mergeCell ref="N78:N82"/>
    <mergeCell ref="J120:J133"/>
    <mergeCell ref="A56:A76"/>
    <mergeCell ref="N56:N76"/>
    <mergeCell ref="A44:A54"/>
    <mergeCell ref="N44:N54"/>
    <mergeCell ref="A2:H2"/>
    <mergeCell ref="F4:G4"/>
    <mergeCell ref="A20:A24"/>
    <mergeCell ref="N20:N24"/>
    <mergeCell ref="A8:A12"/>
    <mergeCell ref="N8:N12"/>
    <mergeCell ref="A14:A18"/>
    <mergeCell ref="N14:N18"/>
    <mergeCell ref="A38:A42"/>
    <mergeCell ref="N38:N42"/>
    <mergeCell ref="A26:A36"/>
    <mergeCell ref="N26:N36"/>
  </mergeCells>
  <phoneticPr fontId="13"/>
  <pageMargins left="0.51181102362204722" right="0" top="0.74803149606299213" bottom="0.74803149606299213" header="0.31496062992125984" footer="0.31496062992125984"/>
  <pageSetup paperSize="9" scale="35" fitToWidth="0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5F18-F202-4962-A2BE-650BD0B58DD8}">
  <sheetPr>
    <tabColor rgb="FFFF0000"/>
    <pageSetUpPr fitToPage="1"/>
  </sheetPr>
  <dimension ref="A1:I18"/>
  <sheetViews>
    <sheetView view="pageBreakPreview" zoomScale="30" zoomScaleNormal="90" zoomScaleSheetLayoutView="30" workbookViewId="0">
      <selection activeCell="L8" sqref="L8"/>
    </sheetView>
  </sheetViews>
  <sheetFormatPr defaultRowHeight="31.5"/>
  <cols>
    <col min="1" max="1" width="14.453125" customWidth="1"/>
    <col min="2" max="2" width="40.90625" style="212" customWidth="1"/>
    <col min="3" max="3" width="41.36328125" style="213" customWidth="1"/>
    <col min="4" max="4" width="86.08984375" style="213" customWidth="1"/>
    <col min="5" max="5" width="42.08984375" style="213" customWidth="1"/>
    <col min="6" max="6" width="38.1796875" style="215" customWidth="1"/>
    <col min="7" max="7" width="67.26953125" style="215" customWidth="1"/>
    <col min="8" max="8" width="42.1796875" style="216" customWidth="1"/>
    <col min="9" max="9" width="34.90625" style="217" customWidth="1"/>
    <col min="10" max="16" width="34.90625" customWidth="1"/>
  </cols>
  <sheetData>
    <row r="1" spans="1:9">
      <c r="D1" s="214" t="s">
        <v>149</v>
      </c>
    </row>
    <row r="2" spans="1:9" s="222" customFormat="1" ht="88.4" customHeight="1" thickBot="1">
      <c r="A2" s="218"/>
      <c r="B2" s="219" t="s">
        <v>150</v>
      </c>
      <c r="C2" s="220" t="s">
        <v>151</v>
      </c>
      <c r="D2" s="220"/>
      <c r="E2" s="220" t="s">
        <v>152</v>
      </c>
      <c r="F2" s="221" t="s">
        <v>153</v>
      </c>
      <c r="G2" s="221" t="s">
        <v>154</v>
      </c>
      <c r="H2" s="220" t="s">
        <v>155</v>
      </c>
      <c r="I2" s="221" t="s">
        <v>156</v>
      </c>
    </row>
    <row r="3" spans="1:9" ht="194.9" customHeight="1" thickBot="1">
      <c r="A3" s="223"/>
      <c r="B3" s="224" t="s">
        <v>333</v>
      </c>
      <c r="C3" s="225" t="s">
        <v>363</v>
      </c>
      <c r="D3" s="226" t="s">
        <v>344</v>
      </c>
      <c r="E3" s="227" t="s">
        <v>356</v>
      </c>
      <c r="F3" s="228" t="s">
        <v>100</v>
      </c>
      <c r="G3" s="228"/>
      <c r="H3" s="228" t="s">
        <v>358</v>
      </c>
      <c r="I3" s="343">
        <v>33</v>
      </c>
    </row>
    <row r="4" spans="1:9" ht="194.9" customHeight="1" thickBot="1">
      <c r="A4" s="223"/>
      <c r="B4" s="224" t="s">
        <v>334</v>
      </c>
      <c r="C4" s="225" t="s">
        <v>364</v>
      </c>
      <c r="D4" s="226" t="s">
        <v>345</v>
      </c>
      <c r="E4" s="227" t="s">
        <v>356</v>
      </c>
      <c r="F4" s="228" t="s">
        <v>146</v>
      </c>
      <c r="G4" s="228"/>
      <c r="H4" s="228" t="s">
        <v>159</v>
      </c>
      <c r="I4" s="344"/>
    </row>
    <row r="5" spans="1:9" ht="194.9" customHeight="1" thickBot="1">
      <c r="A5" s="223"/>
      <c r="B5" s="224" t="s">
        <v>335</v>
      </c>
      <c r="C5" s="225" t="s">
        <v>303</v>
      </c>
      <c r="D5" s="226" t="s">
        <v>346</v>
      </c>
      <c r="E5" s="227" t="s">
        <v>356</v>
      </c>
      <c r="F5" s="228" t="s">
        <v>357</v>
      </c>
      <c r="G5" s="228"/>
      <c r="H5" s="228" t="s">
        <v>159</v>
      </c>
      <c r="I5" s="344"/>
    </row>
    <row r="6" spans="1:9" ht="194.9" customHeight="1" thickBot="1">
      <c r="A6" s="223"/>
      <c r="B6" s="224" t="s">
        <v>336</v>
      </c>
      <c r="C6" s="225" t="s">
        <v>303</v>
      </c>
      <c r="D6" s="226" t="s">
        <v>347</v>
      </c>
      <c r="E6" s="227" t="s">
        <v>356</v>
      </c>
      <c r="F6" s="228" t="s">
        <v>146</v>
      </c>
      <c r="G6" s="228"/>
      <c r="H6" s="228" t="s">
        <v>359</v>
      </c>
      <c r="I6" s="344"/>
    </row>
    <row r="7" spans="1:9" ht="194.9" customHeight="1" thickBot="1">
      <c r="A7" s="223"/>
      <c r="B7" s="224" t="s">
        <v>337</v>
      </c>
      <c r="C7" s="225" t="s">
        <v>365</v>
      </c>
      <c r="D7" s="226" t="s">
        <v>348</v>
      </c>
      <c r="E7" s="227" t="s">
        <v>356</v>
      </c>
      <c r="F7" s="228" t="s">
        <v>146</v>
      </c>
      <c r="G7" s="228"/>
      <c r="H7" s="228" t="s">
        <v>362</v>
      </c>
      <c r="I7" s="344"/>
    </row>
    <row r="8" spans="1:9" ht="194.9" customHeight="1" thickBot="1">
      <c r="A8" s="223"/>
      <c r="B8" s="224" t="s">
        <v>338</v>
      </c>
      <c r="C8" s="225" t="s">
        <v>366</v>
      </c>
      <c r="D8" s="226" t="s">
        <v>349</v>
      </c>
      <c r="E8" s="227" t="s">
        <v>356</v>
      </c>
      <c r="F8" s="228" t="s">
        <v>146</v>
      </c>
      <c r="G8" s="228"/>
      <c r="H8" s="228" t="s">
        <v>159</v>
      </c>
      <c r="I8" s="344"/>
    </row>
    <row r="9" spans="1:9" ht="194.9" customHeight="1" thickBot="1">
      <c r="A9" s="223"/>
      <c r="B9" s="224" t="s">
        <v>338</v>
      </c>
      <c r="C9" s="225" t="s">
        <v>299</v>
      </c>
      <c r="D9" s="226" t="s">
        <v>350</v>
      </c>
      <c r="E9" s="227" t="s">
        <v>356</v>
      </c>
      <c r="F9" s="228" t="s">
        <v>146</v>
      </c>
      <c r="G9" s="228"/>
      <c r="H9" s="228" t="s">
        <v>159</v>
      </c>
      <c r="I9" s="344"/>
    </row>
    <row r="10" spans="1:9" ht="194.9" customHeight="1" thickBot="1">
      <c r="A10" s="223"/>
      <c r="B10" s="224" t="s">
        <v>339</v>
      </c>
      <c r="C10" s="225" t="s">
        <v>365</v>
      </c>
      <c r="D10" s="226" t="s">
        <v>351</v>
      </c>
      <c r="E10" s="227" t="s">
        <v>356</v>
      </c>
      <c r="F10" s="228" t="s">
        <v>146</v>
      </c>
      <c r="G10" s="228"/>
      <c r="H10" s="228" t="s">
        <v>359</v>
      </c>
      <c r="I10" s="344"/>
    </row>
    <row r="11" spans="1:9" ht="194.9" customHeight="1" thickBot="1">
      <c r="A11" s="223"/>
      <c r="B11" s="224" t="s">
        <v>340</v>
      </c>
      <c r="C11" s="225" t="s">
        <v>365</v>
      </c>
      <c r="D11" s="226" t="s">
        <v>352</v>
      </c>
      <c r="E11" s="227" t="s">
        <v>356</v>
      </c>
      <c r="F11" s="228" t="s">
        <v>146</v>
      </c>
      <c r="G11" s="228"/>
      <c r="H11" s="228" t="s">
        <v>362</v>
      </c>
      <c r="I11" s="344"/>
    </row>
    <row r="12" spans="1:9" ht="194.9" customHeight="1" thickBot="1">
      <c r="A12" s="223"/>
      <c r="B12" s="224" t="s">
        <v>341</v>
      </c>
      <c r="C12" s="225" t="s">
        <v>367</v>
      </c>
      <c r="D12" s="226" t="s">
        <v>353</v>
      </c>
      <c r="E12" s="227" t="s">
        <v>356</v>
      </c>
      <c r="F12" s="228" t="s">
        <v>146</v>
      </c>
      <c r="G12" s="228"/>
      <c r="H12" s="228" t="s">
        <v>360</v>
      </c>
      <c r="I12" s="344"/>
    </row>
    <row r="13" spans="1:9" ht="194.9" customHeight="1" thickBot="1">
      <c r="A13" s="223"/>
      <c r="B13" s="224" t="s">
        <v>342</v>
      </c>
      <c r="C13" s="225" t="s">
        <v>368</v>
      </c>
      <c r="D13" s="226" t="s">
        <v>354</v>
      </c>
      <c r="E13" s="227" t="s">
        <v>356</v>
      </c>
      <c r="F13" s="228" t="s">
        <v>146</v>
      </c>
      <c r="G13" s="228"/>
      <c r="H13" s="228" t="s">
        <v>360</v>
      </c>
      <c r="I13" s="344"/>
    </row>
    <row r="14" spans="1:9" ht="194.9" customHeight="1" thickBot="1">
      <c r="A14" s="223"/>
      <c r="B14" s="224" t="s">
        <v>343</v>
      </c>
      <c r="C14" s="225" t="s">
        <v>367</v>
      </c>
      <c r="D14" s="226" t="s">
        <v>355</v>
      </c>
      <c r="E14" s="227" t="s">
        <v>356</v>
      </c>
      <c r="F14" s="228" t="s">
        <v>146</v>
      </c>
      <c r="G14" s="228"/>
      <c r="H14" s="228" t="s">
        <v>360</v>
      </c>
      <c r="I14" s="345"/>
    </row>
    <row r="15" spans="1:9" ht="194.9" customHeight="1" thickBot="1">
      <c r="A15" s="223"/>
      <c r="B15" s="224"/>
      <c r="C15" s="225"/>
      <c r="D15" s="226"/>
      <c r="E15" s="227"/>
      <c r="F15" s="228"/>
      <c r="G15" s="228"/>
      <c r="H15" s="228"/>
      <c r="I15" s="229"/>
    </row>
    <row r="16" spans="1:9" ht="194.9" customHeight="1">
      <c r="A16" s="223"/>
      <c r="B16" s="224"/>
      <c r="C16" s="225"/>
      <c r="D16" s="226"/>
      <c r="E16" s="227"/>
      <c r="F16" s="228"/>
      <c r="G16" s="228"/>
      <c r="H16" s="228"/>
      <c r="I16" s="229"/>
    </row>
    <row r="17" ht="134.15" customHeight="1"/>
    <row r="18" ht="134.15" customHeight="1"/>
  </sheetData>
  <mergeCells count="1">
    <mergeCell ref="I3:I14"/>
  </mergeCells>
  <phoneticPr fontId="13"/>
  <pageMargins left="0.51181102362204722" right="0" top="0.74803149606299213" bottom="0.74803149606299213" header="0.31496062992125984" footer="0.31496062992125984"/>
  <pageSetup paperSize="9" scale="23" fitToHeight="0" orientation="portrait" r:id="rId1"/>
  <headerFooter>
    <oddFooter>&amp;C&amp;"Century Gothic,太字"&amp;10&amp;  -   P A G E  3- &amp;P  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116-90FB-4047-B450-817A19232B01}">
  <sheetPr>
    <pageSetUpPr fitToPage="1"/>
  </sheetPr>
  <dimension ref="A1:D161"/>
  <sheetViews>
    <sheetView tabSelected="1" view="pageBreakPreview" topLeftCell="A40" zoomScale="70" zoomScaleNormal="70" zoomScaleSheetLayoutView="70" workbookViewId="0">
      <selection activeCell="I78" sqref="I78"/>
    </sheetView>
  </sheetViews>
  <sheetFormatPr defaultRowHeight="15"/>
  <cols>
    <col min="1" max="1" width="7.90625" customWidth="1"/>
    <col min="2" max="2" width="38.08984375" style="178" customWidth="1"/>
    <col min="3" max="3" width="81.6328125" customWidth="1"/>
    <col min="4" max="4" width="23.6328125" customWidth="1"/>
  </cols>
  <sheetData>
    <row r="1" spans="1:4" ht="17.5" customHeight="1">
      <c r="A1" s="146"/>
    </row>
    <row r="2" spans="1:4" ht="15" customHeight="1">
      <c r="A2" s="346" t="s">
        <v>141</v>
      </c>
      <c r="B2" s="346"/>
      <c r="C2" s="179"/>
    </row>
    <row r="3" spans="1:4" ht="15.65" customHeight="1" thickBot="1">
      <c r="A3" s="180"/>
      <c r="B3" s="181"/>
      <c r="C3" s="180"/>
    </row>
    <row r="4" spans="1:4" ht="21.75" customHeight="1" thickBot="1">
      <c r="A4" s="182" t="s">
        <v>36</v>
      </c>
      <c r="B4" s="24" t="s">
        <v>96</v>
      </c>
      <c r="C4" s="43" t="s">
        <v>87</v>
      </c>
      <c r="D4" s="183" t="s">
        <v>142</v>
      </c>
    </row>
    <row r="5" spans="1:4" ht="16" customHeight="1">
      <c r="A5" s="326" t="s">
        <v>181</v>
      </c>
      <c r="B5" s="29"/>
      <c r="C5" s="190" t="s">
        <v>176</v>
      </c>
      <c r="D5" s="184"/>
    </row>
    <row r="6" spans="1:4" ht="16" customHeight="1">
      <c r="A6" s="327"/>
      <c r="B6" s="30" t="s">
        <v>174</v>
      </c>
      <c r="C6" s="21" t="s">
        <v>146</v>
      </c>
      <c r="D6" s="265" t="s">
        <v>371</v>
      </c>
    </row>
    <row r="7" spans="1:4" ht="16" customHeight="1">
      <c r="A7" s="327"/>
      <c r="B7" s="21" t="s">
        <v>146</v>
      </c>
      <c r="C7" s="233" t="s">
        <v>177</v>
      </c>
      <c r="D7" s="185" t="s">
        <v>65</v>
      </c>
    </row>
    <row r="8" spans="1:4" ht="16" customHeight="1">
      <c r="A8" s="327"/>
      <c r="B8" s="33" t="s">
        <v>166</v>
      </c>
      <c r="C8" s="32" t="s">
        <v>178</v>
      </c>
      <c r="D8" s="265"/>
    </row>
    <row r="9" spans="1:4" ht="16" customHeight="1" thickBot="1">
      <c r="A9" s="328"/>
      <c r="B9" s="35" t="s">
        <v>160</v>
      </c>
      <c r="C9" s="34"/>
      <c r="D9" s="266"/>
    </row>
    <row r="10" spans="1:4" ht="15" customHeight="1" thickBot="1">
      <c r="A10" s="235"/>
      <c r="B10" s="202"/>
      <c r="C10" s="203"/>
      <c r="D10" s="250"/>
    </row>
    <row r="11" spans="1:4" ht="21.75" customHeight="1" thickBot="1">
      <c r="A11" s="182" t="s">
        <v>36</v>
      </c>
      <c r="B11" s="24" t="s">
        <v>96</v>
      </c>
      <c r="C11" s="267" t="s">
        <v>87</v>
      </c>
      <c r="D11" s="183" t="s">
        <v>142</v>
      </c>
    </row>
    <row r="12" spans="1:4" ht="17" customHeight="1">
      <c r="A12" s="326" t="s">
        <v>182</v>
      </c>
      <c r="B12" s="29"/>
      <c r="C12" s="190" t="s">
        <v>188</v>
      </c>
      <c r="D12" s="197"/>
    </row>
    <row r="13" spans="1:4" ht="16.399999999999999" customHeight="1">
      <c r="A13" s="327"/>
      <c r="B13" s="202" t="s">
        <v>183</v>
      </c>
      <c r="C13" s="21" t="s">
        <v>157</v>
      </c>
      <c r="D13" s="185" t="s">
        <v>370</v>
      </c>
    </row>
    <row r="14" spans="1:4" ht="15" customHeight="1">
      <c r="A14" s="327"/>
      <c r="B14" s="21" t="s">
        <v>157</v>
      </c>
      <c r="C14" s="233" t="s">
        <v>190</v>
      </c>
      <c r="D14" s="185" t="s">
        <v>65</v>
      </c>
    </row>
    <row r="15" spans="1:4" ht="15" customHeight="1">
      <c r="A15" s="327"/>
      <c r="B15" s="33" t="s">
        <v>193</v>
      </c>
      <c r="C15" s="32" t="s">
        <v>191</v>
      </c>
      <c r="D15" s="185"/>
    </row>
    <row r="16" spans="1:4" ht="15" customHeight="1" thickBot="1">
      <c r="A16" s="328"/>
      <c r="B16" s="35" t="s">
        <v>189</v>
      </c>
      <c r="C16" s="34"/>
      <c r="D16" s="251"/>
    </row>
    <row r="17" spans="1:4" ht="15" customHeight="1" thickBot="1">
      <c r="A17" s="236"/>
      <c r="B17" s="35"/>
      <c r="C17" s="315"/>
      <c r="D17" s="316"/>
    </row>
    <row r="18" spans="1:4" ht="21.75" customHeight="1" thickBot="1">
      <c r="A18" s="182" t="s">
        <v>36</v>
      </c>
      <c r="B18" s="24" t="s">
        <v>96</v>
      </c>
      <c r="C18" s="267" t="s">
        <v>87</v>
      </c>
      <c r="D18" s="183" t="s">
        <v>142</v>
      </c>
    </row>
    <row r="19" spans="1:4" ht="16.5" customHeight="1">
      <c r="A19" s="326" t="s">
        <v>200</v>
      </c>
      <c r="B19" s="29"/>
      <c r="C19" s="190" t="s">
        <v>187</v>
      </c>
      <c r="D19" s="185"/>
    </row>
    <row r="20" spans="1:4" ht="16.399999999999999" customHeight="1">
      <c r="A20" s="327"/>
      <c r="B20" s="202" t="s">
        <v>194</v>
      </c>
      <c r="C20" s="21" t="s">
        <v>184</v>
      </c>
      <c r="D20" s="185" t="s">
        <v>370</v>
      </c>
    </row>
    <row r="21" spans="1:4" ht="15" customHeight="1">
      <c r="A21" s="327"/>
      <c r="B21" s="21" t="s">
        <v>157</v>
      </c>
      <c r="C21" s="203" t="s">
        <v>196</v>
      </c>
      <c r="D21" s="185" t="s">
        <v>369</v>
      </c>
    </row>
    <row r="22" spans="1:4" ht="15" customHeight="1">
      <c r="A22" s="327"/>
      <c r="B22" s="33" t="s">
        <v>195</v>
      </c>
      <c r="C22" s="31" t="s">
        <v>197</v>
      </c>
      <c r="D22" s="185"/>
    </row>
    <row r="23" spans="1:4" ht="15" customHeight="1" thickBot="1">
      <c r="A23" s="328"/>
      <c r="B23" s="35" t="s">
        <v>189</v>
      </c>
      <c r="C23" s="34"/>
      <c r="D23" s="189"/>
    </row>
    <row r="24" spans="1:4" ht="15" customHeight="1" thickBot="1">
      <c r="A24" s="236"/>
      <c r="B24" s="35"/>
      <c r="C24" s="34"/>
      <c r="D24" s="186"/>
    </row>
    <row r="25" spans="1:4" ht="21.75" customHeight="1" thickBot="1">
      <c r="A25" s="182" t="s">
        <v>36</v>
      </c>
      <c r="B25" s="24" t="s">
        <v>96</v>
      </c>
      <c r="C25" s="314" t="s">
        <v>87</v>
      </c>
      <c r="D25" s="183" t="s">
        <v>142</v>
      </c>
    </row>
    <row r="26" spans="1:4" ht="16.5" customHeight="1">
      <c r="A26" s="326" t="s">
        <v>229</v>
      </c>
      <c r="B26" s="29"/>
      <c r="C26" s="190" t="s">
        <v>210</v>
      </c>
      <c r="D26" s="185"/>
    </row>
    <row r="27" spans="1:4" ht="16.399999999999999" customHeight="1">
      <c r="A27" s="327"/>
      <c r="B27" s="202" t="s">
        <v>201</v>
      </c>
      <c r="C27" s="21" t="s">
        <v>184</v>
      </c>
      <c r="D27" s="185"/>
    </row>
    <row r="28" spans="1:4" ht="15" customHeight="1">
      <c r="A28" s="327"/>
      <c r="B28" s="21" t="s">
        <v>184</v>
      </c>
      <c r="C28" s="203" t="s">
        <v>171</v>
      </c>
      <c r="D28" s="185"/>
    </row>
    <row r="29" spans="1:4" ht="15" customHeight="1">
      <c r="A29" s="327"/>
      <c r="B29" s="33" t="s">
        <v>202</v>
      </c>
      <c r="C29" s="31" t="s">
        <v>211</v>
      </c>
      <c r="D29" s="185"/>
    </row>
    <row r="30" spans="1:4" ht="15" customHeight="1" thickBot="1">
      <c r="A30" s="327"/>
      <c r="B30" s="35" t="s">
        <v>167</v>
      </c>
      <c r="C30" s="34"/>
      <c r="D30" s="313"/>
    </row>
    <row r="31" spans="1:4" ht="21.75" customHeight="1" thickBot="1">
      <c r="A31" s="327"/>
      <c r="B31" s="196"/>
      <c r="C31" s="32"/>
      <c r="D31" s="265" t="s">
        <v>371</v>
      </c>
    </row>
    <row r="32" spans="1:4" ht="16.5" customHeight="1">
      <c r="A32" s="327"/>
      <c r="B32" s="29"/>
      <c r="C32" s="190" t="s">
        <v>209</v>
      </c>
      <c r="D32" s="265" t="s">
        <v>369</v>
      </c>
    </row>
    <row r="33" spans="1:4" ht="16.399999999999999" customHeight="1">
      <c r="A33" s="327"/>
      <c r="B33" s="202" t="s">
        <v>214</v>
      </c>
      <c r="C33" s="21" t="s">
        <v>184</v>
      </c>
      <c r="D33" s="185"/>
    </row>
    <row r="34" spans="1:4" ht="15" customHeight="1">
      <c r="A34" s="327"/>
      <c r="B34" s="21" t="s">
        <v>184</v>
      </c>
      <c r="C34" s="203" t="s">
        <v>216</v>
      </c>
      <c r="D34" s="185"/>
    </row>
    <row r="35" spans="1:4" ht="15" customHeight="1">
      <c r="A35" s="327"/>
      <c r="B35" s="33" t="s">
        <v>215</v>
      </c>
      <c r="C35" s="31" t="s">
        <v>217</v>
      </c>
      <c r="D35" s="185"/>
    </row>
    <row r="36" spans="1:4" ht="15" customHeight="1" thickBot="1">
      <c r="A36" s="328"/>
      <c r="B36" s="35" t="s">
        <v>167</v>
      </c>
      <c r="C36" s="34"/>
      <c r="D36" s="189"/>
    </row>
    <row r="37" spans="1:4" ht="15" customHeight="1" thickBot="1">
      <c r="A37" s="235"/>
      <c r="B37" s="202"/>
      <c r="C37" s="203"/>
      <c r="D37" s="250"/>
    </row>
    <row r="38" spans="1:4" ht="21.75" customHeight="1" thickBot="1">
      <c r="A38" s="182" t="s">
        <v>36</v>
      </c>
      <c r="B38" s="24" t="s">
        <v>96</v>
      </c>
      <c r="C38" s="267" t="s">
        <v>87</v>
      </c>
      <c r="D38" s="183" t="s">
        <v>142</v>
      </c>
    </row>
    <row r="39" spans="1:4" ht="17" customHeight="1">
      <c r="A39" s="326" t="s">
        <v>226</v>
      </c>
      <c r="B39" s="29"/>
      <c r="C39" s="190" t="s">
        <v>223</v>
      </c>
      <c r="D39" s="197"/>
    </row>
    <row r="40" spans="1:4" ht="16.399999999999999" customHeight="1">
      <c r="A40" s="327"/>
      <c r="B40" s="202" t="s">
        <v>218</v>
      </c>
      <c r="C40" s="21" t="s">
        <v>146</v>
      </c>
      <c r="D40" s="185" t="s">
        <v>370</v>
      </c>
    </row>
    <row r="41" spans="1:4" ht="15" customHeight="1">
      <c r="A41" s="327"/>
      <c r="B41" s="21" t="s">
        <v>146</v>
      </c>
      <c r="C41" s="233" t="s">
        <v>224</v>
      </c>
      <c r="D41" s="185" t="s">
        <v>369</v>
      </c>
    </row>
    <row r="42" spans="1:4" ht="15" customHeight="1">
      <c r="A42" s="327"/>
      <c r="B42" s="33" t="s">
        <v>219</v>
      </c>
      <c r="C42" s="32" t="s">
        <v>225</v>
      </c>
      <c r="D42" s="185"/>
    </row>
    <row r="43" spans="1:4" ht="15" customHeight="1" thickBot="1">
      <c r="A43" s="328"/>
      <c r="B43" s="35" t="s">
        <v>160</v>
      </c>
      <c r="C43" s="34"/>
      <c r="D43" s="185"/>
    </row>
    <row r="44" spans="1:4" ht="15" customHeight="1" thickBot="1">
      <c r="A44" s="236"/>
      <c r="B44" s="35"/>
      <c r="C44" s="34"/>
      <c r="D44" s="186"/>
    </row>
    <row r="45" spans="1:4" ht="21.75" customHeight="1" thickBot="1">
      <c r="A45" s="182" t="s">
        <v>36</v>
      </c>
      <c r="B45" s="24" t="s">
        <v>96</v>
      </c>
      <c r="C45" s="267" t="s">
        <v>87</v>
      </c>
      <c r="D45" s="183" t="s">
        <v>142</v>
      </c>
    </row>
    <row r="46" spans="1:4" ht="16.5" customHeight="1">
      <c r="A46" s="326" t="s">
        <v>241</v>
      </c>
      <c r="B46" s="29"/>
      <c r="C46" s="190" t="s">
        <v>233</v>
      </c>
      <c r="D46" s="185"/>
    </row>
    <row r="47" spans="1:4" ht="16.399999999999999" customHeight="1">
      <c r="A47" s="327"/>
      <c r="B47" s="202" t="s">
        <v>230</v>
      </c>
      <c r="C47" s="21" t="s">
        <v>184</v>
      </c>
      <c r="D47" s="185"/>
    </row>
    <row r="48" spans="1:4" ht="15" customHeight="1">
      <c r="A48" s="327"/>
      <c r="B48" s="21" t="s">
        <v>157</v>
      </c>
      <c r="C48" s="203" t="s">
        <v>234</v>
      </c>
      <c r="D48" s="185"/>
    </row>
    <row r="49" spans="1:4" ht="15" customHeight="1">
      <c r="A49" s="327"/>
      <c r="B49" s="33" t="s">
        <v>231</v>
      </c>
      <c r="C49" s="31" t="s">
        <v>235</v>
      </c>
      <c r="D49" s="185"/>
    </row>
    <row r="50" spans="1:4" ht="15" customHeight="1" thickBot="1">
      <c r="A50" s="327"/>
      <c r="B50" s="35" t="s">
        <v>189</v>
      </c>
      <c r="C50" s="34"/>
      <c r="D50" s="313"/>
    </row>
    <row r="51" spans="1:4" ht="21.75" customHeight="1" thickBot="1">
      <c r="A51" s="327"/>
      <c r="B51" s="196"/>
      <c r="C51" s="32"/>
      <c r="D51" s="265" t="s">
        <v>371</v>
      </c>
    </row>
    <row r="52" spans="1:4" ht="16.5" customHeight="1">
      <c r="A52" s="327"/>
      <c r="B52" s="29"/>
      <c r="C52" s="190" t="s">
        <v>239</v>
      </c>
      <c r="D52" s="265" t="s">
        <v>65</v>
      </c>
    </row>
    <row r="53" spans="1:4" ht="16.399999999999999" customHeight="1">
      <c r="A53" s="327"/>
      <c r="B53" s="202" t="s">
        <v>236</v>
      </c>
      <c r="C53" s="21" t="s">
        <v>146</v>
      </c>
      <c r="D53" s="185"/>
    </row>
    <row r="54" spans="1:4" ht="15" customHeight="1">
      <c r="A54" s="327"/>
      <c r="B54" s="21" t="s">
        <v>146</v>
      </c>
      <c r="C54" s="291" t="s">
        <v>261</v>
      </c>
      <c r="D54" s="185"/>
    </row>
    <row r="55" spans="1:4" ht="15" customHeight="1">
      <c r="A55" s="327"/>
      <c r="B55" s="33" t="s">
        <v>237</v>
      </c>
      <c r="C55" s="31" t="s">
        <v>240</v>
      </c>
      <c r="D55" s="185"/>
    </row>
    <row r="56" spans="1:4" ht="15" customHeight="1" thickBot="1">
      <c r="A56" s="328"/>
      <c r="B56" s="35" t="s">
        <v>160</v>
      </c>
      <c r="C56" s="34"/>
      <c r="D56" s="189"/>
    </row>
    <row r="57" spans="1:4" ht="15" customHeight="1" thickBot="1">
      <c r="A57" s="236"/>
      <c r="B57" s="35"/>
      <c r="C57" s="34"/>
      <c r="D57" s="186"/>
    </row>
    <row r="58" spans="1:4" ht="21.75" customHeight="1" thickBot="1">
      <c r="A58" s="182" t="s">
        <v>36</v>
      </c>
      <c r="B58" s="24" t="s">
        <v>96</v>
      </c>
      <c r="C58" s="267" t="s">
        <v>87</v>
      </c>
      <c r="D58" s="183" t="s">
        <v>142</v>
      </c>
    </row>
    <row r="59" spans="1:4" ht="16.5" customHeight="1">
      <c r="A59" s="335" t="s">
        <v>256</v>
      </c>
      <c r="B59" s="29"/>
      <c r="C59" s="190" t="s">
        <v>254</v>
      </c>
      <c r="D59" s="185"/>
    </row>
    <row r="60" spans="1:4" ht="16.399999999999999" customHeight="1">
      <c r="A60" s="336"/>
      <c r="B60" s="202" t="s">
        <v>244</v>
      </c>
      <c r="C60" s="21" t="s">
        <v>146</v>
      </c>
      <c r="D60" s="185"/>
    </row>
    <row r="61" spans="1:4" ht="15" customHeight="1">
      <c r="A61" s="336"/>
      <c r="B61" s="21" t="s">
        <v>146</v>
      </c>
      <c r="C61" s="233" t="s">
        <v>361</v>
      </c>
      <c r="D61" s="185"/>
    </row>
    <row r="62" spans="1:4" ht="15" customHeight="1">
      <c r="A62" s="336"/>
      <c r="B62" s="33" t="s">
        <v>245</v>
      </c>
      <c r="C62" s="32" t="s">
        <v>225</v>
      </c>
      <c r="D62" s="185"/>
    </row>
    <row r="63" spans="1:4" ht="15" customHeight="1">
      <c r="A63" s="336"/>
      <c r="B63" s="286" t="s">
        <v>160</v>
      </c>
      <c r="C63" s="273"/>
      <c r="D63" s="313"/>
    </row>
    <row r="64" spans="1:4" ht="16.5" customHeight="1" thickBot="1">
      <c r="A64" s="336"/>
      <c r="B64" s="35"/>
      <c r="C64" s="34"/>
      <c r="D64" s="265" t="s">
        <v>371</v>
      </c>
    </row>
    <row r="65" spans="1:4" ht="16.5" customHeight="1" thickBot="1">
      <c r="A65" s="336"/>
      <c r="B65" s="202"/>
      <c r="C65" s="203"/>
      <c r="D65" s="185" t="s">
        <v>65</v>
      </c>
    </row>
    <row r="66" spans="1:4" ht="16.399999999999999" customHeight="1">
      <c r="A66" s="336"/>
      <c r="B66" s="350"/>
      <c r="C66" s="190" t="s">
        <v>291</v>
      </c>
      <c r="D66" s="185"/>
    </row>
    <row r="67" spans="1:4" ht="15" customHeight="1">
      <c r="A67" s="336"/>
      <c r="B67" s="355" t="s">
        <v>298</v>
      </c>
      <c r="C67" s="357" t="s">
        <v>146</v>
      </c>
      <c r="D67" s="185"/>
    </row>
    <row r="68" spans="1:4" ht="15" customHeight="1">
      <c r="A68" s="336"/>
      <c r="B68" s="357" t="s">
        <v>146</v>
      </c>
      <c r="C68" s="366" t="s">
        <v>190</v>
      </c>
      <c r="D68" s="185"/>
    </row>
    <row r="69" spans="1:4" ht="15" customHeight="1">
      <c r="A69" s="336"/>
      <c r="B69" s="368" t="s">
        <v>269</v>
      </c>
      <c r="C69" s="369" t="s">
        <v>300</v>
      </c>
      <c r="D69" s="378"/>
    </row>
    <row r="70" spans="1:4" ht="15" customHeight="1" thickBot="1">
      <c r="A70" s="336"/>
      <c r="B70" s="370" t="s">
        <v>189</v>
      </c>
      <c r="C70" s="372"/>
      <c r="D70" s="313"/>
    </row>
    <row r="71" spans="1:4" ht="16.5" customHeight="1" thickBot="1">
      <c r="A71" s="336"/>
      <c r="B71" s="202"/>
      <c r="C71" s="203"/>
      <c r="D71" s="185"/>
    </row>
    <row r="72" spans="1:4" ht="16.399999999999999" customHeight="1">
      <c r="A72" s="336"/>
      <c r="B72" s="29"/>
      <c r="C72" s="190" t="s">
        <v>376</v>
      </c>
      <c r="D72" s="185"/>
    </row>
    <row r="73" spans="1:4" ht="15" customHeight="1">
      <c r="A73" s="336"/>
      <c r="B73" s="30" t="s">
        <v>377</v>
      </c>
      <c r="C73" s="21" t="s">
        <v>146</v>
      </c>
      <c r="D73" s="185"/>
    </row>
    <row r="74" spans="1:4" ht="15" customHeight="1">
      <c r="A74" s="336"/>
      <c r="B74" s="21" t="s">
        <v>146</v>
      </c>
      <c r="C74" s="233" t="s">
        <v>379</v>
      </c>
      <c r="D74" s="185"/>
    </row>
    <row r="75" spans="1:4" ht="15" customHeight="1" thickBot="1">
      <c r="A75" s="336"/>
      <c r="B75" s="33" t="s">
        <v>245</v>
      </c>
      <c r="C75" s="32" t="s">
        <v>380</v>
      </c>
      <c r="D75" s="189"/>
    </row>
    <row r="76" spans="1:4" ht="15" customHeight="1" thickBot="1">
      <c r="A76" s="337"/>
      <c r="B76" s="35" t="s">
        <v>189</v>
      </c>
      <c r="C76" s="34"/>
      <c r="D76" s="189"/>
    </row>
    <row r="77" spans="1:4" ht="15" customHeight="1" thickBot="1">
      <c r="A77" s="235"/>
      <c r="B77" s="202"/>
      <c r="C77" s="203"/>
      <c r="D77" s="250"/>
    </row>
    <row r="78" spans="1:4" ht="21.75" customHeight="1" thickBot="1">
      <c r="A78" s="182" t="s">
        <v>36</v>
      </c>
      <c r="B78" s="24" t="s">
        <v>96</v>
      </c>
      <c r="C78" s="314" t="s">
        <v>87</v>
      </c>
      <c r="D78" s="183" t="s">
        <v>142</v>
      </c>
    </row>
    <row r="79" spans="1:4" ht="17" customHeight="1">
      <c r="A79" s="326" t="s">
        <v>296</v>
      </c>
      <c r="B79" s="29"/>
      <c r="C79" s="190" t="s">
        <v>272</v>
      </c>
      <c r="D79" s="312"/>
    </row>
    <row r="80" spans="1:4" ht="16.399999999999999" customHeight="1">
      <c r="A80" s="327"/>
      <c r="B80" s="202" t="s">
        <v>268</v>
      </c>
      <c r="C80" s="21" t="s">
        <v>146</v>
      </c>
      <c r="D80" s="185"/>
    </row>
    <row r="81" spans="1:4" ht="15" customHeight="1">
      <c r="A81" s="327"/>
      <c r="B81" s="21" t="s">
        <v>146</v>
      </c>
      <c r="C81" s="233" t="s">
        <v>190</v>
      </c>
      <c r="D81" s="185"/>
    </row>
    <row r="82" spans="1:4" ht="15" customHeight="1">
      <c r="A82" s="327"/>
      <c r="B82" s="33" t="s">
        <v>269</v>
      </c>
      <c r="C82" s="32" t="s">
        <v>273</v>
      </c>
      <c r="D82" s="185"/>
    </row>
    <row r="83" spans="1:4" ht="15" customHeight="1" thickBot="1">
      <c r="A83" s="327"/>
      <c r="B83" s="35" t="s">
        <v>189</v>
      </c>
      <c r="C83" s="34"/>
      <c r="D83" s="185"/>
    </row>
    <row r="84" spans="1:4" ht="15" customHeight="1" thickBot="1">
      <c r="A84" s="327"/>
      <c r="B84" s="202"/>
      <c r="C84" s="203"/>
      <c r="D84" s="313"/>
    </row>
    <row r="85" spans="1:4" ht="21.75" customHeight="1">
      <c r="A85" s="327"/>
      <c r="B85" s="29"/>
      <c r="C85" s="190" t="s">
        <v>210</v>
      </c>
      <c r="D85" s="197"/>
    </row>
    <row r="86" spans="1:4" ht="17" customHeight="1">
      <c r="A86" s="327"/>
      <c r="B86" s="202" t="s">
        <v>274</v>
      </c>
      <c r="C86" s="21" t="s">
        <v>146</v>
      </c>
      <c r="D86" s="197"/>
    </row>
    <row r="87" spans="1:4" ht="16.399999999999999" customHeight="1">
      <c r="A87" s="327"/>
      <c r="B87" s="21" t="s">
        <v>146</v>
      </c>
      <c r="C87" s="233" t="s">
        <v>279</v>
      </c>
      <c r="D87" s="185"/>
    </row>
    <row r="88" spans="1:4" ht="15" customHeight="1">
      <c r="A88" s="327"/>
      <c r="B88" s="33" t="s">
        <v>275</v>
      </c>
      <c r="C88" s="32" t="s">
        <v>280</v>
      </c>
      <c r="D88" s="185"/>
    </row>
    <row r="89" spans="1:4" ht="15" customHeight="1" thickBot="1">
      <c r="A89" s="327"/>
      <c r="B89" s="35" t="s">
        <v>160</v>
      </c>
      <c r="C89" s="34"/>
      <c r="D89" s="185"/>
    </row>
    <row r="90" spans="1:4" ht="15" customHeight="1" thickBot="1">
      <c r="A90" s="327"/>
      <c r="B90" s="202"/>
      <c r="C90" s="203"/>
      <c r="D90" s="185"/>
    </row>
    <row r="91" spans="1:4" ht="15" customHeight="1">
      <c r="A91" s="327"/>
      <c r="B91" s="29"/>
      <c r="C91" s="190" t="s">
        <v>286</v>
      </c>
      <c r="D91" s="185" t="s">
        <v>164</v>
      </c>
    </row>
    <row r="92" spans="1:4" ht="21.75" customHeight="1">
      <c r="A92" s="327"/>
      <c r="B92" s="202" t="s">
        <v>281</v>
      </c>
      <c r="C92" s="21" t="s">
        <v>157</v>
      </c>
      <c r="D92" s="265" t="s">
        <v>371</v>
      </c>
    </row>
    <row r="93" spans="1:4" ht="16.5" customHeight="1">
      <c r="A93" s="327"/>
      <c r="B93" s="21" t="s">
        <v>184</v>
      </c>
      <c r="C93" s="233" t="s">
        <v>190</v>
      </c>
      <c r="D93" s="185" t="s">
        <v>65</v>
      </c>
    </row>
    <row r="94" spans="1:4" ht="16.399999999999999" customHeight="1">
      <c r="A94" s="327"/>
      <c r="B94" s="33" t="s">
        <v>282</v>
      </c>
      <c r="C94" s="32" t="s">
        <v>283</v>
      </c>
      <c r="D94" s="185"/>
    </row>
    <row r="95" spans="1:4" ht="15" customHeight="1" thickBot="1">
      <c r="A95" s="327"/>
      <c r="B95" s="35" t="s">
        <v>189</v>
      </c>
      <c r="C95" s="34"/>
      <c r="D95" s="185"/>
    </row>
    <row r="96" spans="1:4" ht="15" customHeight="1" thickBot="1">
      <c r="A96" s="327"/>
      <c r="B96" s="202"/>
      <c r="C96" s="203"/>
      <c r="D96" s="185"/>
    </row>
    <row r="97" spans="1:4" ht="15" customHeight="1">
      <c r="A97" s="327"/>
      <c r="B97" s="29"/>
      <c r="C97" s="190" t="s">
        <v>292</v>
      </c>
      <c r="D97" s="313"/>
    </row>
    <row r="98" spans="1:4" ht="15" customHeight="1">
      <c r="A98" s="327"/>
      <c r="B98" s="202" t="s">
        <v>287</v>
      </c>
      <c r="C98" s="21" t="s">
        <v>146</v>
      </c>
      <c r="D98" s="186"/>
    </row>
    <row r="99" spans="1:4" ht="21.75" customHeight="1">
      <c r="A99" s="327"/>
      <c r="B99" s="21" t="s">
        <v>146</v>
      </c>
      <c r="C99" s="233" t="s">
        <v>293</v>
      </c>
      <c r="D99" s="197"/>
    </row>
    <row r="100" spans="1:4" ht="16.5" customHeight="1">
      <c r="A100" s="327"/>
      <c r="B100" s="33" t="s">
        <v>269</v>
      </c>
      <c r="C100" s="32" t="s">
        <v>294</v>
      </c>
      <c r="D100" s="185"/>
    </row>
    <row r="101" spans="1:4" ht="16.399999999999999" customHeight="1" thickBot="1">
      <c r="A101" s="327"/>
      <c r="B101" s="35" t="s">
        <v>189</v>
      </c>
      <c r="C101" s="34"/>
      <c r="D101" s="185"/>
    </row>
    <row r="102" spans="1:4" ht="15" customHeight="1" thickBot="1">
      <c r="A102" s="327"/>
      <c r="B102" s="202"/>
      <c r="C102" s="203"/>
      <c r="D102" s="185"/>
    </row>
    <row r="103" spans="1:4" ht="15" customHeight="1">
      <c r="A103" s="327"/>
      <c r="B103" s="29"/>
      <c r="C103" s="190" t="s">
        <v>292</v>
      </c>
      <c r="D103" s="185"/>
    </row>
    <row r="104" spans="1:4" ht="15" customHeight="1">
      <c r="A104" s="327"/>
      <c r="B104" s="202" t="s">
        <v>302</v>
      </c>
      <c r="C104" s="21" t="s">
        <v>146</v>
      </c>
      <c r="D104" s="313"/>
    </row>
    <row r="105" spans="1:4" ht="21.75" customHeight="1">
      <c r="A105" s="327"/>
      <c r="B105" s="21" t="s">
        <v>146</v>
      </c>
      <c r="C105" s="233" t="s">
        <v>190</v>
      </c>
      <c r="D105" s="197"/>
    </row>
    <row r="106" spans="1:4" ht="16.5" customHeight="1">
      <c r="A106" s="327"/>
      <c r="B106" s="33" t="s">
        <v>269</v>
      </c>
      <c r="C106" s="32" t="s">
        <v>304</v>
      </c>
      <c r="D106" s="185"/>
    </row>
    <row r="107" spans="1:4" ht="16.399999999999999" customHeight="1" thickBot="1">
      <c r="A107" s="327"/>
      <c r="B107" s="35" t="s">
        <v>189</v>
      </c>
      <c r="C107" s="34"/>
      <c r="D107" s="185"/>
    </row>
    <row r="108" spans="1:4" ht="15" customHeight="1" thickBot="1">
      <c r="A108" s="327"/>
      <c r="B108" s="196"/>
      <c r="C108" s="32"/>
      <c r="D108" s="185"/>
    </row>
    <row r="109" spans="1:4" ht="15" customHeight="1">
      <c r="A109" s="327"/>
      <c r="B109" s="255"/>
      <c r="C109" s="190" t="s">
        <v>295</v>
      </c>
      <c r="D109" s="185"/>
    </row>
    <row r="110" spans="1:4" ht="16.5" customHeight="1">
      <c r="A110" s="327"/>
      <c r="B110" s="256" t="s">
        <v>169</v>
      </c>
      <c r="C110" s="31" t="s">
        <v>146</v>
      </c>
      <c r="D110" s="185"/>
    </row>
    <row r="111" spans="1:4" ht="16.399999999999999" customHeight="1">
      <c r="A111" s="327"/>
      <c r="B111" s="257" t="s">
        <v>170</v>
      </c>
      <c r="C111" s="31"/>
      <c r="D111" s="185"/>
    </row>
    <row r="112" spans="1:4" ht="15" customHeight="1">
      <c r="A112" s="327"/>
      <c r="B112" s="258" t="s">
        <v>161</v>
      </c>
      <c r="C112" s="32"/>
      <c r="D112" s="185"/>
    </row>
    <row r="113" spans="1:4" ht="25" customHeight="1" thickBot="1">
      <c r="A113" s="328"/>
      <c r="B113" s="259" t="s">
        <v>162</v>
      </c>
      <c r="C113" s="34"/>
      <c r="D113" s="185"/>
    </row>
    <row r="114" spans="1:4" ht="15.5" customHeight="1" thickBot="1">
      <c r="A114" s="236"/>
      <c r="B114" s="196"/>
      <c r="C114" s="32"/>
      <c r="D114" s="187"/>
    </row>
    <row r="115" spans="1:4" ht="21" customHeight="1" thickBot="1">
      <c r="A115" s="182" t="s">
        <v>36</v>
      </c>
      <c r="B115" s="24" t="s">
        <v>96</v>
      </c>
      <c r="C115" s="267" t="s">
        <v>87</v>
      </c>
      <c r="D115" s="183" t="s">
        <v>142</v>
      </c>
    </row>
    <row r="116" spans="1:4" ht="15" customHeight="1" thickBot="1">
      <c r="A116" s="326" t="s">
        <v>328</v>
      </c>
      <c r="B116" s="264" t="s">
        <v>311</v>
      </c>
      <c r="C116" s="247" t="s">
        <v>305</v>
      </c>
      <c r="D116" s="270"/>
    </row>
    <row r="117" spans="1:4" ht="18" customHeight="1" thickBot="1">
      <c r="A117" s="327"/>
      <c r="B117" s="264" t="s">
        <v>306</v>
      </c>
      <c r="C117" s="247" t="s">
        <v>307</v>
      </c>
      <c r="D117" s="197"/>
    </row>
    <row r="118" spans="1:4" ht="16.399999999999999" customHeight="1" thickBot="1">
      <c r="A118" s="327"/>
      <c r="B118" s="264" t="s">
        <v>308</v>
      </c>
      <c r="C118" s="247" t="s">
        <v>309</v>
      </c>
      <c r="D118" s="185" t="s">
        <v>370</v>
      </c>
    </row>
    <row r="119" spans="1:4" ht="16.399999999999999" customHeight="1" thickBot="1">
      <c r="A119" s="327"/>
      <c r="B119" s="264" t="s">
        <v>310</v>
      </c>
      <c r="C119" s="247" t="s">
        <v>312</v>
      </c>
      <c r="D119" s="185" t="s">
        <v>65</v>
      </c>
    </row>
    <row r="120" spans="1:4" ht="16.399999999999999" customHeight="1" thickBot="1">
      <c r="A120" s="327"/>
      <c r="B120" s="264" t="s">
        <v>313</v>
      </c>
      <c r="C120" s="247" t="s">
        <v>314</v>
      </c>
      <c r="D120" s="185"/>
    </row>
    <row r="121" spans="1:4" ht="16.399999999999999" customHeight="1" thickBot="1">
      <c r="A121" s="327"/>
      <c r="B121" s="264" t="s">
        <v>315</v>
      </c>
      <c r="C121" s="247" t="s">
        <v>316</v>
      </c>
      <c r="D121" s="185"/>
    </row>
    <row r="122" spans="1:4" ht="16.399999999999999" customHeight="1" thickBot="1">
      <c r="A122" s="327"/>
      <c r="B122" s="264" t="s">
        <v>315</v>
      </c>
      <c r="C122" s="247" t="s">
        <v>317</v>
      </c>
      <c r="D122" s="185"/>
    </row>
    <row r="123" spans="1:4" ht="16.399999999999999" customHeight="1" thickBot="1">
      <c r="A123" s="327"/>
      <c r="B123" s="264" t="s">
        <v>318</v>
      </c>
      <c r="C123" s="247" t="s">
        <v>319</v>
      </c>
      <c r="D123" s="185"/>
    </row>
    <row r="124" spans="1:4" ht="16.399999999999999" customHeight="1" thickBot="1">
      <c r="A124" s="327"/>
      <c r="B124" s="264" t="s">
        <v>320</v>
      </c>
      <c r="C124" s="247" t="s">
        <v>321</v>
      </c>
      <c r="D124" s="185"/>
    </row>
    <row r="125" spans="1:4" ht="16.399999999999999" customHeight="1" thickBot="1">
      <c r="A125" s="327"/>
      <c r="B125" s="264" t="s">
        <v>322</v>
      </c>
      <c r="C125" s="247" t="s">
        <v>323</v>
      </c>
      <c r="D125" s="185"/>
    </row>
    <row r="126" spans="1:4" ht="16.399999999999999" customHeight="1" thickBot="1">
      <c r="A126" s="327"/>
      <c r="B126" s="264" t="s">
        <v>324</v>
      </c>
      <c r="C126" s="247" t="s">
        <v>325</v>
      </c>
      <c r="D126" s="185"/>
    </row>
    <row r="127" spans="1:4" ht="16.399999999999999" customHeight="1" thickBot="1">
      <c r="A127" s="327"/>
      <c r="B127" s="264" t="s">
        <v>326</v>
      </c>
      <c r="C127" s="247" t="s">
        <v>327</v>
      </c>
      <c r="D127" s="185"/>
    </row>
    <row r="128" spans="1:4" ht="16.399999999999999" customHeight="1" thickBot="1">
      <c r="A128" s="327"/>
      <c r="B128" s="263"/>
      <c r="C128" s="274"/>
      <c r="D128" s="251"/>
    </row>
    <row r="129" spans="1:4" ht="15" customHeight="1" thickBot="1">
      <c r="A129" s="328"/>
      <c r="B129" s="306" t="s">
        <v>330</v>
      </c>
      <c r="C129" s="308" t="s">
        <v>329</v>
      </c>
      <c r="D129" s="186"/>
    </row>
    <row r="130" spans="1:4" ht="15" customHeight="1">
      <c r="A130" s="187"/>
      <c r="B130" s="187"/>
      <c r="C130" s="187"/>
      <c r="D130" s="187"/>
    </row>
    <row r="131" spans="1:4" ht="15" customHeight="1">
      <c r="A131" s="187"/>
      <c r="B131" s="187"/>
      <c r="C131" s="187"/>
      <c r="D131" s="187"/>
    </row>
    <row r="132" spans="1:4" ht="15" customHeight="1">
      <c r="A132" s="187"/>
      <c r="B132" s="187"/>
      <c r="C132" s="187"/>
      <c r="D132" s="187"/>
    </row>
    <row r="133" spans="1:4" ht="15" customHeight="1">
      <c r="A133" s="187"/>
      <c r="B133" s="187"/>
      <c r="C133" s="187"/>
      <c r="D133" s="187"/>
    </row>
    <row r="134" spans="1:4" ht="15" customHeight="1">
      <c r="A134" s="187"/>
      <c r="B134" s="187"/>
      <c r="C134" s="187"/>
      <c r="D134" s="187"/>
    </row>
    <row r="135" spans="1:4" ht="15.65" customHeight="1">
      <c r="A135" s="187"/>
      <c r="B135" s="187"/>
      <c r="C135" s="187"/>
      <c r="D135" s="187"/>
    </row>
    <row r="136" spans="1:4" ht="15" customHeight="1">
      <c r="A136" s="187"/>
      <c r="B136" s="187"/>
      <c r="C136" s="187"/>
      <c r="D136" s="187"/>
    </row>
    <row r="137" spans="1:4" ht="15" customHeight="1">
      <c r="A137" s="187"/>
      <c r="B137" s="187"/>
      <c r="C137" s="187"/>
      <c r="D137" s="187"/>
    </row>
    <row r="138" spans="1:4" ht="15" customHeight="1">
      <c r="A138" s="187"/>
      <c r="B138" s="187"/>
      <c r="C138" s="187"/>
      <c r="D138" s="187"/>
    </row>
    <row r="139" spans="1:4" ht="15" customHeight="1">
      <c r="A139" s="187"/>
      <c r="B139" s="187"/>
      <c r="C139" s="187"/>
      <c r="D139" s="187"/>
    </row>
    <row r="140" spans="1:4" ht="15" customHeight="1">
      <c r="A140" s="187"/>
      <c r="B140" s="187"/>
      <c r="C140" s="187"/>
      <c r="D140" s="187"/>
    </row>
    <row r="141" spans="1:4" ht="15" customHeight="1">
      <c r="A141" s="187"/>
      <c r="B141" s="187"/>
      <c r="C141" s="187"/>
      <c r="D141" s="187"/>
    </row>
    <row r="142" spans="1:4" ht="15" customHeight="1">
      <c r="A142" s="187"/>
      <c r="B142" s="187"/>
      <c r="C142" s="187"/>
      <c r="D142" s="187"/>
    </row>
    <row r="143" spans="1:4" ht="15" customHeight="1">
      <c r="A143" s="187"/>
      <c r="B143" s="187"/>
      <c r="C143" s="187"/>
      <c r="D143" s="187"/>
    </row>
    <row r="144" spans="1:4" ht="15" customHeight="1">
      <c r="A144" s="187"/>
      <c r="B144" s="187"/>
      <c r="C144" s="187"/>
      <c r="D144" s="187"/>
    </row>
    <row r="145" spans="1:4" ht="14.15" customHeight="1">
      <c r="A145" s="187"/>
      <c r="B145" s="187"/>
      <c r="C145" s="187"/>
      <c r="D145" s="187"/>
    </row>
    <row r="146" spans="1:4" ht="15" customHeight="1">
      <c r="A146" s="187"/>
      <c r="B146" s="187"/>
      <c r="C146" s="187"/>
      <c r="D146" s="187"/>
    </row>
    <row r="147" spans="1:4" ht="15" customHeight="1">
      <c r="A147" s="187"/>
      <c r="B147" s="187"/>
      <c r="C147" s="187"/>
      <c r="D147" s="187"/>
    </row>
    <row r="148" spans="1:4" ht="15" customHeight="1">
      <c r="A148" s="187"/>
      <c r="B148" s="187"/>
      <c r="C148" s="187"/>
      <c r="D148" s="187"/>
    </row>
    <row r="149" spans="1:4" ht="15" customHeight="1">
      <c r="A149" s="187"/>
      <c r="B149" s="187"/>
      <c r="C149" s="187"/>
      <c r="D149" s="187"/>
    </row>
    <row r="150" spans="1:4" ht="15" customHeight="1">
      <c r="A150" s="187"/>
      <c r="B150" s="187"/>
      <c r="C150" s="187"/>
      <c r="D150" s="187"/>
    </row>
    <row r="151" spans="1:4" ht="15" customHeight="1">
      <c r="A151" s="187"/>
      <c r="B151" s="187"/>
      <c r="C151" s="187"/>
      <c r="D151" s="187"/>
    </row>
    <row r="152" spans="1:4" ht="12.65" customHeight="1">
      <c r="A152" s="187"/>
      <c r="B152" s="187"/>
      <c r="C152" s="187"/>
      <c r="D152" s="187"/>
    </row>
    <row r="153" spans="1:4" ht="15.65" customHeight="1">
      <c r="A153" s="187"/>
      <c r="B153" s="187"/>
      <c r="C153" s="187"/>
      <c r="D153" s="187"/>
    </row>
    <row r="154" spans="1:4" ht="41.15" customHeight="1">
      <c r="A154" s="187"/>
      <c r="B154" s="187"/>
      <c r="C154" s="187"/>
      <c r="D154" s="187"/>
    </row>
    <row r="155" spans="1:4" ht="21.75" customHeight="1">
      <c r="A155" s="187"/>
      <c r="B155" s="187"/>
      <c r="C155" s="187"/>
      <c r="D155" s="187"/>
    </row>
    <row r="156" spans="1:4" ht="15" customHeight="1">
      <c r="A156" s="187"/>
      <c r="B156" s="187"/>
      <c r="C156" s="187"/>
      <c r="D156" s="187"/>
    </row>
    <row r="157" spans="1:4" ht="10.4" customHeight="1">
      <c r="A157" s="164"/>
      <c r="B157" s="164"/>
      <c r="C157" s="188"/>
      <c r="D157" s="164"/>
    </row>
    <row r="158" spans="1:4">
      <c r="A158" s="164"/>
      <c r="B158" s="164"/>
      <c r="C158" s="164"/>
      <c r="D158" s="164"/>
    </row>
    <row r="159" spans="1:4">
      <c r="A159" s="164"/>
      <c r="B159" s="164"/>
      <c r="C159" s="164"/>
      <c r="D159" s="164"/>
    </row>
    <row r="160" spans="1:4">
      <c r="A160" s="164"/>
      <c r="B160" s="164"/>
      <c r="C160" s="164"/>
      <c r="D160" s="164"/>
    </row>
    <row r="161" spans="1:4">
      <c r="A161" s="164"/>
      <c r="B161" s="164"/>
      <c r="C161" s="164"/>
      <c r="D161" s="164"/>
    </row>
  </sheetData>
  <mergeCells count="10">
    <mergeCell ref="A116:A129"/>
    <mergeCell ref="A59:A76"/>
    <mergeCell ref="A79:A113"/>
    <mergeCell ref="A2:B2"/>
    <mergeCell ref="A5:A9"/>
    <mergeCell ref="A12:A16"/>
    <mergeCell ref="A19:A23"/>
    <mergeCell ref="A26:A36"/>
    <mergeCell ref="A39:A43"/>
    <mergeCell ref="A46:A56"/>
  </mergeCells>
  <phoneticPr fontId="13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  <rowBreaks count="1" manualBreakCount="1">
    <brk id="76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shipper master</vt:lpstr>
      <vt:lpstr>case mark </vt:lpstr>
      <vt:lpstr>invoice</vt:lpstr>
      <vt:lpstr>NARITA </vt:lpstr>
      <vt:lpstr>サンプル製品カタログ</vt:lpstr>
      <vt:lpstr>LABEL</vt:lpstr>
      <vt:lpstr>LABEL!Print_Area</vt:lpstr>
      <vt:lpstr>'NARITA '!Print_Area</vt:lpstr>
      <vt:lpstr>サンプル製品カタログ!Print_Area</vt:lpstr>
      <vt:lpstr>LABEL!Print_Titles</vt:lpstr>
      <vt:lpstr>'NARITA 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2024-11-22T00:33:10Z</cp:lastPrinted>
  <dcterms:created xsi:type="dcterms:W3CDTF">2002-07-31T13:14:08Z</dcterms:created>
  <dcterms:modified xsi:type="dcterms:W3CDTF">2025-11-13T09:19:29Z</dcterms:modified>
</cp:coreProperties>
</file>