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E40A5931-8B0D-45BD-8A78-1C06F8A36694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7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LABEL!$A$1:$D$62</definedName>
    <definedName name="_xlnm.Print_Area" localSheetId="3">'NARITA '!$A$1:$N$67</definedName>
    <definedName name="_xlnm.Print_Area" localSheetId="4">サンプル製品カタログ!$A$2:$I$8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 iterateDelta="1E-4"/>
</workbook>
</file>

<file path=xl/calcChain.xml><?xml version="1.0" encoding="utf-8"?>
<calcChain xmlns="http://schemas.openxmlformats.org/spreadsheetml/2006/main">
  <c r="H65" i="60" l="1"/>
  <c r="E65" i="60"/>
  <c r="K26" i="65" s="1"/>
  <c r="D30" i="65" s="1"/>
  <c r="H33" i="60"/>
  <c r="H59" i="60"/>
  <c r="H60" i="60"/>
  <c r="H61" i="60"/>
  <c r="H62" i="60"/>
  <c r="H63" i="60"/>
  <c r="H58" i="60"/>
  <c r="E67" i="60" l="1"/>
  <c r="K28" i="65" s="1"/>
  <c r="E66" i="60"/>
  <c r="K27" i="65" s="1"/>
  <c r="F30" i="65" s="1"/>
  <c r="H50" i="60"/>
  <c r="H66" i="60" s="1"/>
  <c r="M27" i="65" s="1"/>
  <c r="H46" i="60" l="1"/>
  <c r="H45" i="60"/>
  <c r="H40" i="60"/>
  <c r="H39" i="60" l="1"/>
  <c r="K30" i="65" l="1"/>
  <c r="H56" i="60"/>
  <c r="H55" i="60"/>
  <c r="H54" i="60"/>
  <c r="H53" i="60"/>
  <c r="H52" i="60"/>
  <c r="H67" i="60" s="1"/>
  <c r="M28" i="65" s="1"/>
  <c r="H27" i="60" l="1"/>
  <c r="H22" i="60"/>
  <c r="H21" i="60"/>
  <c r="H15" i="60"/>
  <c r="F9" i="65"/>
  <c r="H10" i="60" l="1"/>
  <c r="F11" i="65" l="1"/>
  <c r="F7" i="65"/>
  <c r="L8" i="65" l="1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H9" i="60" l="1"/>
  <c r="M26" i="65" s="1"/>
  <c r="M30" i="65" s="1"/>
  <c r="G6" i="60" l="1"/>
  <c r="D6" i="60"/>
  <c r="C45" i="17" l="1"/>
  <c r="A2" i="17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<sst xmlns="http://schemas.openxmlformats.org/spreadsheetml/2006/main" count="478" uniqueCount="266">
  <si>
    <t>SHIPPER NAME</t>
    <phoneticPr fontId="8" type="noConversion"/>
  </si>
  <si>
    <t>S/CODE</t>
    <phoneticPr fontId="8" type="noConversion"/>
  </si>
  <si>
    <t>SHIPPER ADDRESS 2</t>
    <phoneticPr fontId="13"/>
  </si>
  <si>
    <t>SHIPPER ADDRESS 1</t>
    <phoneticPr fontId="13"/>
  </si>
  <si>
    <t>SHIPPER ADDRESS 3</t>
    <phoneticPr fontId="13"/>
  </si>
  <si>
    <t xml:space="preserve">SHIPPER </t>
    <phoneticPr fontId="13"/>
  </si>
  <si>
    <t>TEL</t>
    <phoneticPr fontId="13"/>
  </si>
  <si>
    <t>FAX</t>
    <phoneticPr fontId="13"/>
  </si>
  <si>
    <t>ATTN OR VAT NO.</t>
    <phoneticPr fontId="13"/>
  </si>
  <si>
    <t>TEL/FAX</t>
    <phoneticPr fontId="13"/>
  </si>
  <si>
    <t>ATTN</t>
    <phoneticPr fontId="13"/>
  </si>
  <si>
    <t>CONSIGNEE :</t>
    <phoneticPr fontId="13"/>
  </si>
  <si>
    <t>CONSIGNEE ADDRESS1</t>
    <phoneticPr fontId="13"/>
  </si>
  <si>
    <t>CONSIGNEE ADDRESS2</t>
    <phoneticPr fontId="13"/>
  </si>
  <si>
    <t>CONSIGNEE ADDRESS3</t>
    <phoneticPr fontId="13"/>
  </si>
  <si>
    <t>TEL</t>
    <phoneticPr fontId="13"/>
  </si>
  <si>
    <t>FAX</t>
    <phoneticPr fontId="13"/>
  </si>
  <si>
    <t>PAYMENT 1</t>
    <phoneticPr fontId="13"/>
  </si>
  <si>
    <t>PAYMENT 2</t>
    <phoneticPr fontId="13"/>
  </si>
  <si>
    <t>SHIPPER PER</t>
    <phoneticPr fontId="13"/>
  </si>
  <si>
    <t>INVOICE DATE</t>
    <phoneticPr fontId="13"/>
  </si>
  <si>
    <t>INVOICE NO.</t>
    <phoneticPr fontId="13"/>
  </si>
  <si>
    <t>CONTRACT NO.</t>
    <phoneticPr fontId="13"/>
  </si>
  <si>
    <t>CONTRACT DATE</t>
    <phoneticPr fontId="13"/>
  </si>
  <si>
    <t>ORDER DATE</t>
    <phoneticPr fontId="13"/>
  </si>
  <si>
    <t>ORDER NO.</t>
    <phoneticPr fontId="13"/>
  </si>
  <si>
    <t>L/C DATE</t>
    <phoneticPr fontId="13"/>
  </si>
  <si>
    <t>FROM</t>
    <phoneticPr fontId="13"/>
  </si>
  <si>
    <t xml:space="preserve"> TOKYO, JAPAN</t>
    <phoneticPr fontId="13"/>
  </si>
  <si>
    <t>TO</t>
    <phoneticPr fontId="13"/>
  </si>
  <si>
    <t>VIA</t>
    <phoneticPr fontId="13"/>
  </si>
  <si>
    <t>SHIPPING TERMS</t>
    <phoneticPr fontId="13"/>
  </si>
  <si>
    <t>TITTLE 1</t>
    <phoneticPr fontId="13"/>
  </si>
  <si>
    <t>TITTLE 2</t>
    <phoneticPr fontId="13"/>
  </si>
  <si>
    <t>ATTACHE</t>
    <phoneticPr fontId="13"/>
  </si>
  <si>
    <t>- DETAILS AS PER ATTACHED SHEET -</t>
    <phoneticPr fontId="13"/>
  </si>
  <si>
    <t>C/NO.</t>
    <phoneticPr fontId="13"/>
  </si>
  <si>
    <t>STYLE NO.</t>
    <phoneticPr fontId="13"/>
  </si>
  <si>
    <t>DESCRIPTION</t>
    <phoneticPr fontId="13"/>
  </si>
  <si>
    <t>Q'TY CODE</t>
    <phoneticPr fontId="13"/>
  </si>
  <si>
    <t>QUANTITY</t>
    <phoneticPr fontId="13"/>
  </si>
  <si>
    <t>UNIT PRICE</t>
    <phoneticPr fontId="13"/>
  </si>
  <si>
    <t>AMOUNT</t>
    <phoneticPr fontId="13"/>
  </si>
  <si>
    <t>DISCOUNT</t>
    <phoneticPr fontId="13"/>
  </si>
  <si>
    <t>CASE MARK1</t>
    <phoneticPr fontId="13"/>
  </si>
  <si>
    <t>CASE MARK2</t>
    <phoneticPr fontId="13"/>
  </si>
  <si>
    <t>CASE MARK3</t>
    <phoneticPr fontId="13"/>
  </si>
  <si>
    <t>CASE MARK4</t>
    <phoneticPr fontId="13"/>
  </si>
  <si>
    <t>CASE MARK5</t>
    <phoneticPr fontId="13"/>
  </si>
  <si>
    <t>CASE MARK6</t>
    <phoneticPr fontId="13"/>
  </si>
  <si>
    <t>TOTAL</t>
    <phoneticPr fontId="13"/>
  </si>
  <si>
    <t>MANUFACTURED BY</t>
    <phoneticPr fontId="13"/>
  </si>
  <si>
    <t>ORIGIN</t>
    <phoneticPr fontId="13"/>
  </si>
  <si>
    <t>COUNTRY OF ORIGIN : JAPAN</t>
    <phoneticPr fontId="13"/>
  </si>
  <si>
    <t>OUR BANK</t>
    <phoneticPr fontId="13"/>
  </si>
  <si>
    <t>ETD TYO</t>
    <phoneticPr fontId="13"/>
  </si>
  <si>
    <t>DELIVERY SCHEDULES</t>
    <phoneticPr fontId="13"/>
  </si>
  <si>
    <t>INSURANCE</t>
    <phoneticPr fontId="13"/>
  </si>
  <si>
    <t>REMARK 1</t>
    <phoneticPr fontId="13"/>
  </si>
  <si>
    <t>AIR FREIGHT</t>
    <phoneticPr fontId="13"/>
  </si>
  <si>
    <t>YOUR (OUR) FORWARDER</t>
    <phoneticPr fontId="13"/>
  </si>
  <si>
    <t>CUSTOMS AGENT</t>
    <phoneticPr fontId="13"/>
  </si>
  <si>
    <t>FORWARDER</t>
    <phoneticPr fontId="13"/>
  </si>
  <si>
    <t>C/O ISSUED DATE</t>
    <phoneticPr fontId="13"/>
  </si>
  <si>
    <t>COUNTRY</t>
    <phoneticPr fontId="13"/>
  </si>
  <si>
    <t>F.O.B. TOKYO IN YEN</t>
    <phoneticPr fontId="13"/>
  </si>
  <si>
    <t xml:space="preserve"> SHUNYA CO., LTD.</t>
    <phoneticPr fontId="13"/>
  </si>
  <si>
    <t xml:space="preserve"> KENSHIN BLDG., 1F, 1-22-10 DOUGENZAKA,</t>
    <phoneticPr fontId="13"/>
  </si>
  <si>
    <t xml:space="preserve"> SHIBUYA-KU 150-0043</t>
    <phoneticPr fontId="13"/>
  </si>
  <si>
    <t xml:space="preserve"> TEL : +81(0)3-5459-1177</t>
    <phoneticPr fontId="13"/>
  </si>
  <si>
    <t xml:space="preserve"> - SAME AS BUYER -</t>
    <phoneticPr fontId="13"/>
  </si>
  <si>
    <t xml:space="preserve"> HOCHIMINH-CITY, VIETNAM</t>
    <phoneticPr fontId="13"/>
  </si>
  <si>
    <t>VIETNAM</t>
    <phoneticPr fontId="13"/>
  </si>
  <si>
    <t>PREPAID</t>
    <phoneticPr fontId="13"/>
  </si>
  <si>
    <t>COVERED BY SHIPPER</t>
    <phoneticPr fontId="13"/>
  </si>
  <si>
    <t>MEITETSU WORLD TRANSPORT (MR. NAMIKI)</t>
    <phoneticPr fontId="13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</si>
  <si>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3"/>
  </si>
  <si>
    <t>BUYER</t>
    <phoneticPr fontId="13"/>
  </si>
  <si>
    <t>BUYER ADDRESS1</t>
    <phoneticPr fontId="13"/>
  </si>
  <si>
    <t>BUYER ADDRESS2</t>
    <phoneticPr fontId="13"/>
  </si>
  <si>
    <t>BUYER ADDRESS3</t>
    <phoneticPr fontId="13"/>
  </si>
  <si>
    <t xml:space="preserve"> AIRCRAFT</t>
    <phoneticPr fontId="13"/>
  </si>
  <si>
    <t>持ち帰り条件</t>
    <rPh sb="0" eb="1">
      <t>モ</t>
    </rPh>
    <rPh sb="2" eb="3">
      <t>カエ</t>
    </rPh>
    <rPh sb="4" eb="6">
      <t>ジョウケン</t>
    </rPh>
    <phoneticPr fontId="13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</si>
  <si>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3"/>
  </si>
  <si>
    <t xml:space="preserve">  AFTER MANUFACTURED AT VIET NAM "</t>
    <phoneticPr fontId="13"/>
  </si>
  <si>
    <t xml:space="preserve"> NO COMMERCIAL</t>
    <phoneticPr fontId="12"/>
  </si>
  <si>
    <t>PCS.</t>
    <phoneticPr fontId="13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</si>
  <si>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</si>
  <si>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</si>
  <si>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</si>
  <si>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</si>
  <si>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</si>
  <si>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</si>
  <si>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</si>
  <si>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</si>
  <si>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</si>
  <si>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</si>
  <si>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3"/>
  </si>
  <si>
    <t>(H.S. CODE)</t>
    <phoneticPr fontId="13"/>
  </si>
  <si>
    <t>- ATTACHED SHEET -</t>
    <phoneticPr fontId="13"/>
  </si>
  <si>
    <t xml:space="preserve"> </t>
    <phoneticPr fontId="13"/>
  </si>
  <si>
    <t>WOVEN FABRIC</t>
    <phoneticPr fontId="13"/>
  </si>
  <si>
    <t>VIVAN GARMENTS VIET NAM COMPANY LIMITED</t>
    <phoneticPr fontId="13"/>
  </si>
  <si>
    <t>Hamlet 3 , Long Hau Commune , Can Giuoc District,</t>
    <phoneticPr fontId="13"/>
  </si>
  <si>
    <t xml:space="preserve"> Long An Province , VietNam</t>
    <phoneticPr fontId="13"/>
  </si>
  <si>
    <t xml:space="preserve"> TEL : :   ( 084 ) 097 22 00 798  ATTN : MR. TUAN</t>
    <phoneticPr fontId="13"/>
  </si>
  <si>
    <t>FABRIC &amp; PARTS FOR WEAR &amp; SAMPLE CLOTHES</t>
    <phoneticPr fontId="13"/>
  </si>
  <si>
    <t xml:space="preserve"> TEL : ( 084 ) 097 22 00 798  ATTN : MR. TUAN</t>
    <phoneticPr fontId="13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</si>
  <si>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3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</si>
  <si>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3"/>
  </si>
  <si>
    <t>POLYESTER100%</t>
    <phoneticPr fontId="13"/>
  </si>
  <si>
    <t xml:space="preserve"> C/NO.</t>
    <phoneticPr fontId="13"/>
  </si>
  <si>
    <t>INVOICE</t>
    <phoneticPr fontId="13"/>
  </si>
  <si>
    <t>IMPORTER</t>
    <phoneticPr fontId="12"/>
  </si>
  <si>
    <t>INVOICE NO.</t>
    <phoneticPr fontId="12"/>
  </si>
  <si>
    <t>CASE MARK</t>
    <phoneticPr fontId="12"/>
  </si>
  <si>
    <t>INVOICE DATE</t>
    <phoneticPr fontId="12"/>
  </si>
  <si>
    <t>CONTRACT NO.</t>
    <phoneticPr fontId="12"/>
  </si>
  <si>
    <t>CONSIGNEE</t>
    <phoneticPr fontId="12"/>
  </si>
  <si>
    <t xml:space="preserve">ORDER NO. </t>
    <phoneticPr fontId="12"/>
  </si>
  <si>
    <t>MADE  IN JAPAN</t>
    <phoneticPr fontId="13"/>
  </si>
  <si>
    <t>L/C NO.</t>
    <phoneticPr fontId="12"/>
  </si>
  <si>
    <t>PAYMENT METHOD</t>
    <phoneticPr fontId="12"/>
  </si>
  <si>
    <t>SHIPPED PER</t>
    <phoneticPr fontId="12"/>
  </si>
  <si>
    <t>FROM</t>
    <phoneticPr fontId="12"/>
  </si>
  <si>
    <t>TO</t>
    <phoneticPr fontId="12"/>
  </si>
  <si>
    <t xml:space="preserve"> </t>
    <phoneticPr fontId="12"/>
  </si>
  <si>
    <t>VIA</t>
    <phoneticPr fontId="12"/>
  </si>
  <si>
    <t>C/NO.</t>
    <phoneticPr fontId="12"/>
  </si>
  <si>
    <t>ART NO.</t>
    <phoneticPr fontId="13"/>
  </si>
  <si>
    <t xml:space="preserve">  DESCRIPTION  OF  GOODS</t>
    <phoneticPr fontId="12"/>
  </si>
  <si>
    <t>COLOR</t>
    <phoneticPr fontId="13"/>
  </si>
  <si>
    <t>SIZE</t>
    <phoneticPr fontId="13"/>
  </si>
  <si>
    <t>Q'TY</t>
    <phoneticPr fontId="12"/>
  </si>
  <si>
    <t>U/PRICE</t>
    <phoneticPr fontId="12"/>
  </si>
  <si>
    <t>AMOUNT</t>
    <phoneticPr fontId="12"/>
  </si>
  <si>
    <t>" NO COMMER VALUE</t>
    <phoneticPr fontId="13"/>
  </si>
  <si>
    <t>" NO COMMERCIAL VALUE</t>
    <phoneticPr fontId="13"/>
  </si>
  <si>
    <t xml:space="preserve">  VALUE FOR CUSTOMS PURPOSE ONLY "</t>
    <phoneticPr fontId="13"/>
  </si>
  <si>
    <t xml:space="preserve"> VALUE FOR CUSTOMS PURPOSE ONLY "</t>
    <phoneticPr fontId="13"/>
  </si>
  <si>
    <t>TOTAL CARTONS :</t>
    <phoneticPr fontId="13"/>
  </si>
  <si>
    <t>TOTAL GROSS WEIGHT :</t>
    <phoneticPr fontId="13"/>
  </si>
  <si>
    <t>KGS</t>
    <phoneticPr fontId="13"/>
  </si>
  <si>
    <t>LABEL SHEET -</t>
    <phoneticPr fontId="13"/>
  </si>
  <si>
    <t>原産国</t>
    <rPh sb="0" eb="3">
      <t>ゲンサンコク</t>
    </rPh>
    <phoneticPr fontId="13"/>
  </si>
  <si>
    <t>MADE IN JAPAN</t>
    <phoneticPr fontId="13"/>
  </si>
  <si>
    <t>D17 Street , Sai Gon South Residential Area</t>
    <phoneticPr fontId="13"/>
  </si>
  <si>
    <t>TOTAL :</t>
  </si>
  <si>
    <t>PCS.</t>
  </si>
  <si>
    <t>WOVEN FABRIC</t>
  </si>
  <si>
    <t>M.</t>
    <phoneticPr fontId="13"/>
  </si>
  <si>
    <t>短繊維、プリント加工なし</t>
    <rPh sb="0" eb="1">
      <t>タン</t>
    </rPh>
    <rPh sb="1" eb="3">
      <t>センイ</t>
    </rPh>
    <rPh sb="8" eb="9">
      <t>ナ</t>
    </rPh>
    <phoneticPr fontId="13"/>
  </si>
  <si>
    <t>M.</t>
  </si>
  <si>
    <t>ITEM</t>
    <phoneticPr fontId="13"/>
  </si>
  <si>
    <t>NAME</t>
    <phoneticPr fontId="13"/>
  </si>
  <si>
    <t>color</t>
    <phoneticPr fontId="13"/>
  </si>
  <si>
    <t>lady's or men's</t>
    <phoneticPr fontId="13"/>
  </si>
  <si>
    <t>WOVEN or  KNIT</t>
    <phoneticPr fontId="13"/>
  </si>
  <si>
    <t>picture</t>
    <phoneticPr fontId="13"/>
  </si>
  <si>
    <t>Composition</t>
    <phoneticPr fontId="13"/>
  </si>
  <si>
    <t>packingNo.</t>
    <phoneticPr fontId="13"/>
  </si>
  <si>
    <t>men's</t>
    <phoneticPr fontId="13"/>
  </si>
  <si>
    <t>KNIT FABRIC</t>
    <phoneticPr fontId="13"/>
  </si>
  <si>
    <t>KNIT FABRIC</t>
  </si>
  <si>
    <t>POLYESTER100%</t>
  </si>
  <si>
    <t>SET.</t>
    <phoneticPr fontId="13"/>
  </si>
  <si>
    <t>pattern paper</t>
    <phoneticPr fontId="13"/>
  </si>
  <si>
    <t>COTTON100%</t>
    <phoneticPr fontId="13"/>
  </si>
  <si>
    <t>C/#BLACK</t>
    <phoneticPr fontId="13"/>
  </si>
  <si>
    <t>3041</t>
    <phoneticPr fontId="13"/>
  </si>
  <si>
    <t>c/#01 WHITE</t>
    <phoneticPr fontId="13"/>
  </si>
  <si>
    <t>c/#05 STRIPE</t>
    <phoneticPr fontId="13"/>
  </si>
  <si>
    <t xml:space="preserve">STYLE:25A-SH01(24SY-55)	</t>
    <phoneticPr fontId="13"/>
  </si>
  <si>
    <r>
      <t>WIDTH:112CM (218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</si>
  <si>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入庫NO.22072383</t>
    <rPh sb="0" eb="2">
      <t>ニュウコ</t>
    </rPh>
    <phoneticPr fontId="13"/>
  </si>
  <si>
    <t>3/28</t>
    <phoneticPr fontId="13"/>
  </si>
  <si>
    <t>7070</t>
    <phoneticPr fontId="13"/>
  </si>
  <si>
    <t>c/#213 BLUE</t>
    <phoneticPr fontId="13"/>
  </si>
  <si>
    <t>STYLE:25A-PT03(24SY-52),25A-SK01(24SY-61)</t>
    <phoneticPr fontId="13"/>
  </si>
  <si>
    <r>
      <t>WIDTH:150CM (440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</si>
  <si>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入庫NO.22072380</t>
    <rPh sb="0" eb="2">
      <t>ニュウコ</t>
    </rPh>
    <phoneticPr fontId="13"/>
  </si>
  <si>
    <t>入庫NO.22072381</t>
    <rPh sb="0" eb="2">
      <t>ニュウコ</t>
    </rPh>
    <phoneticPr fontId="13"/>
  </si>
  <si>
    <t>32-30628</t>
    <phoneticPr fontId="13"/>
  </si>
  <si>
    <t>綾織 ツイル 後染め</t>
    <rPh sb="0" eb="1">
      <t>アヤ</t>
    </rPh>
    <rPh sb="1" eb="2">
      <t>オリ</t>
    </rPh>
    <phoneticPr fontId="13"/>
  </si>
  <si>
    <t>c/#21 BROWN</t>
    <phoneticPr fontId="13"/>
  </si>
  <si>
    <t>c/#11 BLACK</t>
    <phoneticPr fontId="13"/>
  </si>
  <si>
    <t>STYLE:25A-CO01(24SY-59)</t>
    <phoneticPr fontId="13"/>
  </si>
  <si>
    <r>
      <t>WOOL65%</t>
    </r>
    <r>
      <rPr>
        <b/>
        <sz val="10"/>
        <color theme="1"/>
        <rFont val="Yu Gothic"/>
        <family val="2"/>
        <charset val="128"/>
      </rPr>
      <t>、POLYESTER35%</t>
    </r>
    <phoneticPr fontId="13"/>
  </si>
  <si>
    <r>
      <t>WIDTH:151CM (480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</si>
  <si>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入庫NO.22072382</t>
    <phoneticPr fontId="13"/>
  </si>
  <si>
    <t>4/9</t>
    <phoneticPr fontId="13"/>
  </si>
  <si>
    <t>007S0052010</t>
    <phoneticPr fontId="13"/>
  </si>
  <si>
    <t>裏毛パイル編　丸編み</t>
    <rPh sb="0" eb="1">
      <t>ウラケ</t>
    </rPh>
    <rPh sb="4" eb="5">
      <t>アミ</t>
    </rPh>
    <rPh sb="6" eb="8">
      <t>マルア</t>
    </rPh>
    <phoneticPr fontId="13"/>
  </si>
  <si>
    <t>c/#010 BLACK</t>
  </si>
  <si>
    <t>c/#010 BLACK</t>
    <phoneticPr fontId="13"/>
  </si>
  <si>
    <t>c/#00G TOPGRAY</t>
  </si>
  <si>
    <t>STYLE:21SY-60</t>
    <phoneticPr fontId="13"/>
  </si>
  <si>
    <r>
      <t>WIDTH:165CM (450g/</t>
    </r>
    <r>
      <rPr>
        <b/>
        <sz val="10"/>
        <color theme="1"/>
        <rFont val="Microsoft YaHei"/>
        <family val="2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</si>
  <si>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入庫NO.22072481</t>
    <rPh sb="0" eb="2">
      <t>ニュウコ</t>
    </rPh>
    <phoneticPr fontId="13"/>
  </si>
  <si>
    <t>4/4</t>
    <phoneticPr fontId="13"/>
  </si>
  <si>
    <t>007S0052070</t>
    <phoneticPr fontId="13"/>
  </si>
  <si>
    <t>リブ編み　丸編み　テレコ</t>
    <rPh sb="1" eb="2">
      <t>ア</t>
    </rPh>
    <rPh sb="4" eb="6">
      <t>マルア</t>
    </rPh>
    <phoneticPr fontId="13"/>
  </si>
  <si>
    <t>STYLE: 21SY-60</t>
    <phoneticPr fontId="13"/>
  </si>
  <si>
    <t>COTTON96% POLYURETHANE4%</t>
    <phoneticPr fontId="13"/>
  </si>
  <si>
    <r>
      <t>WIDTH:120CM (400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</si>
  <si>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入庫NO.22072516</t>
    <rPh sb="0" eb="2">
      <t>ニュウコ</t>
    </rPh>
    <phoneticPr fontId="13"/>
  </si>
  <si>
    <t>1</t>
    <phoneticPr fontId="13"/>
  </si>
  <si>
    <t>2-3</t>
    <phoneticPr fontId="13"/>
  </si>
  <si>
    <t>4-5</t>
    <phoneticPr fontId="13"/>
  </si>
  <si>
    <t>6-17</t>
    <phoneticPr fontId="13"/>
  </si>
  <si>
    <t>18-19</t>
    <phoneticPr fontId="13"/>
  </si>
  <si>
    <t>016S0040116</t>
    <phoneticPr fontId="13"/>
  </si>
  <si>
    <t>平織　オックス　先染め</t>
    <rPh sb="0" eb="1">
      <t>ヒラ</t>
    </rPh>
    <rPh sb="1" eb="2">
      <t>オリ</t>
    </rPh>
    <rPh sb="8" eb="9">
      <t>サキ</t>
    </rPh>
    <phoneticPr fontId="13"/>
  </si>
  <si>
    <t>綾織 ツイル 先染め</t>
    <rPh sb="0" eb="1">
      <t>アヤ</t>
    </rPh>
    <rPh sb="1" eb="2">
      <t>オリ</t>
    </rPh>
    <rPh sb="7" eb="8">
      <t>サキ</t>
    </rPh>
    <phoneticPr fontId="13"/>
  </si>
  <si>
    <t>綾織　デニム　先染め</t>
    <rPh sb="0" eb="1">
      <t>アヤ</t>
    </rPh>
    <rPh sb="1" eb="2">
      <t>オリ</t>
    </rPh>
    <rPh sb="7" eb="8">
      <t>サキ</t>
    </rPh>
    <phoneticPr fontId="13"/>
  </si>
  <si>
    <t>c/#600 BROWN</t>
    <phoneticPr fontId="13"/>
  </si>
  <si>
    <t>c/#750 BLACK</t>
    <phoneticPr fontId="13"/>
  </si>
  <si>
    <t>STYLE: 25A-SK01(24SY-61)</t>
    <phoneticPr fontId="13"/>
  </si>
  <si>
    <r>
      <t>WIDTH:140CM (210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</si>
  <si>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佐川450005309180</t>
    <rPh sb="0" eb="2">
      <t>サガワ</t>
    </rPh>
    <phoneticPr fontId="13"/>
  </si>
  <si>
    <t>PRESTIGE WOVEN quality tag</t>
  </si>
  <si>
    <t>PRESTIGE WOVEN quality tag</t>
    <phoneticPr fontId="13"/>
  </si>
  <si>
    <t>20</t>
    <phoneticPr fontId="13"/>
  </si>
  <si>
    <t>21SY-60 pattern paper</t>
    <phoneticPr fontId="13"/>
  </si>
  <si>
    <t>25A-SH01 pattern paper</t>
    <phoneticPr fontId="13"/>
  </si>
  <si>
    <t>25A-PT03 pattern paper</t>
    <phoneticPr fontId="13"/>
  </si>
  <si>
    <t>25A-CO01 pattern paper</t>
    <phoneticPr fontId="13"/>
  </si>
  <si>
    <t>25A-PT04 pattern paper</t>
    <phoneticPr fontId="13"/>
  </si>
  <si>
    <t>men'coat  SAMPLE CLOTHES</t>
  </si>
  <si>
    <t>men'coat  SAMPLE CLOTHES</t>
    <phoneticPr fontId="13"/>
  </si>
  <si>
    <t>25A-CO01 SAMPLE</t>
  </si>
  <si>
    <t>25A-CO01 SAMPLE</t>
    <phoneticPr fontId="13"/>
  </si>
  <si>
    <t>men's pants SAMPLE CLOTHES</t>
  </si>
  <si>
    <t>men's pants SAMPLE CLOTHES</t>
    <phoneticPr fontId="13"/>
  </si>
  <si>
    <t>25A-PT01 SAMPLE</t>
  </si>
  <si>
    <t>25A-PT01 SAMPLE</t>
    <phoneticPr fontId="13"/>
  </si>
  <si>
    <t>25A-PT02 SAMPLE</t>
  </si>
  <si>
    <t>25A-PT04 SAMPLE</t>
  </si>
  <si>
    <t>25A-PT04 SAMPLE</t>
    <phoneticPr fontId="13"/>
  </si>
  <si>
    <t>men's shirt SAMPLE CLOTHES</t>
  </si>
  <si>
    <t>men's shirt SAMPLE CLOTHES</t>
    <phoneticPr fontId="13"/>
  </si>
  <si>
    <t>25A-SH01 SAMPLE</t>
  </si>
  <si>
    <t>25A-SH01 SAMPLE</t>
    <phoneticPr fontId="13"/>
  </si>
  <si>
    <t>lady's skirt SAMPLE CLOTHES</t>
  </si>
  <si>
    <t>lady's skirt SAMPLE CLOTHES</t>
    <phoneticPr fontId="13"/>
  </si>
  <si>
    <t>25A-SK01 SAMPLE</t>
  </si>
  <si>
    <t>25A-SK01 SAMPLE</t>
    <phoneticPr fontId="13"/>
  </si>
  <si>
    <t>4/7</t>
    <phoneticPr fontId="13"/>
  </si>
  <si>
    <t>佐川440864038985</t>
    <rPh sb="0" eb="2">
      <t>サガワ</t>
    </rPh>
    <phoneticPr fontId="13"/>
  </si>
  <si>
    <t>21</t>
    <phoneticPr fontId="13"/>
  </si>
  <si>
    <t>入庫NO.22072684</t>
    <rPh sb="0" eb="2">
      <t>ニュウコ</t>
    </rPh>
    <phoneticPr fontId="13"/>
  </si>
  <si>
    <t>21CARTONS</t>
    <phoneticPr fontId="13"/>
  </si>
  <si>
    <t>C/#BROWN</t>
    <phoneticPr fontId="13"/>
  </si>
  <si>
    <t>lady's</t>
    <phoneticPr fontId="13"/>
  </si>
  <si>
    <t>C/#STRIPE</t>
    <phoneticPr fontId="13"/>
  </si>
  <si>
    <t>c/#BLUE</t>
    <phoneticPr fontId="13"/>
  </si>
  <si>
    <r>
      <t>WOOL65%</t>
    </r>
    <r>
      <rPr>
        <sz val="24"/>
        <rFont val="ＭＳ Ｐゴシック"/>
        <family val="3"/>
        <charset val="128"/>
      </rPr>
      <t>、</t>
    </r>
    <r>
      <rPr>
        <sz val="24"/>
        <rFont val="Century Gothic"/>
        <family val="2"/>
      </rPr>
      <t>POLYESTER35%</t>
    </r>
  </si>
  <si>
    <t>WOOL100%</t>
  </si>
  <si>
    <t>WOOL100%</t>
    <phoneticPr fontId="13"/>
  </si>
  <si>
    <r>
      <t xml:space="preserve">COTTON100%
</t>
    </r>
    <r>
      <rPr>
        <sz val="20"/>
        <rFont val="Yu Gothic"/>
        <family val="2"/>
        <charset val="128"/>
      </rPr>
      <t>別布：</t>
    </r>
    <r>
      <rPr>
        <sz val="20"/>
        <rFont val="Century Gothic"/>
        <family val="2"/>
      </rPr>
      <t>POLYESTER100</t>
    </r>
    <r>
      <rPr>
        <sz val="20"/>
        <rFont val="Yu Gothic"/>
        <family val="2"/>
        <charset val="128"/>
      </rPr>
      <t>％</t>
    </r>
    <rPh sb="11" eb="13">
      <t>ベツヌノ</t>
    </rPh>
    <phoneticPr fontId="13"/>
  </si>
  <si>
    <t xml:space="preserve"> C/NO. 1-21</t>
    <phoneticPr fontId="13"/>
  </si>
  <si>
    <t>Apr, 09 2025</t>
    <phoneticPr fontId="13"/>
  </si>
  <si>
    <t xml:space="preserve"> SY-6400409-VT-DD-01</t>
    <phoneticPr fontId="13"/>
  </si>
  <si>
    <t>638.8M. 486PCS. 16SET.</t>
    <phoneticPr fontId="13"/>
  </si>
  <si>
    <t>21PACKAGES</t>
    <phoneticPr fontId="13"/>
  </si>
  <si>
    <t>007S0052015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</si>
</sst>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  <numFmt numFmtId="184" formatCode="m/d;@"/>
  </numFmts>
  <fonts count="68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10"/>
      <color theme="1"/>
      <name val="Microsoft YaHei"/>
      <family val="2"/>
      <charset val="134"/>
    </font>
    <font>
      <sz val="24"/>
      <name val="ＭＳ Ｐ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color rgb="FFFF0000"/>
      <name val="Yu Gothic"/>
      <family val="2"/>
      <charset val="128"/>
    </font>
    <font>
      <sz val="20"/>
      <name val="Century Gothic"/>
      <family val="2"/>
    </font>
    <font>
      <sz val="20"/>
      <name val="Yu Gothic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4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6" fontId="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57">
    <xf numFmtId="0" fontId="0" fillId="0" borderId="0" xfId="0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shrinkToFi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1" fillId="2" borderId="0" xfId="0" applyFont="1" applyFill="1" applyAlignment="1">
      <alignment horizontal="left" vertical="center"/>
    </xf>
    <xf numFmtId="0" fontId="23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 shrinkToFit="1"/>
    </xf>
    <xf numFmtId="0" fontId="17" fillId="0" borderId="0" xfId="1" applyNumberFormat="1" applyFont="1" applyFill="1" applyBorder="1" applyAlignment="1" applyProtection="1"/>
    <xf numFmtId="26" fontId="11" fillId="0" borderId="0" xfId="0" applyNumberFormat="1" applyFont="1" applyAlignment="1">
      <alignment horizontal="left" vertical="center" shrinkToFit="1"/>
    </xf>
    <xf numFmtId="178" fontId="11" fillId="0" borderId="0" xfId="0" applyNumberFormat="1" applyFont="1" applyAlignment="1">
      <alignment horizontal="left" vertical="center" shrinkToFit="1"/>
    </xf>
    <xf numFmtId="0" fontId="15" fillId="0" borderId="0" xfId="0" applyFont="1" applyAlignment="1">
      <alignment vertical="center" shrinkToFit="1"/>
    </xf>
    <xf numFmtId="0" fontId="11" fillId="0" borderId="4" xfId="0" applyFont="1" applyBorder="1" applyAlignment="1">
      <alignment horizontal="center" vertical="center"/>
    </xf>
    <xf numFmtId="0" fontId="24" fillId="0" borderId="0" xfId="0" applyFont="1" applyAlignment="1">
      <alignment vertical="center" shrinkToFit="1"/>
    </xf>
    <xf numFmtId="0" fontId="25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 shrinkToFit="1"/>
    </xf>
    <xf numFmtId="177" fontId="20" fillId="3" borderId="0" xfId="0" applyNumberFormat="1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vertical="center" wrapText="1"/>
    </xf>
    <xf numFmtId="179" fontId="23" fillId="0" borderId="10" xfId="0" applyNumberFormat="1" applyFont="1" applyBorder="1" applyAlignment="1">
      <alignment vertical="center" shrinkToFit="1"/>
    </xf>
    <xf numFmtId="49" fontId="31" fillId="0" borderId="10" xfId="0" quotePrefix="1" applyNumberFormat="1" applyFont="1" applyBorder="1" applyAlignment="1">
      <alignment horizontal="left" vertical="center"/>
    </xf>
    <xf numFmtId="179" fontId="23" fillId="0" borderId="11" xfId="0" applyNumberFormat="1" applyFont="1" applyBorder="1" applyAlignment="1">
      <alignment vertical="center" shrinkToFit="1"/>
    </xf>
    <xf numFmtId="49" fontId="28" fillId="0" borderId="11" xfId="0" quotePrefix="1" applyNumberFormat="1" applyFont="1" applyBorder="1" applyAlignment="1">
      <alignment horizontal="left" vertical="center"/>
    </xf>
    <xf numFmtId="179" fontId="23" fillId="0" borderId="4" xfId="0" applyNumberFormat="1" applyFont="1" applyBorder="1" applyAlignment="1">
      <alignment vertical="center" shrinkToFit="1"/>
    </xf>
    <xf numFmtId="49" fontId="28" fillId="0" borderId="7" xfId="0" quotePrefix="1" applyNumberFormat="1" applyFont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49" fontId="15" fillId="0" borderId="10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26" fillId="0" borderId="1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49" fontId="24" fillId="0" borderId="10" xfId="0" applyNumberFormat="1" applyFont="1" applyBorder="1" applyAlignment="1">
      <alignment horizontal="left" vertical="center"/>
    </xf>
    <xf numFmtId="0" fontId="15" fillId="0" borderId="10" xfId="0" applyFont="1" applyBorder="1">
      <alignment vertical="center"/>
    </xf>
    <xf numFmtId="26" fontId="15" fillId="0" borderId="1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49" fontId="11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26" fontId="15" fillId="0" borderId="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 wrapText="1"/>
    </xf>
    <xf numFmtId="1" fontId="11" fillId="0" borderId="8" xfId="0" applyNumberFormat="1" applyFont="1" applyBorder="1" applyAlignment="1">
      <alignment horizontal="center" vertical="center"/>
    </xf>
    <xf numFmtId="178" fontId="23" fillId="0" borderId="10" xfId="0" applyNumberFormat="1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/>
    </xf>
    <xf numFmtId="0" fontId="29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179" fontId="23" fillId="0" borderId="11" xfId="0" applyNumberFormat="1" applyFont="1" applyBorder="1" applyAlignment="1">
      <alignment horizontal="center" vertical="center" shrinkToFit="1"/>
    </xf>
    <xf numFmtId="178" fontId="23" fillId="0" borderId="11" xfId="0" applyNumberFormat="1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179" fontId="23" fillId="0" borderId="4" xfId="0" applyNumberFormat="1" applyFont="1" applyBorder="1" applyAlignment="1">
      <alignment horizontal="center" vertical="center" shrinkToFit="1"/>
    </xf>
    <xf numFmtId="178" fontId="23" fillId="0" borderId="4" xfId="0" applyNumberFormat="1" applyFont="1" applyBorder="1" applyAlignment="1">
      <alignment horizontal="right" vertical="center"/>
    </xf>
    <xf numFmtId="177" fontId="11" fillId="0" borderId="4" xfId="0" applyNumberFormat="1" applyFont="1" applyBorder="1" applyAlignment="1">
      <alignment horizontal="right" vertical="center"/>
    </xf>
    <xf numFmtId="0" fontId="32" fillId="0" borderId="4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180" fontId="11" fillId="0" borderId="8" xfId="2" applyNumberFormat="1" applyFont="1" applyFill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shrinkToFit="1"/>
    </xf>
    <xf numFmtId="49" fontId="11" fillId="0" borderId="10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0" xfId="0" applyFont="1" applyBorder="1">
      <alignment vertical="center"/>
    </xf>
    <xf numFmtId="0" fontId="34" fillId="0" borderId="0" xfId="0" applyFont="1">
      <alignment vertical="center"/>
    </xf>
    <xf numFmtId="0" fontId="34" fillId="0" borderId="37" xfId="0" applyFont="1" applyBorder="1">
      <alignment vertical="center"/>
    </xf>
    <xf numFmtId="0" fontId="34" fillId="0" borderId="0" xfId="0" applyFont="1" applyAlignment="1">
      <alignment horizontal="left" vertical="center"/>
    </xf>
    <xf numFmtId="0" fontId="34" fillId="0" borderId="38" xfId="0" applyFont="1" applyBorder="1">
      <alignment vertical="center"/>
    </xf>
    <xf numFmtId="0" fontId="34" fillId="0" borderId="39" xfId="0" applyFont="1" applyBorder="1">
      <alignment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11" fillId="0" borderId="1" xfId="0" applyFont="1" applyBorder="1">
      <alignment vertical="center"/>
    </xf>
    <xf numFmtId="0" fontId="40" fillId="0" borderId="1" xfId="0" applyFont="1" applyBorder="1">
      <alignment vertical="center"/>
    </xf>
    <xf numFmtId="0" fontId="43" fillId="0" borderId="0" xfId="0" applyFont="1">
      <alignment vertical="center"/>
    </xf>
    <xf numFmtId="0" fontId="41" fillId="0" borderId="2" xfId="0" applyFont="1" applyBorder="1">
      <alignment vertical="center"/>
    </xf>
    <xf numFmtId="0" fontId="43" fillId="0" borderId="3" xfId="0" applyFont="1" applyBorder="1">
      <alignment vertical="center"/>
    </xf>
    <xf numFmtId="0" fontId="43" fillId="0" borderId="2" xfId="0" applyFont="1" applyBorder="1">
      <alignment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>
      <alignment vertical="center"/>
    </xf>
    <xf numFmtId="0" fontId="41" fillId="0" borderId="42" xfId="0" applyFont="1" applyBorder="1">
      <alignment vertical="center"/>
    </xf>
    <xf numFmtId="0" fontId="43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49" fontId="11" fillId="0" borderId="41" xfId="0" applyNumberFormat="1" applyFont="1" applyBorder="1">
      <alignment vertical="center"/>
    </xf>
    <xf numFmtId="49" fontId="11" fillId="0" borderId="43" xfId="0" applyNumberFormat="1" applyFont="1" applyBorder="1">
      <alignment vertical="center"/>
    </xf>
    <xf numFmtId="0" fontId="41" fillId="0" borderId="44" xfId="0" applyFont="1" applyBorder="1">
      <alignment vertical="center"/>
    </xf>
    <xf numFmtId="0" fontId="24" fillId="5" borderId="42" xfId="0" applyFont="1" applyFill="1" applyBorder="1" applyAlignment="1">
      <alignment horizontal="left" vertical="center"/>
    </xf>
    <xf numFmtId="0" fontId="43" fillId="0" borderId="42" xfId="0" applyFont="1" applyBorder="1">
      <alignment vertical="center"/>
    </xf>
    <xf numFmtId="0" fontId="11" fillId="0" borderId="7" xfId="0" applyFont="1" applyBorder="1">
      <alignment vertical="center"/>
    </xf>
    <xf numFmtId="0" fontId="41" fillId="0" borderId="41" xfId="0" applyFont="1" applyBorder="1">
      <alignment vertical="center"/>
    </xf>
    <xf numFmtId="0" fontId="41" fillId="0" borderId="40" xfId="0" applyFont="1" applyBorder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4" fillId="0" borderId="0" xfId="0" applyFont="1">
      <alignment vertical="center"/>
    </xf>
    <xf numFmtId="0" fontId="45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46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6" xfId="0" applyFont="1" applyBorder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6" fontId="15" fillId="0" borderId="42" xfId="0" applyNumberFormat="1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26" fontId="15" fillId="0" borderId="0" xfId="0" applyNumberFormat="1" applyFont="1" applyAlignment="1">
      <alignment horizontal="left" vertical="center"/>
    </xf>
    <xf numFmtId="0" fontId="44" fillId="0" borderId="0" xfId="0" applyFont="1" applyAlignment="1">
      <alignment horizontal="center"/>
    </xf>
    <xf numFmtId="49" fontId="11" fillId="0" borderId="0" xfId="0" applyNumberFormat="1" applyFont="1">
      <alignment vertical="center"/>
    </xf>
    <xf numFmtId="180" fontId="23" fillId="0" borderId="4" xfId="2" applyNumberFormat="1" applyFont="1" applyFill="1" applyBorder="1" applyAlignment="1">
      <alignment horizontal="right" vertical="center"/>
    </xf>
    <xf numFmtId="1" fontId="23" fillId="0" borderId="4" xfId="2" applyNumberFormat="1" applyFont="1" applyFill="1" applyBorder="1" applyAlignment="1">
      <alignment horizontal="left" vertical="center"/>
    </xf>
    <xf numFmtId="177" fontId="23" fillId="0" borderId="42" xfId="2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23" fillId="0" borderId="4" xfId="2" applyNumberFormat="1" applyFont="1" applyFill="1" applyBorder="1" applyAlignment="1">
      <alignment horizontal="right" vertical="center"/>
    </xf>
    <xf numFmtId="177" fontId="23" fillId="3" borderId="42" xfId="2" applyNumberFormat="1" applyFont="1" applyFill="1" applyBorder="1" applyAlignment="1">
      <alignment horizontal="right" vertical="center"/>
    </xf>
    <xf numFmtId="0" fontId="11" fillId="0" borderId="47" xfId="0" applyFont="1" applyBorder="1" applyAlignment="1">
      <alignment horizontal="left" vertical="center"/>
    </xf>
    <xf numFmtId="181" fontId="11" fillId="0" borderId="47" xfId="2" applyNumberFormat="1" applyFont="1" applyFill="1" applyBorder="1" applyAlignment="1">
      <alignment horizontal="left" vertical="center" indent="1"/>
    </xf>
    <xf numFmtId="182" fontId="23" fillId="0" borderId="47" xfId="0" applyNumberFormat="1" applyFont="1" applyBorder="1" applyAlignment="1">
      <alignment horizontal="left" vertical="center"/>
    </xf>
    <xf numFmtId="178" fontId="23" fillId="0" borderId="47" xfId="0" applyNumberFormat="1" applyFont="1" applyBorder="1" applyAlignment="1">
      <alignment horizontal="right" vertical="center"/>
    </xf>
    <xf numFmtId="0" fontId="11" fillId="0" borderId="0" xfId="0" quotePrefix="1" applyFont="1">
      <alignment vertical="center"/>
    </xf>
    <xf numFmtId="0" fontId="11" fillId="0" borderId="0" xfId="0" quotePrefix="1" applyFont="1" applyAlignment="1">
      <alignment horizontal="left" vertical="center"/>
    </xf>
    <xf numFmtId="26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183" fontId="11" fillId="0" borderId="0" xfId="0" applyNumberFormat="1" applyFont="1">
      <alignment vertical="center"/>
    </xf>
    <xf numFmtId="0" fontId="45" fillId="0" borderId="0" xfId="0" applyFont="1">
      <alignment vertical="center"/>
    </xf>
    <xf numFmtId="49" fontId="24" fillId="0" borderId="0" xfId="0" applyNumberFormat="1" applyFont="1">
      <alignment vertical="center"/>
    </xf>
    <xf numFmtId="0" fontId="24" fillId="0" borderId="0" xfId="0" applyFont="1" applyAlignment="1">
      <alignment horizontal="left" vertical="center"/>
    </xf>
    <xf numFmtId="49" fontId="24" fillId="5" borderId="0" xfId="0" applyNumberFormat="1" applyFont="1" applyFill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49" fontId="41" fillId="0" borderId="0" xfId="0" applyNumberFormat="1" applyFont="1" applyAlignment="1">
      <alignment horizontal="right"/>
    </xf>
    <xf numFmtId="0" fontId="47" fillId="0" borderId="0" xfId="0" applyFont="1">
      <alignment vertical="center"/>
    </xf>
    <xf numFmtId="0" fontId="41" fillId="0" borderId="0" xfId="0" applyFont="1" applyAlignment="1">
      <alignment horizontal="center"/>
    </xf>
    <xf numFmtId="0" fontId="47" fillId="0" borderId="41" xfId="0" applyFont="1" applyBorder="1" applyAlignment="1">
      <alignment horizontal="left"/>
    </xf>
    <xf numFmtId="49" fontId="41" fillId="0" borderId="41" xfId="0" applyNumberFormat="1" applyFont="1" applyBorder="1" applyAlignment="1">
      <alignment horizontal="right"/>
    </xf>
    <xf numFmtId="49" fontId="41" fillId="0" borderId="0" xfId="0" applyNumberFormat="1" applyFont="1">
      <alignment vertical="center"/>
    </xf>
    <xf numFmtId="0" fontId="40" fillId="0" borderId="0" xfId="0" applyFont="1" applyAlignment="1">
      <alignment horizontal="center"/>
    </xf>
    <xf numFmtId="49" fontId="40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8" fillId="0" borderId="0" xfId="0" applyNumberFormat="1" applyFont="1">
      <alignment vertical="center"/>
    </xf>
    <xf numFmtId="49" fontId="48" fillId="0" borderId="1" xfId="0" applyNumberFormat="1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0" fontId="0" fillId="0" borderId="49" xfId="0" applyBorder="1">
      <alignment vertical="center"/>
    </xf>
    <xf numFmtId="0" fontId="16" fillId="0" borderId="0" xfId="0" applyFont="1">
      <alignment vertical="center"/>
    </xf>
    <xf numFmtId="0" fontId="0" fillId="0" borderId="41" xfId="0" applyBorder="1">
      <alignment vertical="center"/>
    </xf>
    <xf numFmtId="0" fontId="16" fillId="0" borderId="1" xfId="0" applyFont="1" applyBorder="1">
      <alignment vertical="center"/>
    </xf>
    <xf numFmtId="49" fontId="49" fillId="0" borderId="0" xfId="0" applyNumberFormat="1" applyFont="1">
      <alignment vertical="center"/>
    </xf>
    <xf numFmtId="0" fontId="16" fillId="0" borderId="50" xfId="0" applyFont="1" applyBorder="1">
      <alignment vertical="center"/>
    </xf>
    <xf numFmtId="0" fontId="16" fillId="0" borderId="51" xfId="0" applyFont="1" applyBorder="1">
      <alignment vertical="center"/>
    </xf>
    <xf numFmtId="0" fontId="24" fillId="5" borderId="5" xfId="0" applyFont="1" applyFill="1" applyBorder="1" applyAlignment="1">
      <alignment horizontal="left" vertical="center"/>
    </xf>
    <xf numFmtId="1" fontId="11" fillId="0" borderId="5" xfId="0" applyNumberFormat="1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vertical="center"/>
    </xf>
    <xf numFmtId="0" fontId="23" fillId="0" borderId="47" xfId="0" applyFont="1" applyBorder="1" applyAlignment="1">
      <alignment horizontal="right" vertical="center"/>
    </xf>
    <xf numFmtId="0" fontId="11" fillId="0" borderId="47" xfId="0" applyFont="1" applyBorder="1">
      <alignment vertical="center"/>
    </xf>
    <xf numFmtId="49" fontId="23" fillId="0" borderId="10" xfId="0" quotePrefix="1" applyNumberFormat="1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horizontal="right" vertical="center"/>
    </xf>
    <xf numFmtId="0" fontId="23" fillId="0" borderId="8" xfId="0" applyFont="1" applyBorder="1" applyAlignment="1">
      <alignment horizontal="left" vertical="center"/>
    </xf>
    <xf numFmtId="178" fontId="23" fillId="0" borderId="8" xfId="0" applyNumberFormat="1" applyFont="1" applyBorder="1" applyAlignment="1">
      <alignment horizontal="right" vertical="center"/>
    </xf>
    <xf numFmtId="177" fontId="11" fillId="0" borderId="8" xfId="0" applyNumberFormat="1" applyFont="1" applyBorder="1" applyAlignment="1">
      <alignment horizontal="right" vertical="center"/>
    </xf>
    <xf numFmtId="49" fontId="23" fillId="0" borderId="8" xfId="0" applyNumberFormat="1" applyFont="1" applyBorder="1" applyAlignment="1">
      <alignment horizontal="left" vertical="center"/>
    </xf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right" vertical="center"/>
    </xf>
    <xf numFmtId="178" fontId="23" fillId="0" borderId="6" xfId="0" applyNumberFormat="1" applyFont="1" applyBorder="1" applyAlignment="1">
      <alignment horizontal="right" vertical="center"/>
    </xf>
    <xf numFmtId="177" fontId="11" fillId="0" borderId="6" xfId="0" applyNumberFormat="1" applyFont="1" applyBorder="1" applyAlignment="1">
      <alignment horizontal="right" vertical="center"/>
    </xf>
    <xf numFmtId="1" fontId="11" fillId="0" borderId="6" xfId="0" applyNumberFormat="1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49" fontId="24" fillId="3" borderId="28" xfId="0" applyNumberFormat="1" applyFont="1" applyFill="1" applyBorder="1">
      <alignment vertical="center"/>
    </xf>
    <xf numFmtId="0" fontId="11" fillId="0" borderId="30" xfId="0" applyFont="1" applyBorder="1">
      <alignment vertical="center"/>
    </xf>
    <xf numFmtId="0" fontId="41" fillId="0" borderId="23" xfId="0" applyFont="1" applyBorder="1">
      <alignment vertical="center"/>
    </xf>
    <xf numFmtId="0" fontId="11" fillId="0" borderId="43" xfId="0" applyFont="1" applyBorder="1">
      <alignment vertical="center"/>
    </xf>
    <xf numFmtId="0" fontId="41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49" fontId="54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5" fillId="0" borderId="0" xfId="0" applyFont="1">
      <alignment vertical="center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49" fontId="58" fillId="0" borderId="6" xfId="0" applyNumberFormat="1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3" borderId="55" xfId="0" applyFont="1" applyFill="1" applyBorder="1" applyAlignment="1">
      <alignment horizontal="center" vertical="center"/>
    </xf>
    <xf numFmtId="49" fontId="61" fillId="0" borderId="5" xfId="0" quotePrefix="1" applyNumberFormat="1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5" xfId="0" quotePrefix="1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58" fillId="0" borderId="25" xfId="0" applyFont="1" applyBorder="1" applyAlignment="1">
      <alignment horizontal="center" vertical="center"/>
    </xf>
    <xf numFmtId="49" fontId="32" fillId="0" borderId="4" xfId="0" applyNumberFormat="1" applyFont="1" applyBorder="1" applyAlignment="1">
      <alignment horizontal="center" vertical="center"/>
    </xf>
    <xf numFmtId="0" fontId="14" fillId="0" borderId="24" xfId="0" applyFont="1" applyBorder="1">
      <alignment vertical="center"/>
    </xf>
    <xf numFmtId="0" fontId="14" fillId="0" borderId="12" xfId="0" applyFont="1" applyBorder="1">
      <alignment vertical="center"/>
    </xf>
    <xf numFmtId="0" fontId="51" fillId="0" borderId="10" xfId="0" applyFont="1" applyBorder="1" applyAlignment="1">
      <alignment vertical="center" wrapText="1"/>
    </xf>
    <xf numFmtId="0" fontId="23" fillId="0" borderId="6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/>
    </xf>
    <xf numFmtId="49" fontId="24" fillId="3" borderId="31" xfId="0" applyNumberFormat="1" applyFont="1" applyFill="1" applyBorder="1">
      <alignment vertical="center"/>
    </xf>
    <xf numFmtId="49" fontId="24" fillId="3" borderId="29" xfId="0" applyNumberFormat="1" applyFont="1" applyFill="1" applyBorder="1">
      <alignment vertical="center"/>
    </xf>
    <xf numFmtId="49" fontId="32" fillId="0" borderId="24" xfId="0" applyNumberFormat="1" applyFont="1" applyBorder="1">
      <alignment vertical="center"/>
    </xf>
    <xf numFmtId="49" fontId="32" fillId="0" borderId="4" xfId="0" applyNumberFormat="1" applyFont="1" applyBorder="1">
      <alignment vertical="center"/>
    </xf>
    <xf numFmtId="49" fontId="32" fillId="0" borderId="12" xfId="0" applyNumberFormat="1" applyFont="1" applyBorder="1">
      <alignment vertical="center"/>
    </xf>
    <xf numFmtId="0" fontId="11" fillId="0" borderId="4" xfId="0" applyFont="1" applyBorder="1" applyAlignment="1">
      <alignment horizontal="left" vertical="center"/>
    </xf>
    <xf numFmtId="179" fontId="11" fillId="0" borderId="4" xfId="0" applyNumberFormat="1" applyFont="1" applyBorder="1" applyAlignment="1">
      <alignment vertical="center" shrinkToFit="1"/>
    </xf>
    <xf numFmtId="0" fontId="11" fillId="0" borderId="11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0" fontId="11" fillId="0" borderId="5" xfId="0" applyFont="1" applyBorder="1">
      <alignment vertical="center"/>
    </xf>
    <xf numFmtId="1" fontId="11" fillId="0" borderId="11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79" fontId="11" fillId="0" borderId="5" xfId="0" applyNumberFormat="1" applyFont="1" applyBorder="1" applyAlignment="1">
      <alignment vertical="center" shrinkToFit="1"/>
    </xf>
    <xf numFmtId="179" fontId="11" fillId="0" borderId="5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179" fontId="11" fillId="0" borderId="10" xfId="0" applyNumberFormat="1" applyFont="1" applyBorder="1" applyAlignment="1">
      <alignment vertical="center" shrinkToFit="1"/>
    </xf>
    <xf numFmtId="179" fontId="11" fillId="0" borderId="10" xfId="0" applyNumberFormat="1" applyFont="1" applyBorder="1" applyAlignment="1">
      <alignment horizontal="center" vertical="center"/>
    </xf>
    <xf numFmtId="1" fontId="11" fillId="0" borderId="53" xfId="0" applyNumberFormat="1" applyFont="1" applyBorder="1" applyAlignment="1">
      <alignment horizontal="center" vertical="center"/>
    </xf>
    <xf numFmtId="184" fontId="32" fillId="0" borderId="4" xfId="0" applyNumberFormat="1" applyFont="1" applyBorder="1" applyAlignment="1">
      <alignment horizontal="center" vertical="center"/>
    </xf>
    <xf numFmtId="179" fontId="11" fillId="0" borderId="11" xfId="0" applyNumberFormat="1" applyFont="1" applyBorder="1" applyAlignment="1">
      <alignment vertical="center" shrinkToFit="1"/>
    </xf>
    <xf numFmtId="179" fontId="11" fillId="0" borderId="11" xfId="0" applyNumberFormat="1" applyFont="1" applyBorder="1" applyAlignment="1">
      <alignment horizontal="center" vertical="center"/>
    </xf>
    <xf numFmtId="1" fontId="11" fillId="0" borderId="5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179" fontId="11" fillId="0" borderId="8" xfId="0" applyNumberFormat="1" applyFont="1" applyBorder="1" applyAlignment="1">
      <alignment vertical="center" shrinkToFit="1"/>
    </xf>
    <xf numFmtId="179" fontId="11" fillId="0" borderId="8" xfId="0" applyNumberFormat="1" applyFont="1" applyBorder="1" applyAlignment="1">
      <alignment horizontal="center" vertical="center"/>
    </xf>
    <xf numFmtId="1" fontId="11" fillId="0" borderId="43" xfId="0" applyNumberFormat="1" applyFont="1" applyBorder="1" applyAlignment="1">
      <alignment horizontal="center" vertical="center"/>
    </xf>
    <xf numFmtId="49" fontId="24" fillId="3" borderId="56" xfId="0" applyNumberFormat="1" applyFont="1" applyFill="1" applyBorder="1">
      <alignment vertical="center"/>
    </xf>
    <xf numFmtId="49" fontId="23" fillId="0" borderId="20" xfId="0" quotePrefix="1" applyNumberFormat="1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179" fontId="23" fillId="0" borderId="20" xfId="0" applyNumberFormat="1" applyFont="1" applyBorder="1" applyAlignment="1">
      <alignment vertical="center" shrinkToFit="1"/>
    </xf>
    <xf numFmtId="0" fontId="23" fillId="0" borderId="20" xfId="0" applyFont="1" applyBorder="1" applyAlignment="1">
      <alignment horizontal="center" vertical="center" wrapText="1"/>
    </xf>
    <xf numFmtId="1" fontId="11" fillId="0" borderId="20" xfId="0" applyNumberFormat="1" applyFont="1" applyBorder="1" applyAlignment="1">
      <alignment horizontal="center" vertical="center"/>
    </xf>
    <xf numFmtId="178" fontId="23" fillId="0" borderId="20" xfId="0" applyNumberFormat="1" applyFont="1" applyBorder="1" applyAlignment="1">
      <alignment horizontal="right" vertical="center"/>
    </xf>
    <xf numFmtId="177" fontId="11" fillId="0" borderId="20" xfId="0" applyNumberFormat="1" applyFont="1" applyBorder="1" applyAlignment="1">
      <alignment horizontal="right" vertical="center"/>
    </xf>
    <xf numFmtId="0" fontId="14" fillId="0" borderId="20" xfId="0" applyFont="1" applyBorder="1">
      <alignment vertical="center"/>
    </xf>
    <xf numFmtId="0" fontId="48" fillId="0" borderId="4" xfId="0" applyFont="1" applyBorder="1">
      <alignment vertical="center"/>
    </xf>
    <xf numFmtId="0" fontId="48" fillId="0" borderId="12" xfId="0" applyFont="1" applyBorder="1">
      <alignment vertical="center"/>
    </xf>
    <xf numFmtId="49" fontId="32" fillId="0" borderId="4" xfId="0" applyNumberFormat="1" applyFont="1" applyBorder="1" applyAlignment="1">
      <alignment horizontal="left" vertical="center"/>
    </xf>
    <xf numFmtId="0" fontId="48" fillId="0" borderId="24" xfId="0" applyFont="1" applyBorder="1">
      <alignment vertical="center"/>
    </xf>
    <xf numFmtId="0" fontId="16" fillId="0" borderId="56" xfId="0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left" vertical="center"/>
    </xf>
    <xf numFmtId="0" fontId="16" fillId="0" borderId="40" xfId="0" applyFont="1" applyBorder="1">
      <alignment vertical="center"/>
    </xf>
    <xf numFmtId="49" fontId="24" fillId="0" borderId="57" xfId="0" applyNumberFormat="1" applyFont="1" applyBorder="1">
      <alignment vertical="center"/>
    </xf>
    <xf numFmtId="0" fontId="21" fillId="0" borderId="25" xfId="0" applyFont="1" applyBorder="1" applyAlignment="1">
      <alignment horizontal="center" vertical="center"/>
    </xf>
    <xf numFmtId="0" fontId="16" fillId="0" borderId="59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11" fillId="0" borderId="5" xfId="0" applyFont="1" applyBorder="1" applyAlignment="1">
      <alignment horizontal="center"/>
    </xf>
    <xf numFmtId="180" fontId="11" fillId="0" borderId="5" xfId="2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49" fontId="24" fillId="5" borderId="43" xfId="0" quotePrefix="1" applyNumberFormat="1" applyFont="1" applyFill="1" applyBorder="1" applyAlignment="1">
      <alignment horizontal="left" vertical="center"/>
    </xf>
    <xf numFmtId="49" fontId="24" fillId="5" borderId="53" xfId="0" quotePrefix="1" applyNumberFormat="1" applyFont="1" applyFill="1" applyBorder="1" applyAlignment="1">
      <alignment horizontal="left" vertical="center"/>
    </xf>
    <xf numFmtId="49" fontId="24" fillId="5" borderId="11" xfId="0" quotePrefix="1" applyNumberFormat="1" applyFont="1" applyFill="1" applyBorder="1" applyAlignment="1">
      <alignment horizontal="left" vertical="center"/>
    </xf>
    <xf numFmtId="49" fontId="24" fillId="5" borderId="7" xfId="0" quotePrefix="1" applyNumberFormat="1" applyFont="1" applyFill="1" applyBorder="1" applyAlignment="1">
      <alignment horizontal="left" vertical="center"/>
    </xf>
    <xf numFmtId="49" fontId="24" fillId="5" borderId="52" xfId="0" quotePrefix="1" applyNumberFormat="1" applyFont="1" applyFill="1" applyBorder="1" applyAlignment="1">
      <alignment horizontal="left" vertical="center" wrapText="1"/>
    </xf>
    <xf numFmtId="49" fontId="24" fillId="5" borderId="53" xfId="0" quotePrefix="1" applyNumberFormat="1" applyFont="1" applyFill="1" applyBorder="1" applyAlignment="1">
      <alignment horizontal="left" vertical="center" wrapText="1"/>
    </xf>
    <xf numFmtId="49" fontId="24" fillId="5" borderId="10" xfId="0" quotePrefix="1" applyNumberFormat="1" applyFont="1" applyFill="1" applyBorder="1" applyAlignment="1">
      <alignment horizontal="left" vertical="center"/>
    </xf>
    <xf numFmtId="179" fontId="23" fillId="0" borderId="12" xfId="0" applyNumberFormat="1" applyFont="1" applyBorder="1" applyAlignment="1">
      <alignment horizontal="center" vertical="center" shrinkToFit="1"/>
    </xf>
    <xf numFmtId="49" fontId="65" fillId="0" borderId="11" xfId="0" applyNumberFormat="1" applyFont="1" applyBorder="1" applyAlignment="1">
      <alignment horizontal="left" vertical="center"/>
    </xf>
    <xf numFmtId="0" fontId="23" fillId="3" borderId="11" xfId="0" applyFont="1" applyFill="1" applyBorder="1" applyAlignment="1">
      <alignment horizontal="left" vertical="center"/>
    </xf>
    <xf numFmtId="49" fontId="11" fillId="3" borderId="11" xfId="0" applyNumberFormat="1" applyFont="1" applyFill="1" applyBorder="1" applyAlignment="1">
      <alignment horizontal="center" vertical="center"/>
    </xf>
    <xf numFmtId="3" fontId="11" fillId="3" borderId="11" xfId="0" applyNumberFormat="1" applyFont="1" applyFill="1" applyBorder="1" applyAlignment="1">
      <alignment horizontal="center" vertical="center"/>
    </xf>
    <xf numFmtId="177" fontId="11" fillId="3" borderId="11" xfId="0" applyNumberFormat="1" applyFont="1" applyFill="1" applyBorder="1" applyAlignment="1">
      <alignment horizontal="right" vertical="center" shrinkToFit="1"/>
    </xf>
    <xf numFmtId="177" fontId="11" fillId="3" borderId="11" xfId="0" applyNumberFormat="1" applyFont="1" applyFill="1" applyBorder="1" applyAlignment="1">
      <alignment horizontal="right" vertical="center"/>
    </xf>
    <xf numFmtId="49" fontId="32" fillId="0" borderId="12" xfId="0" applyNumberFormat="1" applyFont="1" applyBorder="1" applyAlignment="1">
      <alignment horizontal="center" vertical="center"/>
    </xf>
    <xf numFmtId="49" fontId="24" fillId="5" borderId="6" xfId="0" quotePrefix="1" applyNumberFormat="1" applyFont="1" applyFill="1" applyBorder="1" applyAlignment="1">
      <alignment horizontal="left" vertical="center"/>
    </xf>
    <xf numFmtId="179" fontId="11" fillId="0" borderId="6" xfId="0" applyNumberFormat="1" applyFont="1" applyBorder="1" applyAlignment="1">
      <alignment vertical="center" shrinkToFit="1"/>
    </xf>
    <xf numFmtId="179" fontId="11" fillId="0" borderId="6" xfId="0" applyNumberFormat="1" applyFont="1" applyBorder="1" applyAlignment="1">
      <alignment horizontal="center" vertical="center"/>
    </xf>
    <xf numFmtId="184" fontId="32" fillId="0" borderId="24" xfId="0" applyNumberFormat="1" applyFont="1" applyBorder="1" applyAlignment="1">
      <alignment horizontal="center" vertical="center"/>
    </xf>
    <xf numFmtId="6" fontId="11" fillId="0" borderId="5" xfId="12" applyFont="1" applyFill="1" applyBorder="1" applyAlignment="1">
      <alignment horizontal="right" vertical="center"/>
    </xf>
    <xf numFmtId="6" fontId="11" fillId="0" borderId="8" xfId="12" applyFont="1" applyFill="1" applyBorder="1" applyAlignment="1">
      <alignment horizontal="right" vertical="center"/>
    </xf>
    <xf numFmtId="0" fontId="66" fillId="0" borderId="5" xfId="0" applyFont="1" applyBorder="1" applyAlignment="1">
      <alignment horizontal="center" vertical="center" wrapText="1"/>
    </xf>
    <xf numFmtId="0" fontId="11" fillId="5" borderId="0" xfId="0" applyFont="1" applyFill="1" applyAlignment="1">
      <alignment vertical="center" shrinkToFit="1"/>
    </xf>
    <xf numFmtId="0" fontId="11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181" fontId="23" fillId="0" borderId="47" xfId="2" applyNumberFormat="1" applyFont="1" applyFill="1" applyBorder="1" applyAlignment="1">
      <alignment horizontal="center" vertical="center"/>
    </xf>
    <xf numFmtId="49" fontId="24" fillId="3" borderId="28" xfId="0" applyNumberFormat="1" applyFont="1" applyFill="1" applyBorder="1" applyAlignment="1">
      <alignment horizontal="center" vertical="center"/>
    </xf>
    <xf numFmtId="49" fontId="24" fillId="3" borderId="29" xfId="0" applyNumberFormat="1" applyFont="1" applyFill="1" applyBorder="1" applyAlignment="1">
      <alignment horizontal="center" vertical="center"/>
    </xf>
    <xf numFmtId="49" fontId="24" fillId="3" borderId="31" xfId="0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24" fillId="5" borderId="28" xfId="0" applyNumberFormat="1" applyFont="1" applyFill="1" applyBorder="1" applyAlignment="1">
      <alignment horizontal="center" vertical="center"/>
    </xf>
    <xf numFmtId="49" fontId="24" fillId="5" borderId="29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48" fillId="0" borderId="0" xfId="0" applyNumberFormat="1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49" fontId="32" fillId="0" borderId="4" xfId="0" applyNumberFormat="1" applyFont="1" applyBorder="1" applyAlignment="1">
      <alignment horizontal="center" vertical="center"/>
    </xf>
    <xf numFmtId="49" fontId="32" fillId="0" borderId="24" xfId="0" applyNumberFormat="1" applyFont="1" applyBorder="1" applyAlignment="1">
      <alignment horizontal="center" vertical="center"/>
    </xf>
    <xf numFmtId="49" fontId="32" fillId="0" borderId="12" xfId="0" applyNumberFormat="1" applyFont="1" applyBorder="1" applyAlignment="1">
      <alignment horizontal="center" vertical="center"/>
    </xf>
  </cellXfs>
  <cellStyles count="14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650875</xdr:colOff>
      <xdr:row>3</xdr:row>
      <xdr:rowOff>95250</xdr:rowOff>
    </xdr:from>
    <xdr:to>
      <xdr:col>6</xdr:col>
      <xdr:colOff>2873375</xdr:colOff>
      <xdr:row>3</xdr:row>
      <xdr:rowOff>2413915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C420A37-02B3-4EF3-43A4-EBC3A4972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34125" y="4079875"/>
          <a:ext cx="2222500" cy="2318665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4</xdr:row>
      <xdr:rowOff>79374</xdr:rowOff>
    </xdr:from>
    <xdr:to>
      <xdr:col>6</xdr:col>
      <xdr:colOff>3007519</xdr:colOff>
      <xdr:row>4</xdr:row>
      <xdr:rowOff>2444749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DD877BE-3262-1C46-59C7-9AD27A658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07125" y="6540499"/>
          <a:ext cx="2483644" cy="2365375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5</xdr:row>
      <xdr:rowOff>79375</xdr:rowOff>
    </xdr:from>
    <xdr:to>
      <xdr:col>6</xdr:col>
      <xdr:colOff>3095625</xdr:colOff>
      <xdr:row>5</xdr:row>
      <xdr:rowOff>2407646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BB3EB2F-6575-7E90-3BD7-2964194D7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7125" y="9017000"/>
          <a:ext cx="2571750" cy="2328271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</xdr:row>
      <xdr:rowOff>333375</xdr:rowOff>
    </xdr:from>
    <xdr:to>
      <xdr:col>6</xdr:col>
      <xdr:colOff>3397250</xdr:colOff>
      <xdr:row>6</xdr:row>
      <xdr:rowOff>2169441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2F77C0A-1B1C-456F-F6AA-1294EA34C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526125" y="11747500"/>
          <a:ext cx="3254375" cy="1836066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7</xdr:row>
      <xdr:rowOff>460375</xdr:rowOff>
    </xdr:from>
    <xdr:to>
      <xdr:col>6</xdr:col>
      <xdr:colOff>3413125</xdr:colOff>
      <xdr:row>7</xdr:row>
      <xdr:rowOff>1881607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2DE1D95-06D6-5042-9664-52F2AC43A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78500" y="14351000"/>
          <a:ext cx="3317875" cy="1421232"/>
        </a:xfrm>
        <a:prstGeom prst="rect">
          <a:avLst/>
        </a:prstGeom>
      </xdr:spPr>
    </xdr:pic>
    <xdr:clientData/>
  </xdr:twoCellAnchor>
  <xdr:twoCellAnchor editAs="oneCell">
    <xdr:from>
      <xdr:col>6</xdr:col>
      <xdr:colOff>174625</xdr:colOff>
      <xdr:row>2</xdr:row>
      <xdr:rowOff>412750</xdr:rowOff>
    </xdr:from>
    <xdr:to>
      <xdr:col>6</xdr:col>
      <xdr:colOff>3333750</xdr:colOff>
      <xdr:row>2</xdr:row>
      <xdr:rowOff>2101829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88BBD13-A89F-638C-026B-57BF62937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557875" y="1920875"/>
          <a:ext cx="3159125" cy="16890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opLeftCell="A25" workbookViewId="0">
      <selection activeCell="I46" sqref="I46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66</v>
      </c>
    </row>
    <row r="3" spans="1:3">
      <c r="A3" s="7">
        <f>A2+1</f>
        <v>3</v>
      </c>
      <c r="B3" s="4" t="s">
        <v>3</v>
      </c>
      <c r="C3" s="2" t="s">
        <v>67</v>
      </c>
    </row>
    <row r="4" spans="1:3">
      <c r="A4" s="7">
        <f t="shared" ref="A4:A68" si="0">A3+1</f>
        <v>4</v>
      </c>
      <c r="B4" s="4" t="s">
        <v>2</v>
      </c>
      <c r="C4" s="2" t="s">
        <v>68</v>
      </c>
    </row>
    <row r="5" spans="1:3" s="8" customFormat="1">
      <c r="A5" s="7">
        <f t="shared" si="0"/>
        <v>5</v>
      </c>
      <c r="B5" s="4" t="s">
        <v>4</v>
      </c>
      <c r="C5" s="4" t="s">
        <v>69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77</v>
      </c>
      <c r="C9" s="4" t="s">
        <v>102</v>
      </c>
    </row>
    <row r="10" spans="1:3" s="8" customFormat="1">
      <c r="A10" s="7">
        <f t="shared" si="0"/>
        <v>10</v>
      </c>
      <c r="B10" s="9" t="s">
        <v>78</v>
      </c>
      <c r="C10" s="4" t="s">
        <v>146</v>
      </c>
    </row>
    <row r="11" spans="1:3" s="8" customFormat="1">
      <c r="A11" s="7">
        <f t="shared" si="0"/>
        <v>11</v>
      </c>
      <c r="B11" s="9" t="s">
        <v>79</v>
      </c>
      <c r="C11" s="2" t="s">
        <v>103</v>
      </c>
    </row>
    <row r="12" spans="1:3" s="8" customFormat="1">
      <c r="A12" s="7">
        <f t="shared" si="0"/>
        <v>12</v>
      </c>
      <c r="B12" s="9" t="s">
        <v>80</v>
      </c>
      <c r="C12" s="2" t="s">
        <v>104</v>
      </c>
    </row>
    <row r="13" spans="1:3" s="8" customFormat="1">
      <c r="A13" s="7">
        <f t="shared" si="0"/>
        <v>13</v>
      </c>
      <c r="B13" s="9" t="s">
        <v>9</v>
      </c>
      <c r="C13" s="3" t="s">
        <v>107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70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85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81</v>
      </c>
    </row>
    <row r="25" spans="1:3" s="8" customFormat="1">
      <c r="A25" s="7">
        <f t="shared" si="0"/>
        <v>25</v>
      </c>
      <c r="B25" s="9" t="s">
        <v>20</v>
      </c>
      <c r="C25" s="25" t="s">
        <v>261</v>
      </c>
    </row>
    <row r="26" spans="1:3">
      <c r="A26" s="7">
        <f t="shared" si="0"/>
        <v>26</v>
      </c>
      <c r="B26" s="9" t="s">
        <v>21</v>
      </c>
      <c r="C26" s="26" t="s">
        <v>262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SY-6400409-VT-DD-01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71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65</v>
      </c>
    </row>
    <row r="36" spans="1:3">
      <c r="A36" s="7">
        <f t="shared" si="0"/>
        <v>36</v>
      </c>
      <c r="B36" s="9" t="s">
        <v>32</v>
      </c>
      <c r="C36" s="15" t="s">
        <v>106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263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invoice!M30</f>
        <v>990723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65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SY-6400409-VT-DD-01</v>
      </c>
    </row>
    <row r="50" spans="1:3">
      <c r="A50" s="7">
        <f t="shared" si="0"/>
        <v>50</v>
      </c>
      <c r="B50" s="9" t="s">
        <v>45</v>
      </c>
      <c r="C50" s="4" t="s">
        <v>102</v>
      </c>
    </row>
    <row r="51" spans="1:3">
      <c r="A51" s="7">
        <f t="shared" si="0"/>
        <v>51</v>
      </c>
      <c r="B51" s="9" t="s">
        <v>46</v>
      </c>
      <c r="C51" s="4" t="s">
        <v>146</v>
      </c>
    </row>
    <row r="52" spans="1:3">
      <c r="A52" s="7">
        <f t="shared" si="0"/>
        <v>52</v>
      </c>
      <c r="B52" s="9" t="s">
        <v>47</v>
      </c>
      <c r="C52" s="2" t="s">
        <v>103</v>
      </c>
    </row>
    <row r="53" spans="1:3">
      <c r="A53" s="7">
        <f t="shared" si="0"/>
        <v>53</v>
      </c>
      <c r="B53" s="9" t="s">
        <v>48</v>
      </c>
      <c r="C53" s="2" t="s">
        <v>104</v>
      </c>
    </row>
    <row r="54" spans="1:3">
      <c r="A54" s="7">
        <f t="shared" si="0"/>
        <v>54</v>
      </c>
      <c r="B54" s="9" t="s">
        <v>49</v>
      </c>
      <c r="C54" s="3" t="s">
        <v>105</v>
      </c>
    </row>
    <row r="55" spans="1:3">
      <c r="A55" s="7">
        <f t="shared" si="0"/>
        <v>55</v>
      </c>
      <c r="B55" s="28" t="s">
        <v>50</v>
      </c>
      <c r="C55" s="328" t="s">
        <v>264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53</v>
      </c>
    </row>
    <row r="61" spans="1:3">
      <c r="A61" s="7">
        <f t="shared" si="0"/>
        <v>61</v>
      </c>
      <c r="B61" s="4" t="s">
        <v>54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82</v>
      </c>
      <c r="C63" s="17" t="s">
        <v>83</v>
      </c>
    </row>
    <row r="64" spans="1:3">
      <c r="A64" s="7">
        <f t="shared" si="0"/>
        <v>64</v>
      </c>
      <c r="B64" s="4"/>
      <c r="C64" s="17" t="s">
        <v>84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55</v>
      </c>
      <c r="C67" s="6"/>
    </row>
    <row r="68" spans="1:3">
      <c r="A68" s="7">
        <f t="shared" si="0"/>
        <v>68</v>
      </c>
      <c r="B68" s="9" t="s">
        <v>56</v>
      </c>
      <c r="C68" s="2" t="s">
        <v>76</v>
      </c>
    </row>
    <row r="69" spans="1:3">
      <c r="A69" s="7">
        <f t="shared" ref="A69:A86" si="1">A68+1</f>
        <v>69</v>
      </c>
      <c r="B69" s="4" t="s">
        <v>57</v>
      </c>
      <c r="C69" s="2" t="s">
        <v>74</v>
      </c>
    </row>
    <row r="70" spans="1:3">
      <c r="A70" s="7">
        <f t="shared" si="1"/>
        <v>70</v>
      </c>
      <c r="B70" s="4" t="s">
        <v>58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59</v>
      </c>
      <c r="C75" s="2" t="s">
        <v>73</v>
      </c>
    </row>
    <row r="76" spans="1:3">
      <c r="A76" s="7">
        <f t="shared" si="1"/>
        <v>76</v>
      </c>
      <c r="B76" s="4" t="s">
        <v>60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61</v>
      </c>
      <c r="C78" s="2" t="s">
        <v>75</v>
      </c>
    </row>
    <row r="79" spans="1:3">
      <c r="A79" s="7">
        <f t="shared" si="1"/>
        <v>79</v>
      </c>
      <c r="B79" s="4" t="s">
        <v>62</v>
      </c>
      <c r="C79" s="2" t="s">
        <v>75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63</v>
      </c>
      <c r="C81" s="25" t="s">
        <v>261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64</v>
      </c>
      <c r="C83" s="2" t="s">
        <v>72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3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105" customFormat="1" ht="32.25" customHeight="1">
      <c r="H1" s="106"/>
    </row>
    <row r="2" spans="1:15" s="105" customFormat="1" ht="32.5">
      <c r="A2" s="105" t="str">
        <f>'shipper master'!C26</f>
        <v xml:space="preserve"> SY-6400409-VT-DD-01</v>
      </c>
      <c r="H2" s="106"/>
      <c r="I2" s="105" t="str">
        <f>'shipper master'!C26</f>
        <v xml:space="preserve"> SY-6400409-VT-DD-01</v>
      </c>
    </row>
    <row r="3" spans="1:15" s="105" customFormat="1" ht="32.5">
      <c r="A3" s="105" t="str">
        <f>'[1]shipper master'!C50</f>
        <v xml:space="preserve">VIVAN GARMENTS VIET NAM </v>
      </c>
      <c r="H3" s="106"/>
      <c r="I3" s="105" t="str">
        <f>'[1]shipper master'!C50</f>
        <v xml:space="preserve">VIVAN GARMENTS VIET NAM </v>
      </c>
    </row>
    <row r="4" spans="1:15" s="105" customFormat="1" ht="32.5">
      <c r="A4" s="105" t="str">
        <f>'[1]shipper master'!C51</f>
        <v xml:space="preserve"> COMPANY LIMITED</v>
      </c>
      <c r="H4" s="106"/>
      <c r="I4" s="105" t="str">
        <f>'[1]shipper master'!C51</f>
        <v xml:space="preserve"> COMPANY LIMITED</v>
      </c>
    </row>
    <row r="5" spans="1:15" s="105" customFormat="1" ht="32.5">
      <c r="A5" s="105" t="str">
        <f>'[1]shipper master'!C52</f>
        <v xml:space="preserve"> HOCHIMINH-CITY, VIETNAM</v>
      </c>
      <c r="H5" s="106"/>
      <c r="I5" s="105" t="str">
        <f>'[1]shipper master'!C52</f>
        <v xml:space="preserve"> HOCHIMINH-CITY, VIETNAM</v>
      </c>
    </row>
    <row r="6" spans="1:15" s="105" customFormat="1" ht="32.5">
      <c r="A6" s="105" t="s">
        <v>111</v>
      </c>
      <c r="C6" s="105">
        <v>1</v>
      </c>
      <c r="D6" s="107"/>
      <c r="H6" s="106"/>
      <c r="I6" s="105" t="s">
        <v>111</v>
      </c>
      <c r="K6" s="105">
        <v>2</v>
      </c>
    </row>
    <row r="7" spans="1:15" s="105" customFormat="1" ht="32.25" customHeight="1">
      <c r="A7" s="105" t="str">
        <f>'[1]shipper master'!C54</f>
        <v xml:space="preserve"> MADE IN JAPAN</v>
      </c>
      <c r="H7" s="106"/>
      <c r="I7" s="105" t="str">
        <f>'[1]shipper master'!C54</f>
        <v xml:space="preserve"> MADE IN JAPAN</v>
      </c>
    </row>
    <row r="8" spans="1:15" s="105" customFormat="1" ht="19.5" customHeight="1">
      <c r="H8" s="106"/>
    </row>
    <row r="9" spans="1:15" s="105" customFormat="1" ht="19.5" customHeight="1">
      <c r="H9" s="106"/>
    </row>
    <row r="10" spans="1:15" s="105" customFormat="1" ht="19.5" customHeight="1">
      <c r="A10" s="108"/>
      <c r="B10" s="108"/>
      <c r="C10" s="108"/>
      <c r="D10" s="108"/>
      <c r="E10" s="108"/>
      <c r="F10" s="108"/>
      <c r="G10" s="108"/>
      <c r="H10" s="109"/>
      <c r="I10" s="108"/>
      <c r="J10" s="108"/>
      <c r="K10" s="108"/>
      <c r="L10" s="108"/>
      <c r="M10" s="108"/>
      <c r="N10" s="108"/>
      <c r="O10" s="108"/>
    </row>
    <row r="11" spans="1:15" s="105" customFormat="1" ht="19.5" customHeight="1">
      <c r="H11" s="106"/>
    </row>
    <row r="12" spans="1:15" s="105" customFormat="1" ht="19.5" customHeight="1">
      <c r="H12" s="106"/>
    </row>
    <row r="13" spans="1:15" s="105" customFormat="1" ht="32.5">
      <c r="A13" s="105" t="str">
        <f>'shipper master'!C26</f>
        <v xml:space="preserve"> SY-6400409-VT-DD-01</v>
      </c>
      <c r="H13" s="106"/>
      <c r="I13" s="105" t="str">
        <f>'shipper master'!C26</f>
        <v xml:space="preserve"> SY-6400409-VT-DD-01</v>
      </c>
    </row>
    <row r="14" spans="1:15" s="105" customFormat="1" ht="32.5">
      <c r="A14" s="105" t="str">
        <f>'[1]shipper master'!C50</f>
        <v xml:space="preserve">VIVAN GARMENTS VIET NAM </v>
      </c>
      <c r="H14" s="106"/>
      <c r="I14" s="105" t="str">
        <f>'[1]shipper master'!C50</f>
        <v xml:space="preserve">VIVAN GARMENTS VIET NAM </v>
      </c>
    </row>
    <row r="15" spans="1:15" s="105" customFormat="1" ht="32.5">
      <c r="A15" s="105" t="str">
        <f>'[1]shipper master'!C51</f>
        <v xml:space="preserve"> COMPANY LIMITED</v>
      </c>
      <c r="H15" s="106"/>
      <c r="I15" s="105" t="str">
        <f>'[1]shipper master'!C51</f>
        <v xml:space="preserve"> COMPANY LIMITED</v>
      </c>
    </row>
    <row r="16" spans="1:15" s="105" customFormat="1" ht="32.5">
      <c r="A16" s="105" t="str">
        <f>'[1]shipper master'!C52</f>
        <v xml:space="preserve"> HOCHIMINH-CITY, VIETNAM</v>
      </c>
      <c r="H16" s="106"/>
      <c r="I16" s="105" t="str">
        <f>'[1]shipper master'!C52</f>
        <v xml:space="preserve"> HOCHIMINH-CITY, VIETNAM</v>
      </c>
    </row>
    <row r="17" spans="1:11" s="105" customFormat="1" ht="32.5">
      <c r="A17" s="105" t="s">
        <v>111</v>
      </c>
      <c r="C17" s="105">
        <v>3</v>
      </c>
      <c r="H17" s="106"/>
      <c r="I17" s="105" t="s">
        <v>111</v>
      </c>
      <c r="K17" s="105">
        <v>4</v>
      </c>
    </row>
    <row r="18" spans="1:11" s="105" customFormat="1" ht="32.5">
      <c r="A18" s="105" t="str">
        <f>'[1]shipper master'!C54</f>
        <v xml:space="preserve"> MADE IN JAPAN</v>
      </c>
      <c r="H18" s="106"/>
      <c r="I18" s="105" t="str">
        <f>'[1]shipper master'!C54</f>
        <v xml:space="preserve"> MADE IN JAPAN</v>
      </c>
    </row>
    <row r="19" spans="1:11" s="110" customFormat="1" ht="34">
      <c r="A19" s="105"/>
    </row>
    <row r="20" spans="1:11" s="110" customFormat="1" ht="34"/>
    <row r="21" spans="1:11" s="110" customFormat="1" ht="34"/>
    <row r="22" spans="1:11" s="110" customFormat="1" ht="34"/>
    <row r="23" spans="1:11" s="110" customFormat="1" ht="34"/>
    <row r="24" spans="1:11" s="110" customFormat="1" ht="34"/>
    <row r="25" spans="1:11" s="110" customFormat="1" ht="34"/>
    <row r="26" spans="1:11" s="105" customFormat="1" ht="32.5"/>
    <row r="27" spans="1:11" s="105" customFormat="1" ht="32.5"/>
    <row r="28" spans="1:11" s="105" customFormat="1" ht="32.5"/>
    <row r="29" spans="1:11" s="105" customFormat="1" ht="32.5"/>
    <row r="30" spans="1:11" s="105" customFormat="1" ht="32.5"/>
    <row r="31" spans="1:11" s="105" customFormat="1" ht="32.5"/>
    <row r="32" spans="1:11" s="105" customFormat="1" ht="32.5"/>
    <row r="33" s="105" customFormat="1" ht="32.5"/>
    <row r="34" s="105" customFormat="1" ht="32.5"/>
  </sheetData>
  <phoneticPr fontId="13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view="pageBreakPreview" topLeftCell="A13" zoomScale="110" zoomScaleNormal="115" zoomScaleSheetLayoutView="110" workbookViewId="0">
      <selection activeCell="M30" sqref="M30"/>
    </sheetView>
  </sheetViews>
  <sheetFormatPr defaultColWidth="9" defaultRowHeight="16"/>
  <cols>
    <col min="1" max="1" width="8.6328125" style="114" customWidth="1"/>
    <col min="2" max="2" width="11.6328125" style="114" customWidth="1"/>
    <col min="3" max="3" width="4.81640625" style="114" customWidth="1"/>
    <col min="4" max="4" width="23.36328125" style="114" customWidth="1"/>
    <col min="5" max="5" width="6.08984375" style="114" customWidth="1"/>
    <col min="6" max="7" width="3.08984375" style="114" customWidth="1"/>
    <col min="8" max="8" width="2.90625" style="114" customWidth="1"/>
    <col min="9" max="9" width="3.08984375" style="114" hidden="1" customWidth="1"/>
    <col min="10" max="10" width="8.453125" style="114" customWidth="1"/>
    <col min="11" max="11" width="9.90625" style="114" customWidth="1"/>
    <col min="12" max="12" width="13" style="114" customWidth="1"/>
    <col min="13" max="13" width="13.90625" style="114" customWidth="1"/>
    <col min="14" max="16384" width="9" style="114"/>
  </cols>
  <sheetData>
    <row r="1" spans="1:13" s="111" customFormat="1" ht="32.25" customHeight="1">
      <c r="A1" s="330" t="s">
        <v>112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</row>
    <row r="2" spans="1:13" ht="23.25" customHeight="1">
      <c r="A2" s="112" t="str">
        <f>'[2]shipper master'!C2</f>
        <v xml:space="preserve"> SHUNYA CO., LTD.</v>
      </c>
      <c r="B2" s="113"/>
      <c r="C2" s="113"/>
      <c r="D2" s="113"/>
      <c r="E2" s="113"/>
      <c r="L2" s="115"/>
    </row>
    <row r="3" spans="1:13" ht="15.75" customHeight="1">
      <c r="A3" s="3" t="str">
        <f>'[2]shipper master'!C3</f>
        <v xml:space="preserve"> KENSHIN BLDG., 1F, 1-22-10 DOUGENZAKA,</v>
      </c>
      <c r="B3" s="113"/>
      <c r="C3" s="113"/>
      <c r="D3" s="113"/>
      <c r="E3" s="113"/>
      <c r="L3" s="115"/>
    </row>
    <row r="4" spans="1:13" ht="18" customHeight="1">
      <c r="A4" s="3" t="str">
        <f>'[2]shipper master'!C4</f>
        <v xml:space="preserve"> SHIBUYA-KU 150-0043</v>
      </c>
      <c r="B4" s="113"/>
      <c r="C4" s="113"/>
      <c r="D4" s="113"/>
      <c r="E4" s="113"/>
      <c r="F4" s="116"/>
      <c r="G4" s="116"/>
      <c r="H4" s="116"/>
      <c r="I4" s="116"/>
      <c r="J4" s="116"/>
      <c r="L4" s="3">
        <f>'[2]shipper master'!C6</f>
        <v>0</v>
      </c>
    </row>
    <row r="5" spans="1:13" ht="16.5" thickBot="1">
      <c r="A5" s="117" t="str">
        <f>'[2]shipper master'!C5</f>
        <v xml:space="preserve"> TEL : +81(0)3-5459-1177</v>
      </c>
      <c r="B5" s="113"/>
      <c r="C5" s="113"/>
      <c r="D5" s="113"/>
      <c r="L5" s="3">
        <f>'[2]shipper master'!C7</f>
        <v>0</v>
      </c>
      <c r="M5" s="118"/>
    </row>
    <row r="6" spans="1:13" ht="13.4" customHeight="1">
      <c r="A6" s="119" t="s">
        <v>113</v>
      </c>
      <c r="B6" s="120"/>
      <c r="C6" s="120"/>
      <c r="D6" s="120"/>
      <c r="E6" s="120"/>
      <c r="F6" s="121" t="s">
        <v>114</v>
      </c>
      <c r="G6" s="122"/>
      <c r="H6" s="122"/>
      <c r="I6" s="122"/>
      <c r="J6" s="120"/>
      <c r="K6" s="224"/>
      <c r="L6" s="121" t="s">
        <v>115</v>
      </c>
      <c r="M6" s="115"/>
    </row>
    <row r="7" spans="1:13" ht="13.4" customHeight="1">
      <c r="A7" s="3" t="str">
        <f>'[2]shipper master'!C9</f>
        <v>VIVAN GARMENTS VIET NAM COMPANY LIMITED</v>
      </c>
      <c r="B7" s="115"/>
      <c r="C7" s="115"/>
      <c r="D7" s="115"/>
      <c r="E7" s="115"/>
      <c r="F7" s="123" t="str">
        <f>'shipper master'!C26</f>
        <v xml:space="preserve"> SY-6400409-VT-DD-01</v>
      </c>
      <c r="G7" s="124"/>
      <c r="H7" s="124"/>
      <c r="I7" s="124"/>
      <c r="J7" s="124"/>
      <c r="K7" s="225"/>
      <c r="L7" s="125"/>
      <c r="M7" s="115"/>
    </row>
    <row r="8" spans="1:13" ht="13.4" customHeight="1">
      <c r="A8" s="3" t="str">
        <f>'[2]shipper master'!C10</f>
        <v>D17 Street , Sai Gon South Residential Area</v>
      </c>
      <c r="B8" s="115"/>
      <c r="C8" s="115"/>
      <c r="D8" s="115"/>
      <c r="E8" s="115"/>
      <c r="F8" s="126" t="s">
        <v>116</v>
      </c>
      <c r="G8" s="119"/>
      <c r="H8" s="119"/>
      <c r="I8" s="119"/>
      <c r="J8" s="115"/>
      <c r="K8" s="226"/>
      <c r="L8" s="127" t="str">
        <f>'shipper master'!C26</f>
        <v xml:space="preserve"> SY-6400409-VT-DD-01</v>
      </c>
      <c r="M8" s="115"/>
    </row>
    <row r="9" spans="1:13" ht="13.4" customHeight="1">
      <c r="A9" s="3" t="str">
        <f>'[2]shipper master'!C11</f>
        <v>Hamlet 3 , Long Hau Commune , Can Giuoc District,</v>
      </c>
      <c r="B9" s="115"/>
      <c r="C9" s="115"/>
      <c r="D9" s="115"/>
      <c r="E9" s="115"/>
      <c r="F9" s="227" t="str">
        <f>'shipper master'!C25</f>
        <v>Apr, 09 2025</v>
      </c>
      <c r="G9" s="128"/>
      <c r="H9" s="128"/>
      <c r="I9" s="128"/>
      <c r="J9" s="128"/>
      <c r="K9" s="129"/>
      <c r="L9" s="127" t="str">
        <f>'[1]shipper master'!C50</f>
        <v xml:space="preserve">VIVAN GARMENTS VIET NAM </v>
      </c>
      <c r="M9" s="115"/>
    </row>
    <row r="10" spans="1:13" ht="13.4" customHeight="1">
      <c r="A10" s="3" t="str">
        <f>'[2]shipper master'!C12</f>
        <v xml:space="preserve"> Long An Province , VietNam</v>
      </c>
      <c r="B10" s="115"/>
      <c r="C10" s="115"/>
      <c r="D10" s="115"/>
      <c r="E10" s="115"/>
      <c r="F10" s="126" t="s">
        <v>117</v>
      </c>
      <c r="G10" s="119"/>
      <c r="H10" s="119"/>
      <c r="I10" s="119"/>
      <c r="J10" s="115"/>
      <c r="K10" s="226"/>
      <c r="L10" s="127" t="str">
        <f>'[1]shipper master'!C51</f>
        <v xml:space="preserve"> COMPANY LIMITED</v>
      </c>
      <c r="M10" s="115"/>
    </row>
    <row r="11" spans="1:13" ht="13.4" customHeight="1">
      <c r="A11" s="124" t="str">
        <f>'[2]shipper master'!C13</f>
        <v xml:space="preserve"> TEL : ( 084 ) 097 22 00 798  ATTN : MR. TUAN</v>
      </c>
      <c r="B11" s="115"/>
      <c r="C11" s="115"/>
      <c r="D11" s="115"/>
      <c r="E11" s="134"/>
      <c r="F11" s="331" t="str">
        <f>'shipper master'!C26</f>
        <v xml:space="preserve"> SY-6400409-VT-DD-01</v>
      </c>
      <c r="G11" s="332"/>
      <c r="H11" s="332"/>
      <c r="I11" s="332"/>
      <c r="J11" s="332"/>
      <c r="K11" s="333"/>
      <c r="L11" s="127" t="str">
        <f>'[1]shipper master'!C52</f>
        <v xml:space="preserve"> HOCHIMINH-CITY, VIETNAM</v>
      </c>
      <c r="M11" s="115"/>
    </row>
    <row r="12" spans="1:13" ht="13.4" customHeight="1">
      <c r="A12" s="119" t="s">
        <v>118</v>
      </c>
      <c r="B12" s="130"/>
      <c r="C12" s="130"/>
      <c r="D12" s="130"/>
      <c r="E12" s="115"/>
      <c r="F12" s="126" t="s">
        <v>119</v>
      </c>
      <c r="G12" s="119"/>
      <c r="H12" s="119"/>
      <c r="I12" s="119"/>
      <c r="J12" s="115"/>
      <c r="K12" s="115"/>
      <c r="L12" s="131" t="s">
        <v>260</v>
      </c>
      <c r="M12" s="115"/>
    </row>
    <row r="13" spans="1:13" ht="13.4" customHeight="1">
      <c r="A13" s="3" t="str">
        <f>'[2]shipper master'!C15</f>
        <v xml:space="preserve"> - SAME AS BUYER -</v>
      </c>
      <c r="B13" s="115"/>
      <c r="C13" s="115"/>
      <c r="D13" s="115"/>
      <c r="E13" s="115"/>
      <c r="F13" s="331">
        <f>'[2]shipper master'!C30</f>
        <v>0</v>
      </c>
      <c r="G13" s="332"/>
      <c r="H13" s="332"/>
      <c r="I13" s="332"/>
      <c r="J13" s="332"/>
      <c r="K13" s="333"/>
      <c r="L13" s="127" t="s">
        <v>120</v>
      </c>
      <c r="M13" s="115"/>
    </row>
    <row r="14" spans="1:13" ht="13.4" customHeight="1">
      <c r="A14" s="3">
        <f>'[2]shipper master'!C16</f>
        <v>0</v>
      </c>
      <c r="B14" s="115"/>
      <c r="C14" s="115"/>
      <c r="D14" s="115"/>
      <c r="E14" s="115"/>
      <c r="F14" s="132" t="s">
        <v>24</v>
      </c>
      <c r="G14" s="3"/>
      <c r="H14" s="3"/>
      <c r="I14" s="3"/>
      <c r="J14" s="3"/>
      <c r="K14" s="133"/>
      <c r="L14" s="127"/>
      <c r="M14" s="115"/>
    </row>
    <row r="15" spans="1:13" ht="13.4" customHeight="1">
      <c r="A15" s="3">
        <f>'[2]shipper master'!C17</f>
        <v>0</v>
      </c>
      <c r="B15" s="115"/>
      <c r="C15" s="115"/>
      <c r="D15" s="115"/>
      <c r="E15" s="115"/>
      <c r="F15" s="331">
        <f>'[2]shipper master'!C29</f>
        <v>0</v>
      </c>
      <c r="G15" s="332"/>
      <c r="H15" s="332"/>
      <c r="I15" s="332"/>
      <c r="J15" s="332"/>
      <c r="K15" s="333"/>
      <c r="L15" s="125"/>
      <c r="M15" s="115"/>
    </row>
    <row r="16" spans="1:13" ht="13.4" customHeight="1">
      <c r="A16" s="3">
        <f>'[2]shipper master'!C18</f>
        <v>0</v>
      </c>
      <c r="B16" s="115"/>
      <c r="C16" s="115"/>
      <c r="D16" s="115"/>
      <c r="E16" s="115"/>
      <c r="F16" s="126" t="s">
        <v>121</v>
      </c>
      <c r="G16" s="119"/>
      <c r="H16" s="119"/>
      <c r="I16" s="119"/>
      <c r="J16" s="115"/>
      <c r="K16" s="115"/>
      <c r="L16" s="125"/>
      <c r="M16" s="115"/>
    </row>
    <row r="17" spans="1:13" ht="13.4" customHeight="1">
      <c r="A17" s="124">
        <f>'[2]shipper master'!C19</f>
        <v>0</v>
      </c>
      <c r="B17" s="134"/>
      <c r="C17" s="134"/>
      <c r="D17" s="134"/>
      <c r="E17" s="134"/>
      <c r="F17" s="334"/>
      <c r="G17" s="335"/>
      <c r="H17" s="335"/>
      <c r="I17" s="335"/>
      <c r="J17" s="335"/>
      <c r="K17" s="336"/>
      <c r="L17" s="125"/>
      <c r="M17" s="115"/>
    </row>
    <row r="18" spans="1:13" ht="13.4" customHeight="1">
      <c r="A18" s="119" t="s">
        <v>122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25"/>
      <c r="M18" s="115"/>
    </row>
    <row r="19" spans="1:13" ht="13.4" customHeight="1">
      <c r="A19" s="124" t="str">
        <f>'[2]shipper master'!C21</f>
        <v xml:space="preserve"> NO COMMERCIAL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5"/>
      <c r="M19" s="134"/>
    </row>
    <row r="20" spans="1:13" ht="13.4" customHeight="1">
      <c r="A20" s="119" t="s">
        <v>123</v>
      </c>
      <c r="B20" s="115"/>
      <c r="C20" s="115"/>
      <c r="D20" s="136" t="s">
        <v>124</v>
      </c>
      <c r="E20" s="137"/>
      <c r="F20" s="119" t="s">
        <v>125</v>
      </c>
      <c r="G20" s="119"/>
      <c r="H20" s="119"/>
      <c r="I20" s="119"/>
      <c r="J20" s="138" t="s">
        <v>126</v>
      </c>
      <c r="K20" s="139"/>
      <c r="L20" s="119" t="s">
        <v>127</v>
      </c>
      <c r="M20" s="115"/>
    </row>
    <row r="21" spans="1:13" s="1" customFormat="1" ht="13.4" customHeight="1" thickBot="1">
      <c r="A21" s="3" t="str">
        <f>'[2]shipper master'!C24</f>
        <v xml:space="preserve"> AIRCRAFT</v>
      </c>
      <c r="B21" s="117"/>
      <c r="C21" s="3"/>
      <c r="D21" s="140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17"/>
      <c r="K21" s="117"/>
      <c r="L21" s="4"/>
      <c r="M21" s="117"/>
    </row>
    <row r="22" spans="1:13" s="145" customFormat="1" ht="16.399999999999999" customHeight="1">
      <c r="A22" s="141" t="s">
        <v>128</v>
      </c>
      <c r="B22" s="141" t="s">
        <v>129</v>
      </c>
      <c r="C22" s="141"/>
      <c r="D22" s="142" t="s">
        <v>130</v>
      </c>
      <c r="E22" s="141" t="s">
        <v>131</v>
      </c>
      <c r="F22" s="142"/>
      <c r="G22" s="142"/>
      <c r="H22" s="142" t="s">
        <v>132</v>
      </c>
      <c r="I22" s="142"/>
      <c r="J22" s="142"/>
      <c r="K22" s="143" t="s">
        <v>133</v>
      </c>
      <c r="L22" s="141" t="s">
        <v>134</v>
      </c>
      <c r="M22" s="144" t="s">
        <v>135</v>
      </c>
    </row>
    <row r="23" spans="1:13" ht="13.4" customHeight="1">
      <c r="A23" s="146"/>
      <c r="B23" s="147"/>
      <c r="C23" s="147"/>
      <c r="D23" s="115"/>
      <c r="E23" s="147"/>
      <c r="F23" s="115"/>
      <c r="G23" s="115"/>
      <c r="H23" s="115"/>
      <c r="I23" s="115"/>
      <c r="J23" s="115"/>
      <c r="K23" s="148"/>
      <c r="L23" s="115"/>
      <c r="M23" s="125"/>
    </row>
    <row r="24" spans="1:13" s="1" customFormat="1" ht="13.4" customHeight="1">
      <c r="A24" s="149"/>
      <c r="B24" s="150" t="str">
        <f>'[2]shipper master'!C36</f>
        <v>FABRIC &amp; PARTS FOR WEAR &amp; SAMPLE CLOTHES</v>
      </c>
      <c r="C24" s="150"/>
      <c r="D24" s="4"/>
      <c r="E24" s="4"/>
      <c r="F24" s="4"/>
      <c r="G24" s="4"/>
      <c r="H24" s="4"/>
      <c r="I24" s="4"/>
      <c r="J24" s="4"/>
      <c r="K24" s="151"/>
      <c r="L24" s="152" t="str">
        <f>'[2]shipper master'!C48</f>
        <v>F.O.B. TOKYO IN YEN</v>
      </c>
      <c r="M24" s="153"/>
    </row>
    <row r="25" spans="1:13" s="1" customFormat="1" ht="13.4" customHeight="1">
      <c r="A25" s="149"/>
      <c r="B25" s="150"/>
      <c r="C25" s="150"/>
      <c r="D25" s="4"/>
      <c r="E25" s="4"/>
      <c r="F25" s="4"/>
      <c r="G25" s="4"/>
      <c r="H25" s="4"/>
      <c r="I25" s="4"/>
      <c r="J25" s="4"/>
      <c r="K25" s="151"/>
      <c r="L25" s="154"/>
      <c r="M25" s="153"/>
    </row>
    <row r="26" spans="1:13" s="1" customFormat="1" ht="13.4" customHeight="1">
      <c r="A26" s="155"/>
      <c r="B26" s="150">
        <f>'[2]shipper master'!C37</f>
        <v>0</v>
      </c>
      <c r="C26" s="150"/>
      <c r="D26" s="4"/>
      <c r="E26" s="4"/>
      <c r="F26" s="3"/>
      <c r="G26" s="3"/>
      <c r="H26" s="3"/>
      <c r="I26" s="3"/>
      <c r="J26" s="3"/>
      <c r="K26" s="157">
        <f>'NARITA '!E65</f>
        <v>638.79999999999995</v>
      </c>
      <c r="L26" s="158" t="s">
        <v>152</v>
      </c>
      <c r="M26" s="159">
        <f>'NARITA '!H65</f>
        <v>969723</v>
      </c>
    </row>
    <row r="27" spans="1:13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157">
        <f>'NARITA '!E66</f>
        <v>486</v>
      </c>
      <c r="L27" s="158" t="s">
        <v>148</v>
      </c>
      <c r="M27" s="159">
        <f>'NARITA '!H66</f>
        <v>19400</v>
      </c>
    </row>
    <row r="28" spans="1:13" s="1" customFormat="1" ht="13.4" customHeight="1">
      <c r="A28" s="160"/>
      <c r="B28" s="22" t="str">
        <f>'[2]shipper master'!C38</f>
        <v>- DETAILS AS PER ATTACHED SHEET -</v>
      </c>
      <c r="C28" s="22"/>
      <c r="D28" s="3"/>
      <c r="E28" s="4"/>
      <c r="F28" s="3"/>
      <c r="G28" s="3"/>
      <c r="H28" s="3"/>
      <c r="I28" s="3"/>
      <c r="J28" s="3"/>
      <c r="K28" s="161">
        <f>'NARITA '!E67</f>
        <v>16</v>
      </c>
      <c r="L28" s="158" t="s">
        <v>165</v>
      </c>
      <c r="M28" s="162">
        <f>'NARITA '!H67</f>
        <v>1600</v>
      </c>
    </row>
    <row r="29" spans="1:13" s="1" customFormat="1" ht="13.4" customHeight="1">
      <c r="A29" s="160"/>
      <c r="B29" s="22"/>
      <c r="C29" s="22"/>
      <c r="D29" s="3"/>
      <c r="E29" s="4"/>
      <c r="F29" s="3"/>
      <c r="G29" s="3"/>
      <c r="H29" s="3"/>
      <c r="I29" s="3"/>
      <c r="J29" s="3"/>
      <c r="K29" s="161"/>
      <c r="L29" s="158"/>
      <c r="M29" s="162"/>
    </row>
    <row r="30" spans="1:13" s="1" customFormat="1" ht="17.25" customHeight="1" thickBot="1">
      <c r="A30" s="163"/>
      <c r="B30" s="164" t="s">
        <v>147</v>
      </c>
      <c r="C30" s="205"/>
      <c r="D30" s="210">
        <f>K26</f>
        <v>638.79999999999995</v>
      </c>
      <c r="E30" s="205" t="s">
        <v>150</v>
      </c>
      <c r="F30" s="337">
        <f>K27</f>
        <v>486</v>
      </c>
      <c r="G30" s="337"/>
      <c r="H30" s="337"/>
      <c r="I30" s="165" t="s">
        <v>86</v>
      </c>
      <c r="J30" s="165" t="s">
        <v>86</v>
      </c>
      <c r="K30" s="206">
        <f>K28</f>
        <v>16</v>
      </c>
      <c r="L30" s="207" t="s">
        <v>165</v>
      </c>
      <c r="M30" s="166">
        <f>SUM(M26:M29)</f>
        <v>990723</v>
      </c>
    </row>
    <row r="31" spans="1:13" s="1" customFormat="1" ht="13.4" customHeight="1" thickTop="1">
      <c r="A31" s="167"/>
      <c r="B31" s="168"/>
      <c r="C31" s="168"/>
      <c r="D31" s="3"/>
      <c r="E31" s="169"/>
      <c r="F31" s="3"/>
      <c r="G31" s="169"/>
      <c r="H31" s="3"/>
      <c r="I31" s="3"/>
      <c r="J31" s="3"/>
      <c r="K31" s="160"/>
      <c r="L31" s="170"/>
      <c r="M31" s="167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171"/>
      <c r="L32" s="170"/>
      <c r="M32" s="172"/>
    </row>
    <row r="33" spans="1:13" s="1" customFormat="1" ht="13.4" customHeight="1">
      <c r="A33" s="3" t="str">
        <f>'[2]shipper master'!C63</f>
        <v>" THESE GOODS WILL BE RETURN TO JAPAN</v>
      </c>
      <c r="B33" s="173"/>
      <c r="C33" s="173"/>
      <c r="D33" s="173"/>
      <c r="E33" s="173"/>
      <c r="F33" s="173"/>
      <c r="G33" s="3"/>
      <c r="H33" s="3"/>
      <c r="I33" s="3" t="s">
        <v>136</v>
      </c>
      <c r="J33" s="3"/>
      <c r="K33" s="171" t="s">
        <v>137</v>
      </c>
      <c r="L33" s="170"/>
      <c r="M33" s="3"/>
    </row>
    <row r="34" spans="1:13" s="1" customFormat="1" ht="13.4" customHeight="1">
      <c r="A34" s="329" t="str">
        <f>'[2]shipper master'!C64</f>
        <v xml:space="preserve">  AFTER MANUFACTURED AT VIET NAM "</v>
      </c>
      <c r="B34" s="329"/>
      <c r="C34" s="329"/>
      <c r="D34" s="329"/>
      <c r="E34" s="4"/>
      <c r="F34" s="3"/>
      <c r="G34" s="3"/>
      <c r="H34" s="3"/>
      <c r="I34" s="3" t="s">
        <v>138</v>
      </c>
      <c r="J34" s="3"/>
      <c r="K34" s="171" t="s">
        <v>139</v>
      </c>
      <c r="L34" s="170"/>
      <c r="M34" s="172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160"/>
      <c r="L35" s="170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160"/>
      <c r="L36" s="170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160"/>
      <c r="L37" s="170"/>
      <c r="M37" s="3"/>
    </row>
    <row r="38" spans="1:13" s="1" customFormat="1" ht="13.4" customHeight="1">
      <c r="A38" s="174" t="s">
        <v>140</v>
      </c>
      <c r="B38" s="175"/>
      <c r="C38" s="175"/>
      <c r="D38" s="176" t="s">
        <v>251</v>
      </c>
      <c r="E38" s="4"/>
      <c r="F38" s="3"/>
      <c r="G38" s="3"/>
      <c r="H38" s="3"/>
      <c r="I38" s="3"/>
      <c r="J38" s="3"/>
      <c r="K38" s="160"/>
      <c r="L38" s="170"/>
      <c r="M38" s="3"/>
    </row>
    <row r="39" spans="1:13" s="1" customFormat="1" ht="13.4" customHeight="1">
      <c r="A39" s="174" t="s">
        <v>141</v>
      </c>
      <c r="B39" s="175"/>
      <c r="C39" s="175"/>
      <c r="D39" s="177" t="s">
        <v>142</v>
      </c>
      <c r="E39" s="4"/>
      <c r="F39" s="3"/>
      <c r="G39" s="3"/>
      <c r="H39" s="3"/>
      <c r="I39" s="3"/>
      <c r="J39" s="3"/>
      <c r="K39" s="160"/>
      <c r="L39" s="170"/>
      <c r="M39" s="3"/>
    </row>
    <row r="40" spans="1:13" s="1" customFormat="1" ht="13.4" customHeight="1">
      <c r="A40" s="156"/>
      <c r="B40" s="150"/>
      <c r="C40" s="150"/>
      <c r="D40" s="178"/>
      <c r="E40" s="150"/>
      <c r="F40" s="179"/>
      <c r="G40" s="179"/>
      <c r="H40" s="179"/>
      <c r="I40" s="3"/>
      <c r="J40" s="3"/>
      <c r="K40" s="160"/>
      <c r="L40" s="170"/>
      <c r="M40" s="3"/>
    </row>
    <row r="41" spans="1:13" ht="18" customHeight="1">
      <c r="A41" s="156"/>
      <c r="B41" s="115"/>
      <c r="C41" s="115"/>
      <c r="D41" s="115"/>
      <c r="E41" s="115"/>
      <c r="F41" s="115"/>
      <c r="G41" s="115"/>
      <c r="H41" s="147"/>
      <c r="I41" s="115"/>
      <c r="J41" s="115"/>
      <c r="K41" s="147"/>
      <c r="L41" s="180"/>
      <c r="M41" s="115"/>
    </row>
    <row r="42" spans="1:13" ht="13.4" customHeight="1">
      <c r="A42" s="115"/>
      <c r="B42" s="181"/>
      <c r="C42" s="181"/>
      <c r="D42" s="115"/>
      <c r="E42" s="115"/>
      <c r="F42" s="115"/>
      <c r="G42" s="115"/>
      <c r="H42" s="115"/>
      <c r="I42" s="115"/>
      <c r="J42" s="115"/>
      <c r="K42" s="182"/>
      <c r="L42" s="180"/>
      <c r="M42" s="115"/>
    </row>
    <row r="43" spans="1:13" ht="13.4" customHeight="1">
      <c r="A43" s="115"/>
      <c r="B43" s="181"/>
      <c r="C43" s="181"/>
      <c r="D43" s="115"/>
      <c r="E43" s="115"/>
      <c r="F43" s="115"/>
      <c r="G43" s="115"/>
      <c r="H43" s="115"/>
      <c r="I43" s="115"/>
      <c r="J43" s="115"/>
      <c r="K43" s="182"/>
      <c r="L43" s="180"/>
      <c r="M43" s="115"/>
    </row>
    <row r="44" spans="1:13" ht="13.4" customHeight="1">
      <c r="A44" s="115"/>
      <c r="B44" s="115"/>
      <c r="C44" s="115"/>
      <c r="D44" s="115"/>
      <c r="E44" s="115"/>
      <c r="F44" s="115"/>
      <c r="G44" s="115"/>
      <c r="H44" s="134"/>
      <c r="I44" s="134"/>
      <c r="J44" s="134"/>
      <c r="K44" s="183"/>
      <c r="L44" s="184"/>
      <c r="M44" s="134"/>
    </row>
    <row r="45" spans="1:13" ht="13.4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82"/>
      <c r="L45" s="180"/>
      <c r="M45" s="115"/>
    </row>
    <row r="46" spans="1:13" ht="13.4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82"/>
      <c r="L46" s="180"/>
      <c r="M46" s="115"/>
    </row>
    <row r="47" spans="1:13" ht="13.4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82"/>
      <c r="L47" s="180"/>
      <c r="M47" s="115"/>
    </row>
    <row r="48" spans="1:13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82"/>
      <c r="L48" s="180"/>
      <c r="M48" s="115"/>
    </row>
    <row r="49" spans="1:13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82"/>
      <c r="L49" s="185"/>
      <c r="M49" s="115"/>
    </row>
    <row r="50" spans="1:13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82"/>
      <c r="L50" s="185"/>
      <c r="M50" s="115"/>
    </row>
    <row r="51" spans="1:13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82"/>
      <c r="L51" s="185"/>
      <c r="M51" s="115"/>
    </row>
    <row r="52" spans="1:13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82"/>
      <c r="L52" s="185"/>
      <c r="M52" s="115"/>
    </row>
    <row r="53" spans="1:1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82"/>
      <c r="L53" s="185"/>
      <c r="M53" s="115"/>
    </row>
    <row r="54" spans="1:13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82"/>
      <c r="L54" s="185"/>
      <c r="M54" s="115"/>
    </row>
    <row r="55" spans="1:13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82"/>
      <c r="L55" s="185"/>
      <c r="M55" s="115"/>
    </row>
    <row r="56" spans="1:13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82"/>
      <c r="L56" s="185"/>
      <c r="M56" s="115"/>
    </row>
    <row r="57" spans="1:13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82"/>
      <c r="L57" s="185"/>
      <c r="M57" s="115"/>
    </row>
    <row r="58" spans="1:13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82"/>
      <c r="L58" s="185"/>
      <c r="M58" s="115"/>
    </row>
    <row r="59" spans="1:13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82"/>
      <c r="L59" s="185"/>
      <c r="M59" s="115"/>
    </row>
    <row r="60" spans="1:13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82"/>
      <c r="L60" s="185"/>
      <c r="M60" s="115"/>
    </row>
    <row r="61" spans="1:13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82"/>
      <c r="L61" s="185"/>
      <c r="M61" s="115"/>
    </row>
    <row r="62" spans="1:13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82"/>
      <c r="L62" s="185"/>
      <c r="M62" s="115"/>
    </row>
    <row r="63" spans="1:1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82"/>
      <c r="L63" s="185"/>
      <c r="M63" s="115"/>
    </row>
    <row r="64" spans="1:13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82"/>
      <c r="L64" s="185"/>
      <c r="M64" s="115"/>
    </row>
    <row r="65" spans="1:13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82"/>
      <c r="L65" s="185"/>
      <c r="M65" s="115"/>
    </row>
    <row r="66" spans="1:13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82"/>
      <c r="L66" s="185"/>
      <c r="M66" s="115"/>
    </row>
    <row r="67" spans="1:13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82"/>
      <c r="L67" s="185"/>
      <c r="M67" s="115"/>
    </row>
    <row r="68" spans="1:13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82"/>
      <c r="L68" s="185"/>
      <c r="M68" s="115"/>
    </row>
    <row r="69" spans="1:13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82"/>
      <c r="L69" s="185"/>
      <c r="M69" s="115"/>
    </row>
    <row r="70" spans="1:13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82"/>
      <c r="L70" s="185"/>
      <c r="M70" s="115"/>
    </row>
    <row r="71" spans="1:13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82"/>
      <c r="L71" s="185"/>
      <c r="M71" s="115"/>
    </row>
    <row r="72" spans="1:13">
      <c r="K72" s="186"/>
      <c r="L72" s="187"/>
    </row>
    <row r="73" spans="1:13">
      <c r="K73" s="186"/>
      <c r="L73" s="187"/>
    </row>
    <row r="74" spans="1:13">
      <c r="L74" s="187"/>
    </row>
    <row r="75" spans="1:13">
      <c r="L75" s="187"/>
    </row>
    <row r="76" spans="1:13">
      <c r="L76" s="187"/>
    </row>
    <row r="77" spans="1:13">
      <c r="L77" s="187"/>
    </row>
    <row r="78" spans="1:13">
      <c r="L78" s="187"/>
    </row>
    <row r="79" spans="1:13">
      <c r="L79" s="187"/>
    </row>
    <row r="80" spans="1:13">
      <c r="L80" s="187"/>
    </row>
    <row r="81" spans="12:12">
      <c r="L81" s="187"/>
    </row>
    <row r="82" spans="12:12">
      <c r="L82" s="187"/>
    </row>
    <row r="83" spans="12:12">
      <c r="L83" s="187"/>
    </row>
    <row r="84" spans="12:12">
      <c r="L84" s="187"/>
    </row>
    <row r="85" spans="12:12">
      <c r="L85" s="187"/>
    </row>
    <row r="86" spans="12:12">
      <c r="L86" s="187"/>
    </row>
    <row r="87" spans="12:12">
      <c r="L87" s="187"/>
    </row>
    <row r="88" spans="12:12">
      <c r="L88" s="187"/>
    </row>
    <row r="89" spans="12:12">
      <c r="L89" s="187"/>
    </row>
    <row r="90" spans="12:12">
      <c r="L90" s="187"/>
    </row>
    <row r="91" spans="12:12">
      <c r="L91" s="187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3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19"/>
  <sheetViews>
    <sheetView tabSelected="1" view="pageBreakPreview" topLeftCell="A16" zoomScale="80" zoomScaleNormal="90" zoomScaleSheetLayoutView="80" workbookViewId="0">
      <selection activeCell="I45" sqref="I45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344" t="s">
        <v>99</v>
      </c>
      <c r="B2" s="344"/>
      <c r="C2" s="344"/>
      <c r="D2" s="344"/>
      <c r="E2" s="344"/>
      <c r="F2" s="344"/>
      <c r="G2" s="344"/>
      <c r="H2" s="344"/>
      <c r="I2" s="39"/>
      <c r="L2" s="40"/>
      <c r="M2" s="40"/>
      <c r="N2" s="40"/>
    </row>
    <row r="3" spans="1:14" ht="15.5" thickBot="1">
      <c r="A3" s="41"/>
      <c r="B3" s="42"/>
      <c r="C3" s="41"/>
      <c r="D3" s="41"/>
      <c r="E3" s="41"/>
      <c r="F3" s="41"/>
      <c r="G3" s="41"/>
      <c r="H3" s="41"/>
      <c r="I3" s="39"/>
      <c r="L3" s="40"/>
      <c r="M3" s="40"/>
      <c r="N3" s="40"/>
    </row>
    <row r="4" spans="1:14" ht="21.75" customHeight="1" thickBot="1">
      <c r="A4" s="43" t="s">
        <v>36</v>
      </c>
      <c r="B4" s="24" t="s">
        <v>97</v>
      </c>
      <c r="C4" s="43" t="s">
        <v>87</v>
      </c>
      <c r="D4" s="23" t="s">
        <v>88</v>
      </c>
      <c r="E4" s="43" t="s">
        <v>89</v>
      </c>
      <c r="F4" s="345" t="s">
        <v>90</v>
      </c>
      <c r="G4" s="346"/>
      <c r="H4" s="44" t="s">
        <v>91</v>
      </c>
      <c r="I4" s="45" t="s">
        <v>92</v>
      </c>
      <c r="J4" s="46" t="s">
        <v>93</v>
      </c>
      <c r="K4" s="47" t="s">
        <v>94</v>
      </c>
      <c r="L4" s="48" t="s">
        <v>108</v>
      </c>
      <c r="M4" s="48" t="s">
        <v>95</v>
      </c>
      <c r="N4" s="49" t="s">
        <v>96</v>
      </c>
    </row>
    <row r="5" spans="1:14">
      <c r="A5" s="50"/>
      <c r="B5" s="51"/>
      <c r="C5" s="52"/>
      <c r="D5" s="53"/>
      <c r="E5" s="52"/>
      <c r="F5" s="52"/>
      <c r="G5" s="54"/>
      <c r="H5" s="54"/>
      <c r="I5" s="55"/>
      <c r="J5" s="56"/>
      <c r="K5" s="56"/>
      <c r="L5" s="56"/>
      <c r="M5" s="56"/>
      <c r="N5" s="57"/>
    </row>
    <row r="6" spans="1:14">
      <c r="A6" s="58"/>
      <c r="B6" s="59" t="s">
        <v>98</v>
      </c>
      <c r="C6" s="52"/>
      <c r="D6" s="60" t="str">
        <f>[3]invoice!B24</f>
        <v>FABRIC &amp; PARTS FOR WEAR &amp; SAMPLE CLOTHES</v>
      </c>
      <c r="E6" s="54"/>
      <c r="F6" s="54"/>
      <c r="G6" s="61" t="str">
        <f>'[1]shipper master'!C48</f>
        <v>F.O.B. TOKYO IN YEN</v>
      </c>
      <c r="H6" s="54"/>
      <c r="I6" s="62"/>
      <c r="J6" s="63"/>
      <c r="K6" s="63"/>
      <c r="L6" s="63"/>
      <c r="M6" s="63"/>
      <c r="N6" s="64"/>
    </row>
    <row r="7" spans="1:14" ht="15.5" thickBot="1">
      <c r="A7" s="65"/>
      <c r="B7" s="66"/>
      <c r="C7" s="67"/>
      <c r="D7" s="68" t="s">
        <v>109</v>
      </c>
      <c r="E7" s="67"/>
      <c r="F7" s="67"/>
      <c r="G7" s="69"/>
      <c r="H7" s="20"/>
      <c r="I7" s="70"/>
      <c r="J7" s="71"/>
      <c r="K7" s="71"/>
      <c r="L7" s="71"/>
      <c r="M7" s="72"/>
      <c r="N7" s="73"/>
    </row>
    <row r="8" spans="1:14" ht="15.65" customHeight="1">
      <c r="A8" s="338" t="s">
        <v>206</v>
      </c>
      <c r="B8" s="29"/>
      <c r="C8" s="29"/>
      <c r="D8" s="203" t="s">
        <v>172</v>
      </c>
      <c r="E8" s="74"/>
      <c r="F8" s="74"/>
      <c r="G8" s="75"/>
      <c r="H8" s="76"/>
      <c r="I8" s="247"/>
      <c r="J8" s="254"/>
      <c r="K8" s="76"/>
      <c r="L8" s="76"/>
      <c r="M8" s="76"/>
      <c r="N8" s="341">
        <v>1</v>
      </c>
    </row>
    <row r="9" spans="1:14">
      <c r="A9" s="339"/>
      <c r="B9" s="214" t="s">
        <v>169</v>
      </c>
      <c r="C9" s="211" t="s">
        <v>170</v>
      </c>
      <c r="D9" s="215" t="s">
        <v>101</v>
      </c>
      <c r="E9" s="216">
        <v>59.5</v>
      </c>
      <c r="F9" s="80" t="s">
        <v>150</v>
      </c>
      <c r="G9" s="212">
        <v>770</v>
      </c>
      <c r="H9" s="213">
        <f>E9*G9</f>
        <v>45815</v>
      </c>
      <c r="I9" s="221"/>
      <c r="J9" s="255"/>
      <c r="K9" s="54"/>
      <c r="L9" s="83"/>
      <c r="M9" s="54"/>
      <c r="N9" s="342"/>
    </row>
    <row r="10" spans="1:14" ht="16.5">
      <c r="A10" s="339"/>
      <c r="B10" s="21" t="s">
        <v>149</v>
      </c>
      <c r="C10" s="78" t="s">
        <v>171</v>
      </c>
      <c r="D10" s="249" t="s">
        <v>167</v>
      </c>
      <c r="E10" s="79">
        <v>128</v>
      </c>
      <c r="F10" s="80" t="s">
        <v>150</v>
      </c>
      <c r="G10" s="81">
        <v>770</v>
      </c>
      <c r="H10" s="82">
        <f t="shared" ref="H10" si="0">E10*G10</f>
        <v>98560</v>
      </c>
      <c r="I10" s="221" t="s">
        <v>174</v>
      </c>
      <c r="J10" s="255" t="s">
        <v>175</v>
      </c>
      <c r="K10" s="54"/>
      <c r="L10" s="54"/>
      <c r="M10" s="54"/>
      <c r="N10" s="342"/>
    </row>
    <row r="11" spans="1:14" ht="16.5">
      <c r="A11" s="339"/>
      <c r="B11" s="33" t="s">
        <v>212</v>
      </c>
      <c r="C11" s="78"/>
      <c r="D11" s="32" t="s">
        <v>173</v>
      </c>
      <c r="E11" s="79"/>
      <c r="F11" s="80"/>
      <c r="G11" s="81"/>
      <c r="H11" s="82"/>
      <c r="I11" s="221"/>
      <c r="J11" s="255"/>
      <c r="K11" s="54"/>
      <c r="L11" s="54"/>
      <c r="M11" s="54"/>
      <c r="N11" s="342"/>
    </row>
    <row r="12" spans="1:14" ht="15.5" thickBot="1">
      <c r="A12" s="340"/>
      <c r="B12" s="35" t="s">
        <v>151</v>
      </c>
      <c r="C12" s="84"/>
      <c r="D12" s="34"/>
      <c r="E12" s="85"/>
      <c r="F12" s="85"/>
      <c r="G12" s="86"/>
      <c r="H12" s="87"/>
      <c r="I12" s="248"/>
      <c r="J12" s="256"/>
      <c r="K12" s="19"/>
      <c r="L12" s="19"/>
      <c r="M12" s="19"/>
      <c r="N12" s="343"/>
    </row>
    <row r="13" spans="1:14" ht="15.5" thickBot="1">
      <c r="A13" s="252"/>
      <c r="B13" s="30"/>
      <c r="C13" s="78"/>
      <c r="D13" s="31"/>
      <c r="E13" s="250"/>
      <c r="F13" s="220"/>
      <c r="G13" s="218"/>
      <c r="H13" s="219"/>
      <c r="I13" s="221"/>
      <c r="J13" s="255"/>
      <c r="K13" s="99"/>
      <c r="L13" s="99"/>
      <c r="M13" s="99"/>
      <c r="N13" s="223"/>
    </row>
    <row r="14" spans="1:14" ht="15.65" customHeight="1">
      <c r="A14" s="338" t="s">
        <v>207</v>
      </c>
      <c r="B14" s="29"/>
      <c r="C14" s="29"/>
      <c r="D14" s="203" t="s">
        <v>178</v>
      </c>
      <c r="E14" s="74"/>
      <c r="F14" s="74"/>
      <c r="G14" s="75"/>
      <c r="H14" s="76"/>
      <c r="I14" s="247"/>
      <c r="J14" s="254"/>
      <c r="K14" s="76"/>
      <c r="L14" s="76"/>
      <c r="M14" s="76"/>
      <c r="N14" s="341">
        <v>2</v>
      </c>
    </row>
    <row r="15" spans="1:14">
      <c r="A15" s="339"/>
      <c r="B15" s="214" t="s">
        <v>176</v>
      </c>
      <c r="C15" s="211" t="s">
        <v>177</v>
      </c>
      <c r="D15" s="21" t="s">
        <v>101</v>
      </c>
      <c r="E15" s="216">
        <v>57</v>
      </c>
      <c r="F15" s="80" t="s">
        <v>150</v>
      </c>
      <c r="G15" s="212">
        <v>1570</v>
      </c>
      <c r="H15" s="213">
        <f>E15*G15</f>
        <v>89490</v>
      </c>
      <c r="I15" s="221"/>
      <c r="J15" s="255"/>
      <c r="K15" s="54"/>
      <c r="L15" s="83"/>
      <c r="M15" s="54"/>
      <c r="N15" s="342"/>
    </row>
    <row r="16" spans="1:14" ht="16.5">
      <c r="A16" s="339"/>
      <c r="B16" s="21" t="s">
        <v>149</v>
      </c>
      <c r="C16" s="78"/>
      <c r="D16" s="249" t="s">
        <v>167</v>
      </c>
      <c r="E16" s="79"/>
      <c r="F16" s="80"/>
      <c r="G16" s="81"/>
      <c r="H16" s="82"/>
      <c r="I16" s="221" t="s">
        <v>180</v>
      </c>
      <c r="J16" s="255" t="s">
        <v>175</v>
      </c>
      <c r="K16" s="54"/>
      <c r="L16" s="54"/>
      <c r="M16" s="54"/>
      <c r="N16" s="342"/>
    </row>
    <row r="17" spans="1:14" ht="16.5">
      <c r="A17" s="339"/>
      <c r="B17" s="33" t="s">
        <v>214</v>
      </c>
      <c r="C17" s="78"/>
      <c r="D17" s="32" t="s">
        <v>179</v>
      </c>
      <c r="E17" s="79"/>
      <c r="F17" s="80"/>
      <c r="G17" s="81"/>
      <c r="H17" s="82"/>
      <c r="I17" s="221" t="s">
        <v>181</v>
      </c>
      <c r="J17" s="255"/>
      <c r="K17" s="54"/>
      <c r="L17" s="54"/>
      <c r="M17" s="54"/>
      <c r="N17" s="342"/>
    </row>
    <row r="18" spans="1:14" ht="15.5" thickBot="1">
      <c r="A18" s="340"/>
      <c r="B18" s="35" t="s">
        <v>151</v>
      </c>
      <c r="C18" s="84"/>
      <c r="D18" s="34"/>
      <c r="E18" s="85"/>
      <c r="F18" s="263"/>
      <c r="G18" s="86"/>
      <c r="H18" s="87"/>
      <c r="I18" s="248"/>
      <c r="J18" s="256"/>
      <c r="K18" s="19"/>
      <c r="L18" s="19"/>
      <c r="M18" s="19"/>
      <c r="N18" s="342"/>
    </row>
    <row r="19" spans="1:14" ht="15.5" thickBot="1">
      <c r="A19" s="252"/>
      <c r="B19" s="214"/>
      <c r="C19" s="211"/>
      <c r="D19" s="215"/>
      <c r="E19" s="305"/>
      <c r="F19" s="251"/>
      <c r="G19" s="91"/>
      <c r="H19" s="92"/>
      <c r="I19" s="221"/>
      <c r="J19" s="255"/>
      <c r="K19" s="16"/>
      <c r="L19" s="16"/>
      <c r="M19" s="16"/>
      <c r="N19" s="223"/>
    </row>
    <row r="20" spans="1:14" ht="15.65" customHeight="1">
      <c r="A20" s="338" t="s">
        <v>208</v>
      </c>
      <c r="B20" s="29"/>
      <c r="C20" s="29"/>
      <c r="D20" s="203" t="s">
        <v>186</v>
      </c>
      <c r="E20" s="74"/>
      <c r="F20" s="74"/>
      <c r="G20" s="75"/>
      <c r="H20" s="76"/>
      <c r="I20" s="247"/>
      <c r="J20" s="254"/>
      <c r="K20" s="76"/>
      <c r="L20" s="76"/>
      <c r="M20" s="76"/>
      <c r="N20" s="341">
        <v>2</v>
      </c>
    </row>
    <row r="21" spans="1:14">
      <c r="A21" s="339"/>
      <c r="B21" s="214" t="s">
        <v>182</v>
      </c>
      <c r="C21" s="211" t="s">
        <v>184</v>
      </c>
      <c r="D21" s="215" t="s">
        <v>101</v>
      </c>
      <c r="E21" s="216">
        <v>52.1</v>
      </c>
      <c r="F21" s="80" t="s">
        <v>150</v>
      </c>
      <c r="G21" s="212">
        <v>3260</v>
      </c>
      <c r="H21" s="213">
        <f>E21*G21</f>
        <v>169846</v>
      </c>
      <c r="I21" s="221" t="s">
        <v>189</v>
      </c>
      <c r="J21" s="255" t="s">
        <v>175</v>
      </c>
      <c r="K21" s="54"/>
      <c r="L21" s="83"/>
      <c r="M21" s="54"/>
      <c r="N21" s="342"/>
    </row>
    <row r="22" spans="1:14" ht="16.5">
      <c r="A22" s="339"/>
      <c r="B22" s="21" t="s">
        <v>149</v>
      </c>
      <c r="C22" s="78" t="s">
        <v>185</v>
      </c>
      <c r="D22" s="31" t="s">
        <v>187</v>
      </c>
      <c r="E22" s="79">
        <v>52.2</v>
      </c>
      <c r="F22" s="80" t="s">
        <v>150</v>
      </c>
      <c r="G22" s="81">
        <v>3260</v>
      </c>
      <c r="H22" s="82">
        <f t="shared" ref="H22" si="1">E22*G22</f>
        <v>170172</v>
      </c>
      <c r="I22" s="221" t="s">
        <v>250</v>
      </c>
      <c r="J22" s="255" t="s">
        <v>190</v>
      </c>
      <c r="K22" s="54"/>
      <c r="L22" s="54"/>
      <c r="M22" s="54"/>
      <c r="N22" s="342"/>
    </row>
    <row r="23" spans="1:14" ht="16.5">
      <c r="A23" s="339"/>
      <c r="B23" s="33" t="s">
        <v>213</v>
      </c>
      <c r="C23" s="78"/>
      <c r="D23" s="32" t="s">
        <v>188</v>
      </c>
      <c r="E23" s="79"/>
      <c r="F23" s="80"/>
      <c r="G23" s="81"/>
      <c r="H23" s="82"/>
      <c r="I23" s="221"/>
      <c r="J23" s="255"/>
      <c r="K23" s="54"/>
      <c r="L23" s="54"/>
      <c r="M23" s="54"/>
      <c r="N23" s="342"/>
    </row>
    <row r="24" spans="1:14" ht="15.5" thickBot="1">
      <c r="A24" s="340"/>
      <c r="B24" s="35" t="s">
        <v>151</v>
      </c>
      <c r="C24" s="84"/>
      <c r="D24" s="34"/>
      <c r="E24" s="85"/>
      <c r="F24" s="85"/>
      <c r="G24" s="86"/>
      <c r="H24" s="87"/>
      <c r="I24" s="248"/>
      <c r="J24" s="256"/>
      <c r="K24" s="19"/>
      <c r="L24" s="19"/>
      <c r="M24" s="19"/>
      <c r="N24" s="343"/>
    </row>
    <row r="25" spans="1:14" ht="15.5" thickBot="1">
      <c r="A25" s="253"/>
      <c r="B25" s="208"/>
      <c r="C25" s="78"/>
      <c r="D25" s="32"/>
      <c r="E25" s="216"/>
      <c r="F25" s="80"/>
      <c r="G25" s="212"/>
      <c r="H25" s="213"/>
      <c r="I25" s="221"/>
      <c r="J25" s="255"/>
      <c r="K25" s="99"/>
      <c r="L25" s="99"/>
      <c r="M25" s="99"/>
      <c r="N25" s="223"/>
    </row>
    <row r="26" spans="1:14" ht="15.65" customHeight="1">
      <c r="A26" s="338" t="s">
        <v>209</v>
      </c>
      <c r="B26" s="29"/>
      <c r="C26" s="29"/>
      <c r="D26" s="203" t="s">
        <v>196</v>
      </c>
      <c r="E26" s="74"/>
      <c r="F26" s="74"/>
      <c r="G26" s="75"/>
      <c r="H26" s="76"/>
      <c r="I26" s="352" t="s">
        <v>198</v>
      </c>
      <c r="J26" s="355" t="s">
        <v>199</v>
      </c>
      <c r="K26" s="76"/>
      <c r="L26" s="76"/>
      <c r="M26" s="76"/>
      <c r="N26" s="341">
        <v>12</v>
      </c>
    </row>
    <row r="27" spans="1:14">
      <c r="A27" s="339"/>
      <c r="B27" s="214" t="s">
        <v>191</v>
      </c>
      <c r="C27" s="211" t="s">
        <v>194</v>
      </c>
      <c r="D27" s="21" t="s">
        <v>162</v>
      </c>
      <c r="E27" s="216">
        <v>130</v>
      </c>
      <c r="F27" s="80" t="s">
        <v>152</v>
      </c>
      <c r="G27" s="212">
        <v>1400</v>
      </c>
      <c r="H27" s="82">
        <f>E27*G27</f>
        <v>182000</v>
      </c>
      <c r="I27" s="351"/>
      <c r="J27" s="354"/>
      <c r="K27" s="54"/>
      <c r="L27" s="54"/>
      <c r="M27" s="54"/>
      <c r="N27" s="342"/>
    </row>
    <row r="28" spans="1:14">
      <c r="A28" s="339"/>
      <c r="B28" s="21" t="s">
        <v>162</v>
      </c>
      <c r="C28" s="78"/>
      <c r="D28" s="215" t="s">
        <v>167</v>
      </c>
      <c r="E28" s="79"/>
      <c r="F28" s="80"/>
      <c r="G28" s="81"/>
      <c r="H28" s="82"/>
      <c r="I28" s="351"/>
      <c r="J28" s="354"/>
      <c r="K28" s="54"/>
      <c r="L28" s="54"/>
      <c r="M28" s="54"/>
      <c r="N28" s="342"/>
    </row>
    <row r="29" spans="1:14">
      <c r="A29" s="339"/>
      <c r="B29" s="33" t="s">
        <v>192</v>
      </c>
      <c r="C29" s="78"/>
      <c r="D29" s="31" t="s">
        <v>197</v>
      </c>
      <c r="E29" s="79"/>
      <c r="F29" s="80"/>
      <c r="G29" s="81"/>
      <c r="H29" s="82"/>
      <c r="I29" s="351"/>
      <c r="J29" s="354"/>
      <c r="K29" s="54"/>
      <c r="L29" s="54"/>
      <c r="M29" s="54"/>
      <c r="N29" s="342"/>
    </row>
    <row r="30" spans="1:14" ht="15.5" thickBot="1">
      <c r="A30" s="339"/>
      <c r="B30" s="35" t="s">
        <v>151</v>
      </c>
      <c r="C30" s="84"/>
      <c r="D30" s="34"/>
      <c r="E30" s="85"/>
      <c r="F30" s="85"/>
      <c r="G30" s="86"/>
      <c r="H30" s="87"/>
      <c r="I30" s="351"/>
      <c r="J30" s="354"/>
      <c r="K30" s="20"/>
      <c r="L30" s="20"/>
      <c r="M30" s="20"/>
      <c r="N30" s="342"/>
    </row>
    <row r="31" spans="1:14" ht="15.5" thickBot="1">
      <c r="A31" s="339"/>
      <c r="B31" s="208"/>
      <c r="C31" s="78"/>
      <c r="D31" s="32"/>
      <c r="E31" s="216"/>
      <c r="F31" s="80"/>
      <c r="G31" s="212"/>
      <c r="H31" s="213"/>
      <c r="I31" s="351"/>
      <c r="J31" s="354"/>
      <c r="K31" s="54"/>
      <c r="L31" s="54"/>
      <c r="M31" s="54"/>
      <c r="N31" s="342"/>
    </row>
    <row r="32" spans="1:14" ht="15.65" customHeight="1">
      <c r="A32" s="339"/>
      <c r="B32" s="29"/>
      <c r="C32" s="29"/>
      <c r="D32" s="203" t="s">
        <v>196</v>
      </c>
      <c r="E32" s="74"/>
      <c r="F32" s="74"/>
      <c r="G32" s="75"/>
      <c r="H32" s="76"/>
      <c r="I32" s="351"/>
      <c r="J32" s="354"/>
      <c r="K32" s="99"/>
      <c r="L32" s="99"/>
      <c r="M32" s="99"/>
      <c r="N32" s="342"/>
    </row>
    <row r="33" spans="1:14">
      <c r="A33" s="339"/>
      <c r="B33" s="214" t="s">
        <v>265</v>
      </c>
      <c r="C33" s="211" t="s">
        <v>195</v>
      </c>
      <c r="D33" s="21" t="s">
        <v>162</v>
      </c>
      <c r="E33" s="79">
        <v>120</v>
      </c>
      <c r="F33" s="80" t="s">
        <v>152</v>
      </c>
      <c r="G33" s="81">
        <v>1400</v>
      </c>
      <c r="H33" s="82">
        <f t="shared" ref="H33" si="2">E33*G33</f>
        <v>168000</v>
      </c>
      <c r="I33" s="351"/>
      <c r="J33" s="354"/>
      <c r="K33" s="54"/>
      <c r="L33" s="54"/>
      <c r="M33" s="54"/>
      <c r="N33" s="342"/>
    </row>
    <row r="34" spans="1:14">
      <c r="A34" s="339"/>
      <c r="B34" s="21" t="s">
        <v>162</v>
      </c>
      <c r="C34" s="78"/>
      <c r="D34" s="215" t="s">
        <v>167</v>
      </c>
      <c r="E34" s="79"/>
      <c r="F34" s="80"/>
      <c r="G34" s="81"/>
      <c r="H34" s="82"/>
      <c r="I34" s="351"/>
      <c r="J34" s="354"/>
      <c r="K34" s="54"/>
      <c r="L34" s="54"/>
      <c r="M34" s="54"/>
      <c r="N34" s="342"/>
    </row>
    <row r="35" spans="1:14">
      <c r="A35" s="339"/>
      <c r="B35" s="33" t="s">
        <v>192</v>
      </c>
      <c r="C35" s="78"/>
      <c r="D35" s="31" t="s">
        <v>197</v>
      </c>
      <c r="E35" s="79"/>
      <c r="F35" s="80"/>
      <c r="G35" s="81"/>
      <c r="H35" s="82"/>
      <c r="I35" s="351"/>
      <c r="J35" s="354"/>
      <c r="K35" s="54"/>
      <c r="L35" s="54"/>
      <c r="M35" s="54"/>
      <c r="N35" s="342"/>
    </row>
    <row r="36" spans="1:14" ht="15.5" thickBot="1">
      <c r="A36" s="340"/>
      <c r="B36" s="35" t="s">
        <v>151</v>
      </c>
      <c r="C36" s="84"/>
      <c r="D36" s="34"/>
      <c r="E36" s="85"/>
      <c r="F36" s="85"/>
      <c r="G36" s="86"/>
      <c r="H36" s="87"/>
      <c r="I36" s="353"/>
      <c r="J36" s="356"/>
      <c r="K36" s="19"/>
      <c r="L36" s="19"/>
      <c r="M36" s="19"/>
      <c r="N36" s="343"/>
    </row>
    <row r="37" spans="1:14" ht="15.5" thickBot="1">
      <c r="A37" s="253"/>
      <c r="B37" s="208"/>
      <c r="C37" s="78"/>
      <c r="D37" s="32"/>
      <c r="E37" s="216"/>
      <c r="F37" s="80"/>
      <c r="G37" s="212"/>
      <c r="H37" s="213"/>
      <c r="I37" s="221"/>
      <c r="J37" s="255"/>
      <c r="K37" s="99"/>
      <c r="L37" s="99"/>
      <c r="M37" s="99"/>
      <c r="N37" s="223"/>
    </row>
    <row r="38" spans="1:14" ht="15.65" customHeight="1">
      <c r="A38" s="338" t="s">
        <v>210</v>
      </c>
      <c r="B38" s="29"/>
      <c r="C38" s="29"/>
      <c r="D38" s="203" t="s">
        <v>202</v>
      </c>
      <c r="E38" s="74"/>
      <c r="F38" s="74"/>
      <c r="G38" s="75"/>
      <c r="H38" s="76"/>
      <c r="I38" s="247"/>
      <c r="J38" s="254"/>
      <c r="K38" s="76"/>
      <c r="L38" s="76"/>
      <c r="M38" s="76"/>
      <c r="N38" s="341">
        <v>2</v>
      </c>
    </row>
    <row r="39" spans="1:14">
      <c r="A39" s="339"/>
      <c r="B39" s="30" t="s">
        <v>200</v>
      </c>
      <c r="C39" s="78" t="s">
        <v>193</v>
      </c>
      <c r="D39" s="31" t="s">
        <v>162</v>
      </c>
      <c r="E39" s="216">
        <v>14</v>
      </c>
      <c r="F39" s="80" t="s">
        <v>152</v>
      </c>
      <c r="G39" s="212">
        <v>1140</v>
      </c>
      <c r="H39" s="82">
        <f>E39*G39</f>
        <v>15960</v>
      </c>
      <c r="I39" s="221"/>
      <c r="J39" s="255"/>
      <c r="K39" s="54"/>
      <c r="L39" s="54"/>
      <c r="M39" s="54"/>
      <c r="N39" s="342"/>
    </row>
    <row r="40" spans="1:14">
      <c r="A40" s="339"/>
      <c r="B40" s="21" t="s">
        <v>163</v>
      </c>
      <c r="C40" s="78" t="s">
        <v>195</v>
      </c>
      <c r="D40" s="31" t="s">
        <v>203</v>
      </c>
      <c r="E40" s="79">
        <v>14</v>
      </c>
      <c r="F40" s="80" t="s">
        <v>152</v>
      </c>
      <c r="G40" s="81">
        <v>1140</v>
      </c>
      <c r="H40" s="82">
        <f>E40*G40</f>
        <v>15960</v>
      </c>
      <c r="I40" s="221" t="s">
        <v>205</v>
      </c>
      <c r="J40" s="255" t="s">
        <v>199</v>
      </c>
      <c r="K40" s="54"/>
      <c r="L40" s="54"/>
      <c r="M40" s="54"/>
      <c r="N40" s="342"/>
    </row>
    <row r="41" spans="1:14" ht="16.5">
      <c r="A41" s="339"/>
      <c r="B41" s="33" t="s">
        <v>201</v>
      </c>
      <c r="C41" s="78"/>
      <c r="D41" s="32" t="s">
        <v>204</v>
      </c>
      <c r="E41" s="79"/>
      <c r="F41" s="80"/>
      <c r="G41" s="81"/>
      <c r="H41" s="82"/>
      <c r="I41" s="221"/>
      <c r="J41" s="255"/>
      <c r="K41" s="54"/>
      <c r="L41" s="54"/>
      <c r="M41" s="54"/>
      <c r="N41" s="342"/>
    </row>
    <row r="42" spans="1:14" ht="15.5" thickBot="1">
      <c r="A42" s="340"/>
      <c r="B42" s="35" t="s">
        <v>151</v>
      </c>
      <c r="C42" s="84"/>
      <c r="D42" s="34"/>
      <c r="E42" s="85"/>
      <c r="F42" s="85"/>
      <c r="G42" s="86"/>
      <c r="H42" s="87"/>
      <c r="I42" s="248"/>
      <c r="J42" s="256"/>
      <c r="K42" s="19"/>
      <c r="L42" s="19"/>
      <c r="M42" s="19"/>
      <c r="N42" s="343"/>
    </row>
    <row r="43" spans="1:14" ht="15.5" thickBot="1">
      <c r="A43" s="253"/>
      <c r="B43" s="208"/>
      <c r="C43" s="78"/>
      <c r="D43" s="32"/>
      <c r="E43" s="216"/>
      <c r="F43" s="80"/>
      <c r="G43" s="212"/>
      <c r="H43" s="213"/>
      <c r="I43" s="221"/>
      <c r="J43" s="255"/>
      <c r="K43" s="99"/>
      <c r="L43" s="99"/>
      <c r="M43" s="99"/>
      <c r="N43" s="223"/>
    </row>
    <row r="44" spans="1:14" ht="15.65" customHeight="1">
      <c r="A44" s="338" t="s">
        <v>222</v>
      </c>
      <c r="B44" s="29"/>
      <c r="C44" s="29"/>
      <c r="D44" s="203" t="s">
        <v>217</v>
      </c>
      <c r="E44" s="74"/>
      <c r="F44" s="74"/>
      <c r="G44" s="75"/>
      <c r="H44" s="76"/>
      <c r="I44" s="247"/>
      <c r="J44" s="254"/>
      <c r="K44" s="76"/>
      <c r="L44" s="76"/>
      <c r="M44" s="76"/>
      <c r="N44" s="341">
        <v>1</v>
      </c>
    </row>
    <row r="45" spans="1:14">
      <c r="A45" s="339"/>
      <c r="B45" s="30" t="s">
        <v>211</v>
      </c>
      <c r="C45" s="78" t="s">
        <v>215</v>
      </c>
      <c r="D45" s="31" t="s">
        <v>149</v>
      </c>
      <c r="E45" s="216">
        <v>6</v>
      </c>
      <c r="F45" s="80" t="s">
        <v>152</v>
      </c>
      <c r="G45" s="212">
        <v>1160</v>
      </c>
      <c r="H45" s="82">
        <f>E45*G45</f>
        <v>6960</v>
      </c>
      <c r="I45" s="221"/>
      <c r="J45" s="255"/>
      <c r="K45" s="54"/>
      <c r="L45" s="54"/>
      <c r="M45" s="54"/>
      <c r="N45" s="342"/>
    </row>
    <row r="46" spans="1:14">
      <c r="A46" s="339"/>
      <c r="B46" s="21" t="s">
        <v>149</v>
      </c>
      <c r="C46" s="78" t="s">
        <v>216</v>
      </c>
      <c r="D46" s="31" t="s">
        <v>110</v>
      </c>
      <c r="E46" s="79">
        <v>6</v>
      </c>
      <c r="F46" s="80" t="s">
        <v>152</v>
      </c>
      <c r="G46" s="81">
        <v>1160</v>
      </c>
      <c r="H46" s="82">
        <f>E46*G46</f>
        <v>6960</v>
      </c>
      <c r="I46" s="221" t="s">
        <v>219</v>
      </c>
      <c r="J46" s="255" t="s">
        <v>190</v>
      </c>
      <c r="K46" s="54"/>
      <c r="L46" s="54"/>
      <c r="M46" s="54"/>
      <c r="N46" s="342"/>
    </row>
    <row r="47" spans="1:14">
      <c r="A47" s="339"/>
      <c r="B47" s="33" t="s">
        <v>183</v>
      </c>
      <c r="C47" s="78"/>
      <c r="D47" s="32" t="s">
        <v>218</v>
      </c>
      <c r="E47" s="79"/>
      <c r="F47" s="80"/>
      <c r="G47" s="81"/>
      <c r="H47" s="82"/>
      <c r="I47" s="221"/>
      <c r="J47" s="255"/>
      <c r="K47" s="54"/>
      <c r="L47" s="54"/>
      <c r="M47" s="54"/>
      <c r="N47" s="342"/>
    </row>
    <row r="48" spans="1:14" ht="15.5" thickBot="1">
      <c r="A48" s="339"/>
      <c r="B48" s="35" t="s">
        <v>151</v>
      </c>
      <c r="C48" s="84"/>
      <c r="D48" s="34"/>
      <c r="E48" s="85"/>
      <c r="F48" s="85"/>
      <c r="G48" s="86"/>
      <c r="H48" s="87"/>
      <c r="I48" s="221"/>
      <c r="J48" s="255"/>
      <c r="K48" s="54"/>
      <c r="L48" s="54"/>
      <c r="M48" s="54"/>
      <c r="N48" s="342"/>
    </row>
    <row r="49" spans="1:14" ht="17" thickBot="1">
      <c r="A49" s="339"/>
      <c r="B49" s="314"/>
      <c r="C49" s="84"/>
      <c r="D49" s="259"/>
      <c r="E49" s="85"/>
      <c r="F49" s="313"/>
      <c r="G49" s="86"/>
      <c r="H49" s="87"/>
      <c r="I49" s="221"/>
      <c r="J49" s="93"/>
      <c r="K49" s="54"/>
      <c r="L49" s="54"/>
      <c r="M49" s="54"/>
      <c r="N49" s="342"/>
    </row>
    <row r="50" spans="1:14" ht="15.5" thickBot="1">
      <c r="A50" s="340"/>
      <c r="B50" s="315" t="s">
        <v>221</v>
      </c>
      <c r="C50" s="316"/>
      <c r="D50" s="38" t="s">
        <v>220</v>
      </c>
      <c r="E50" s="317">
        <v>480</v>
      </c>
      <c r="F50" s="263" t="s">
        <v>86</v>
      </c>
      <c r="G50" s="318">
        <v>5</v>
      </c>
      <c r="H50" s="319">
        <f t="shared" ref="H50" si="3">E50*G50</f>
        <v>2400</v>
      </c>
      <c r="I50" s="248"/>
      <c r="J50" s="320"/>
      <c r="K50" s="19"/>
      <c r="L50" s="19"/>
      <c r="M50" s="19"/>
      <c r="N50" s="343"/>
    </row>
    <row r="51" spans="1:14" ht="15.5" thickBot="1">
      <c r="A51" s="282"/>
      <c r="B51" s="283"/>
      <c r="C51" s="284"/>
      <c r="D51" s="285"/>
      <c r="E51" s="286"/>
      <c r="F51" s="287"/>
      <c r="G51" s="288"/>
      <c r="H51" s="289"/>
      <c r="I51" s="290"/>
      <c r="J51" s="256"/>
      <c r="K51" s="16"/>
      <c r="L51" s="16"/>
      <c r="M51" s="16"/>
      <c r="N51" s="223"/>
    </row>
    <row r="52" spans="1:14" ht="15" customHeight="1">
      <c r="A52" s="347" t="s">
        <v>249</v>
      </c>
      <c r="B52" s="306" t="s">
        <v>166</v>
      </c>
      <c r="C52" s="278"/>
      <c r="D52" s="279" t="s">
        <v>223</v>
      </c>
      <c r="E52" s="280">
        <v>3</v>
      </c>
      <c r="F52" s="281" t="s">
        <v>165</v>
      </c>
      <c r="G52" s="213">
        <v>100</v>
      </c>
      <c r="H52" s="213">
        <f t="shared" ref="H52:H53" si="4">E52*G52</f>
        <v>300</v>
      </c>
      <c r="I52" s="221"/>
      <c r="J52" s="324"/>
      <c r="K52" s="77"/>
      <c r="L52" s="294"/>
      <c r="M52" s="76"/>
      <c r="N52" s="341">
        <v>1</v>
      </c>
    </row>
    <row r="53" spans="1:14" ht="15" customHeight="1">
      <c r="A53" s="348"/>
      <c r="B53" s="307" t="s">
        <v>166</v>
      </c>
      <c r="C53" s="268"/>
      <c r="D53" s="279" t="s">
        <v>224</v>
      </c>
      <c r="E53" s="270">
        <v>3</v>
      </c>
      <c r="F53" s="271" t="s">
        <v>165</v>
      </c>
      <c r="G53" s="82">
        <v>100</v>
      </c>
      <c r="H53" s="82">
        <f t="shared" si="4"/>
        <v>300</v>
      </c>
      <c r="I53" s="221"/>
      <c r="J53" s="246"/>
      <c r="K53" s="16"/>
      <c r="L53" s="291"/>
      <c r="M53" s="54"/>
      <c r="N53" s="342"/>
    </row>
    <row r="54" spans="1:14" ht="15" customHeight="1">
      <c r="A54" s="348"/>
      <c r="B54" s="307" t="s">
        <v>166</v>
      </c>
      <c r="C54" s="268"/>
      <c r="D54" s="279" t="s">
        <v>225</v>
      </c>
      <c r="E54" s="270">
        <v>4</v>
      </c>
      <c r="F54" s="271" t="s">
        <v>165</v>
      </c>
      <c r="G54" s="82">
        <v>100</v>
      </c>
      <c r="H54" s="82">
        <f>E54*G54</f>
        <v>400</v>
      </c>
      <c r="I54" s="221"/>
      <c r="J54" s="93"/>
      <c r="K54" s="16"/>
      <c r="L54" s="291"/>
      <c r="M54" s="54"/>
      <c r="N54" s="342"/>
    </row>
    <row r="55" spans="1:14" ht="15" customHeight="1">
      <c r="A55" s="348"/>
      <c r="B55" s="307" t="s">
        <v>166</v>
      </c>
      <c r="C55" s="268"/>
      <c r="D55" s="279" t="s">
        <v>226</v>
      </c>
      <c r="E55" s="270">
        <v>3</v>
      </c>
      <c r="F55" s="271" t="s">
        <v>165</v>
      </c>
      <c r="G55" s="82">
        <v>100</v>
      </c>
      <c r="H55" s="82">
        <f t="shared" ref="H55:H63" si="5">E55*G55</f>
        <v>300</v>
      </c>
      <c r="I55" s="221"/>
      <c r="J55" s="93"/>
      <c r="K55" s="16"/>
      <c r="L55" s="291"/>
      <c r="M55" s="54"/>
      <c r="N55" s="342"/>
    </row>
    <row r="56" spans="1:14" ht="15" customHeight="1" thickBot="1">
      <c r="A56" s="348"/>
      <c r="B56" s="308" t="s">
        <v>166</v>
      </c>
      <c r="C56" s="259"/>
      <c r="D56" s="273" t="s">
        <v>227</v>
      </c>
      <c r="E56" s="274">
        <v>3</v>
      </c>
      <c r="F56" s="275" t="s">
        <v>165</v>
      </c>
      <c r="G56" s="87">
        <v>100</v>
      </c>
      <c r="H56" s="87">
        <f t="shared" si="5"/>
        <v>300</v>
      </c>
      <c r="I56" s="221"/>
      <c r="J56" s="293" t="s">
        <v>247</v>
      </c>
      <c r="K56" s="16"/>
      <c r="L56" s="291"/>
      <c r="M56" s="54"/>
      <c r="N56" s="342"/>
    </row>
    <row r="57" spans="1:14" ht="14.5" customHeight="1" thickBot="1">
      <c r="A57" s="348"/>
      <c r="B57" s="309"/>
      <c r="C57" s="257"/>
      <c r="D57" s="258"/>
      <c r="E57" s="276"/>
      <c r="F57" s="251"/>
      <c r="G57" s="92"/>
      <c r="H57" s="92"/>
      <c r="I57" s="221"/>
      <c r="J57" s="93"/>
      <c r="K57" s="16"/>
      <c r="L57" s="291"/>
      <c r="M57" s="54"/>
      <c r="N57" s="342"/>
    </row>
    <row r="58" spans="1:14" ht="21.65" customHeight="1">
      <c r="A58" s="348"/>
      <c r="B58" s="310" t="s">
        <v>229</v>
      </c>
      <c r="C58" s="264"/>
      <c r="D58" s="265" t="s">
        <v>231</v>
      </c>
      <c r="E58" s="266">
        <v>1</v>
      </c>
      <c r="F58" s="204" t="s">
        <v>86</v>
      </c>
      <c r="G58" s="217">
        <v>4000</v>
      </c>
      <c r="H58" s="217">
        <f t="shared" si="5"/>
        <v>4000</v>
      </c>
      <c r="I58" s="221" t="s">
        <v>248</v>
      </c>
      <c r="J58" s="93"/>
      <c r="K58" s="16"/>
      <c r="L58" s="291"/>
      <c r="M58" s="54"/>
      <c r="N58" s="342"/>
    </row>
    <row r="59" spans="1:14" ht="21.65" customHeight="1">
      <c r="A59" s="348"/>
      <c r="B59" s="311" t="s">
        <v>233</v>
      </c>
      <c r="C59" s="268"/>
      <c r="D59" s="269" t="s">
        <v>235</v>
      </c>
      <c r="E59" s="270">
        <v>1</v>
      </c>
      <c r="F59" s="94" t="s">
        <v>86</v>
      </c>
      <c r="G59" s="82">
        <v>2500</v>
      </c>
      <c r="H59" s="82">
        <f t="shared" si="5"/>
        <v>2500</v>
      </c>
      <c r="I59" s="221"/>
      <c r="J59" s="246"/>
      <c r="K59" s="16"/>
      <c r="L59" s="291"/>
      <c r="M59" s="54"/>
      <c r="N59" s="342"/>
    </row>
    <row r="60" spans="1:14" ht="21.65" customHeight="1">
      <c r="A60" s="348"/>
      <c r="B60" s="307" t="s">
        <v>232</v>
      </c>
      <c r="C60" s="268"/>
      <c r="D60" s="269" t="s">
        <v>236</v>
      </c>
      <c r="E60" s="270">
        <v>1</v>
      </c>
      <c r="F60" s="94" t="s">
        <v>86</v>
      </c>
      <c r="G60" s="82">
        <v>2500</v>
      </c>
      <c r="H60" s="82">
        <f t="shared" si="5"/>
        <v>2500</v>
      </c>
      <c r="I60" s="221"/>
      <c r="J60" s="272"/>
      <c r="K60" s="16"/>
      <c r="L60" s="291"/>
      <c r="M60" s="54"/>
      <c r="N60" s="342"/>
    </row>
    <row r="61" spans="1:14" ht="21.65" customHeight="1">
      <c r="A61" s="348"/>
      <c r="B61" s="312" t="s">
        <v>232</v>
      </c>
      <c r="C61" s="268"/>
      <c r="D61" s="269" t="s">
        <v>238</v>
      </c>
      <c r="E61" s="270">
        <v>1</v>
      </c>
      <c r="F61" s="94" t="s">
        <v>86</v>
      </c>
      <c r="G61" s="82">
        <v>2000</v>
      </c>
      <c r="H61" s="82">
        <f t="shared" si="5"/>
        <v>2000</v>
      </c>
      <c r="I61" s="221"/>
      <c r="J61" s="246"/>
      <c r="K61" s="16"/>
      <c r="L61" s="291"/>
      <c r="M61" s="54"/>
      <c r="N61" s="342"/>
    </row>
    <row r="62" spans="1:14" ht="21.65" customHeight="1">
      <c r="A62" s="348"/>
      <c r="B62" s="321" t="s">
        <v>240</v>
      </c>
      <c r="C62" s="260"/>
      <c r="D62" s="322" t="s">
        <v>242</v>
      </c>
      <c r="E62" s="323">
        <v>1</v>
      </c>
      <c r="F62" s="220" t="s">
        <v>86</v>
      </c>
      <c r="G62" s="219">
        <v>3000</v>
      </c>
      <c r="H62" s="82">
        <f t="shared" si="5"/>
        <v>3000</v>
      </c>
      <c r="I62" s="221"/>
      <c r="J62" s="93"/>
      <c r="K62" s="16"/>
      <c r="L62" s="291"/>
      <c r="M62" s="20"/>
      <c r="N62" s="342"/>
    </row>
    <row r="63" spans="1:14" ht="21.65" customHeight="1" thickBot="1">
      <c r="A63" s="349"/>
      <c r="B63" s="308" t="s">
        <v>244</v>
      </c>
      <c r="C63" s="259"/>
      <c r="D63" s="273" t="s">
        <v>246</v>
      </c>
      <c r="E63" s="274">
        <v>1</v>
      </c>
      <c r="F63" s="263" t="s">
        <v>86</v>
      </c>
      <c r="G63" s="87">
        <v>3000</v>
      </c>
      <c r="H63" s="87">
        <f t="shared" si="5"/>
        <v>3000</v>
      </c>
      <c r="I63" s="248"/>
      <c r="J63" s="277"/>
      <c r="K63" s="88"/>
      <c r="L63" s="292"/>
      <c r="M63" s="19"/>
      <c r="N63" s="343"/>
    </row>
    <row r="64" spans="1:14" ht="15.5" thickBot="1">
      <c r="A64" s="222"/>
      <c r="B64" s="37"/>
      <c r="C64" s="89"/>
      <c r="D64" s="36"/>
      <c r="E64" s="90"/>
      <c r="F64" s="90"/>
      <c r="G64" s="91"/>
      <c r="H64" s="92"/>
      <c r="I64" s="221"/>
      <c r="J64" s="93"/>
      <c r="K64" s="99"/>
      <c r="L64" s="99"/>
      <c r="M64" s="99"/>
      <c r="N64" s="223"/>
    </row>
    <row r="65" spans="1:14">
      <c r="A65" s="303"/>
      <c r="B65" s="261"/>
      <c r="C65" s="203" t="s">
        <v>251</v>
      </c>
      <c r="D65" s="262"/>
      <c r="E65" s="304">
        <f>SUMIF($F$8:$F$64,"M.",$E$8:$E$64)</f>
        <v>638.79999999999995</v>
      </c>
      <c r="F65" s="204" t="s">
        <v>150</v>
      </c>
      <c r="G65" s="267"/>
      <c r="H65" s="325">
        <f>SUMIF($F$8:$F$64,"M.",$H$8:$H$64)</f>
        <v>969723</v>
      </c>
      <c r="I65" s="97"/>
      <c r="J65" s="98"/>
      <c r="K65" s="99"/>
      <c r="L65" s="99"/>
      <c r="M65" s="99"/>
      <c r="N65" s="100"/>
    </row>
    <row r="66" spans="1:14">
      <c r="A66" s="54"/>
      <c r="B66" s="21"/>
      <c r="C66" s="54"/>
      <c r="D66" s="101"/>
      <c r="E66" s="96">
        <f>SUMIF($F$8:$F$64,"PCS.",$E$8:$E$64)</f>
        <v>486</v>
      </c>
      <c r="F66" s="94" t="s">
        <v>86</v>
      </c>
      <c r="G66" s="54"/>
      <c r="H66" s="326">
        <f>SUMIF($F$8:$F$64,"PCS.",$H$8:$H$64)</f>
        <v>19400</v>
      </c>
      <c r="I66" s="54"/>
      <c r="J66" s="102"/>
      <c r="K66" s="54"/>
      <c r="L66" s="54"/>
      <c r="M66" s="54"/>
      <c r="N66" s="103"/>
    </row>
    <row r="67" spans="1:14">
      <c r="A67" s="54"/>
      <c r="B67" s="21"/>
      <c r="C67" s="54"/>
      <c r="D67" s="104"/>
      <c r="E67" s="96">
        <f>SUMIF($F$8:$F$64,"SET.",$E$8:$E$64)</f>
        <v>16</v>
      </c>
      <c r="F67" s="271" t="s">
        <v>165</v>
      </c>
      <c r="G67" s="95"/>
      <c r="H67" s="326">
        <f>SUMIF($F$8:$F$64,"SET.",$H$8:$H$64)</f>
        <v>1600</v>
      </c>
      <c r="I67" s="54"/>
      <c r="J67" s="102"/>
      <c r="K67" s="54"/>
      <c r="L67" s="54"/>
      <c r="M67" s="54"/>
      <c r="N67" s="103"/>
    </row>
    <row r="71" spans="1:14">
      <c r="C71" s="3"/>
    </row>
    <row r="72" spans="1:14">
      <c r="C72" s="3"/>
    </row>
    <row r="119" spans="1:1">
      <c r="A119" s="7" t="s">
        <v>100</v>
      </c>
    </row>
  </sheetData>
  <mergeCells count="18">
    <mergeCell ref="N52:N63"/>
    <mergeCell ref="A52:A63"/>
    <mergeCell ref="A38:A42"/>
    <mergeCell ref="N38:N42"/>
    <mergeCell ref="A8:A12"/>
    <mergeCell ref="N8:N12"/>
    <mergeCell ref="A14:A18"/>
    <mergeCell ref="N14:N18"/>
    <mergeCell ref="A20:A24"/>
    <mergeCell ref="N20:N24"/>
    <mergeCell ref="A26:A36"/>
    <mergeCell ref="I26:I36"/>
    <mergeCell ref="J26:J36"/>
    <mergeCell ref="N26:N36"/>
    <mergeCell ref="A2:H2"/>
    <mergeCell ref="F4:G4"/>
    <mergeCell ref="A44:A50"/>
    <mergeCell ref="N44:N50"/>
  </mergeCells>
  <phoneticPr fontId="13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5F18-F202-4962-A2BE-650BD0B58DD8}">
  <sheetPr>
    <tabColor rgb="FFFF0000"/>
    <pageSetUpPr fitToPage="1"/>
  </sheetPr>
  <dimension ref="A1:I10"/>
  <sheetViews>
    <sheetView view="pageBreakPreview" zoomScale="40" zoomScaleNormal="90" zoomScaleSheetLayoutView="40" workbookViewId="0">
      <selection activeCell="K5" sqref="K5"/>
    </sheetView>
  </sheetViews>
  <sheetFormatPr defaultRowHeight="31.5"/>
  <cols>
    <col min="1" max="1" width="14.453125" customWidth="1"/>
    <col min="2" max="2" width="40.90625" style="228" customWidth="1"/>
    <col min="3" max="3" width="41.36328125" style="229" customWidth="1"/>
    <col min="4" max="4" width="86.08984375" style="229" customWidth="1"/>
    <col min="5" max="5" width="42.08984375" style="229" customWidth="1"/>
    <col min="6" max="6" width="38.1796875" style="231" customWidth="1"/>
    <col min="7" max="7" width="50.6328125" style="231" customWidth="1"/>
    <col min="8" max="8" width="44.7265625" style="232" customWidth="1"/>
    <col min="9" max="9" width="34.90625" style="233" customWidth="1"/>
    <col min="10" max="16" width="34.90625" customWidth="1"/>
  </cols>
  <sheetData>
    <row r="1" spans="1:9">
      <c r="D1" s="230" t="s">
        <v>153</v>
      </c>
    </row>
    <row r="2" spans="1:9" s="238" customFormat="1" ht="88.4" customHeight="1" thickBot="1">
      <c r="A2" s="234"/>
      <c r="B2" s="235" t="s">
        <v>154</v>
      </c>
      <c r="C2" s="236" t="s">
        <v>155</v>
      </c>
      <c r="D2" s="236"/>
      <c r="E2" s="236" t="s">
        <v>156</v>
      </c>
      <c r="F2" s="237" t="s">
        <v>157</v>
      </c>
      <c r="G2" s="237" t="s">
        <v>158</v>
      </c>
      <c r="H2" s="236" t="s">
        <v>159</v>
      </c>
      <c r="I2" s="237" t="s">
        <v>160</v>
      </c>
    </row>
    <row r="3" spans="1:9" ht="194.9" customHeight="1" thickBot="1">
      <c r="A3" s="239"/>
      <c r="B3" s="240" t="s">
        <v>228</v>
      </c>
      <c r="C3" s="241" t="s">
        <v>252</v>
      </c>
      <c r="D3" s="242" t="s">
        <v>230</v>
      </c>
      <c r="E3" s="243" t="s">
        <v>161</v>
      </c>
      <c r="F3" s="244" t="s">
        <v>101</v>
      </c>
      <c r="G3" s="244"/>
      <c r="H3" s="244" t="s">
        <v>256</v>
      </c>
      <c r="I3" s="245">
        <v>21</v>
      </c>
    </row>
    <row r="4" spans="1:9" ht="194.9" customHeight="1" thickBot="1">
      <c r="A4" s="239"/>
      <c r="B4" s="240" t="s">
        <v>232</v>
      </c>
      <c r="C4" s="241" t="s">
        <v>252</v>
      </c>
      <c r="D4" s="242" t="s">
        <v>234</v>
      </c>
      <c r="E4" s="243" t="s">
        <v>161</v>
      </c>
      <c r="F4" s="244" t="s">
        <v>101</v>
      </c>
      <c r="G4" s="244"/>
      <c r="H4" s="244" t="s">
        <v>258</v>
      </c>
      <c r="I4" s="245">
        <v>21</v>
      </c>
    </row>
    <row r="5" spans="1:9" ht="194.9" customHeight="1" thickBot="1">
      <c r="A5" s="239"/>
      <c r="B5" s="240" t="s">
        <v>232</v>
      </c>
      <c r="C5" s="241" t="s">
        <v>168</v>
      </c>
      <c r="D5" s="242" t="s">
        <v>236</v>
      </c>
      <c r="E5" s="243" t="s">
        <v>161</v>
      </c>
      <c r="F5" s="244" t="s">
        <v>101</v>
      </c>
      <c r="G5" s="244"/>
      <c r="H5" s="244" t="s">
        <v>257</v>
      </c>
      <c r="I5" s="245">
        <v>21</v>
      </c>
    </row>
    <row r="6" spans="1:9" ht="194.9" customHeight="1" thickBot="1">
      <c r="A6" s="239"/>
      <c r="B6" s="240" t="s">
        <v>232</v>
      </c>
      <c r="C6" s="241" t="s">
        <v>168</v>
      </c>
      <c r="D6" s="242" t="s">
        <v>237</v>
      </c>
      <c r="E6" s="243" t="s">
        <v>161</v>
      </c>
      <c r="F6" s="244" t="s">
        <v>101</v>
      </c>
      <c r="G6" s="244"/>
      <c r="H6" s="244" t="s">
        <v>164</v>
      </c>
      <c r="I6" s="245">
        <v>21</v>
      </c>
    </row>
    <row r="7" spans="1:9" ht="194.9" customHeight="1" thickBot="1">
      <c r="A7" s="239"/>
      <c r="B7" s="240" t="s">
        <v>239</v>
      </c>
      <c r="C7" s="241" t="s">
        <v>254</v>
      </c>
      <c r="D7" s="242" t="s">
        <v>241</v>
      </c>
      <c r="E7" s="243" t="s">
        <v>161</v>
      </c>
      <c r="F7" s="244" t="s">
        <v>101</v>
      </c>
      <c r="G7" s="244"/>
      <c r="H7" s="244" t="s">
        <v>167</v>
      </c>
      <c r="I7" s="245">
        <v>21</v>
      </c>
    </row>
    <row r="8" spans="1:9" ht="194.9" customHeight="1">
      <c r="A8" s="239"/>
      <c r="B8" s="240" t="s">
        <v>243</v>
      </c>
      <c r="C8" s="241" t="s">
        <v>255</v>
      </c>
      <c r="D8" s="242" t="s">
        <v>245</v>
      </c>
      <c r="E8" s="243" t="s">
        <v>253</v>
      </c>
      <c r="F8" s="244" t="s">
        <v>101</v>
      </c>
      <c r="G8" s="244"/>
      <c r="H8" s="327" t="s">
        <v>259</v>
      </c>
      <c r="I8" s="245">
        <v>21</v>
      </c>
    </row>
    <row r="9" spans="1:9" ht="134.15" customHeight="1"/>
    <row r="10" spans="1:9" ht="134.15" customHeight="1"/>
  </sheetData>
  <phoneticPr fontId="13"/>
  <pageMargins left="0.51181102362204722" right="0" top="0.74803149606299213" bottom="0.74803149606299213" header="0.31496062992125984" footer="0.31496062992125984"/>
  <pageSetup paperSize="9" scale="24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93"/>
  <sheetViews>
    <sheetView view="pageBreakPreview" topLeftCell="A34" zoomScale="80" zoomScaleNormal="70" zoomScaleSheetLayoutView="80" workbookViewId="0">
      <selection activeCell="B71" sqref="B71"/>
    </sheetView>
  </sheetViews>
  <sheetFormatPr defaultRowHeight="15"/>
  <cols>
    <col min="1" max="1" width="7.90625" customWidth="1"/>
    <col min="2" max="2" width="38.08984375" style="188" customWidth="1"/>
    <col min="3" max="3" width="81.6328125" customWidth="1"/>
    <col min="4" max="4" width="23.6328125" customWidth="1"/>
  </cols>
  <sheetData>
    <row r="1" spans="1:4" ht="17.5" customHeight="1">
      <c r="A1" s="156"/>
    </row>
    <row r="2" spans="1:4" ht="15" customHeight="1">
      <c r="A2" s="350" t="s">
        <v>143</v>
      </c>
      <c r="B2" s="350"/>
      <c r="C2" s="189"/>
    </row>
    <row r="3" spans="1:4" ht="15.65" customHeight="1" thickBot="1">
      <c r="A3" s="190"/>
      <c r="B3" s="191"/>
      <c r="C3" s="190"/>
    </row>
    <row r="4" spans="1:4" ht="21.75" customHeight="1" thickBot="1">
      <c r="A4" s="192" t="s">
        <v>36</v>
      </c>
      <c r="B4" s="24" t="s">
        <v>97</v>
      </c>
      <c r="C4" s="23" t="s">
        <v>88</v>
      </c>
      <c r="D4" s="193" t="s">
        <v>144</v>
      </c>
    </row>
    <row r="5" spans="1:4" ht="16.399999999999999" customHeight="1">
      <c r="A5" s="338" t="s">
        <v>206</v>
      </c>
      <c r="B5" s="29"/>
      <c r="C5" s="203" t="s">
        <v>172</v>
      </c>
      <c r="D5" s="194"/>
    </row>
    <row r="6" spans="1:4" ht="15" customHeight="1">
      <c r="A6" s="339"/>
      <c r="B6" s="214" t="s">
        <v>169</v>
      </c>
      <c r="C6" s="215" t="s">
        <v>101</v>
      </c>
      <c r="D6" s="195"/>
    </row>
    <row r="7" spans="1:4" ht="15" customHeight="1">
      <c r="A7" s="339"/>
      <c r="B7" s="21" t="s">
        <v>149</v>
      </c>
      <c r="C7" s="249" t="s">
        <v>167</v>
      </c>
      <c r="D7" s="195" t="s">
        <v>145</v>
      </c>
    </row>
    <row r="8" spans="1:4" ht="15" customHeight="1">
      <c r="A8" s="339"/>
      <c r="B8" s="33" t="s">
        <v>212</v>
      </c>
      <c r="C8" s="32" t="s">
        <v>173</v>
      </c>
      <c r="D8" s="195" t="s">
        <v>66</v>
      </c>
    </row>
    <row r="9" spans="1:4" ht="15" customHeight="1" thickBot="1">
      <c r="A9" s="340"/>
      <c r="B9" s="35" t="s">
        <v>151</v>
      </c>
      <c r="C9" s="34"/>
      <c r="D9" s="298"/>
    </row>
    <row r="10" spans="1:4" ht="15" customHeight="1" thickBot="1">
      <c r="A10" s="252"/>
      <c r="B10" s="30"/>
      <c r="C10" s="215"/>
      <c r="D10" s="297"/>
    </row>
    <row r="11" spans="1:4" ht="21.75" customHeight="1" thickBot="1">
      <c r="A11" s="192" t="s">
        <v>36</v>
      </c>
      <c r="B11" s="24" t="s">
        <v>97</v>
      </c>
      <c r="C11" s="23" t="s">
        <v>88</v>
      </c>
      <c r="D11" s="193" t="s">
        <v>144</v>
      </c>
    </row>
    <row r="12" spans="1:4" ht="17.5" customHeight="1">
      <c r="A12" s="338" t="s">
        <v>207</v>
      </c>
      <c r="B12" s="29"/>
      <c r="C12" s="203" t="s">
        <v>178</v>
      </c>
      <c r="D12" s="299"/>
    </row>
    <row r="13" spans="1:4" ht="16.399999999999999" customHeight="1">
      <c r="A13" s="339"/>
      <c r="B13" s="214" t="s">
        <v>176</v>
      </c>
      <c r="C13" s="21" t="s">
        <v>101</v>
      </c>
      <c r="D13" s="196"/>
    </row>
    <row r="14" spans="1:4" ht="16.399999999999999" customHeight="1">
      <c r="A14" s="339"/>
      <c r="B14" s="21" t="s">
        <v>149</v>
      </c>
      <c r="C14" s="249" t="s">
        <v>167</v>
      </c>
      <c r="D14" s="196"/>
    </row>
    <row r="15" spans="1:4" ht="16.399999999999999" customHeight="1">
      <c r="A15" s="339"/>
      <c r="B15" s="33" t="s">
        <v>214</v>
      </c>
      <c r="C15" s="32" t="s">
        <v>179</v>
      </c>
      <c r="D15" s="195" t="s">
        <v>145</v>
      </c>
    </row>
    <row r="16" spans="1:4" ht="16.399999999999999" customHeight="1" thickBot="1">
      <c r="A16" s="340"/>
      <c r="B16" s="35" t="s">
        <v>151</v>
      </c>
      <c r="C16" s="34"/>
      <c r="D16" s="301" t="s">
        <v>66</v>
      </c>
    </row>
    <row r="17" spans="1:4" ht="15" customHeight="1" thickBot="1">
      <c r="A17" s="253"/>
      <c r="B17" s="208"/>
      <c r="C17" s="32"/>
      <c r="D17" s="300"/>
    </row>
    <row r="18" spans="1:4" ht="21" customHeight="1" thickBot="1">
      <c r="A18" s="192" t="s">
        <v>36</v>
      </c>
      <c r="B18" s="24" t="s">
        <v>97</v>
      </c>
      <c r="C18" s="23" t="s">
        <v>88</v>
      </c>
      <c r="D18" s="193" t="s">
        <v>144</v>
      </c>
    </row>
    <row r="19" spans="1:4" ht="15" customHeight="1">
      <c r="A19" s="338" t="s">
        <v>208</v>
      </c>
      <c r="B19" s="29"/>
      <c r="C19" s="203" t="s">
        <v>186</v>
      </c>
      <c r="D19" s="197"/>
    </row>
    <row r="20" spans="1:4" ht="21.75" customHeight="1">
      <c r="A20" s="339"/>
      <c r="B20" s="214" t="s">
        <v>182</v>
      </c>
      <c r="C20" s="215" t="s">
        <v>101</v>
      </c>
      <c r="D20" s="209"/>
    </row>
    <row r="21" spans="1:4" ht="16.399999999999999" customHeight="1">
      <c r="A21" s="339"/>
      <c r="B21" s="21" t="s">
        <v>149</v>
      </c>
      <c r="C21" s="31" t="s">
        <v>187</v>
      </c>
      <c r="D21" s="195" t="s">
        <v>145</v>
      </c>
    </row>
    <row r="22" spans="1:4" ht="16.399999999999999" customHeight="1">
      <c r="A22" s="339"/>
      <c r="B22" s="33" t="s">
        <v>213</v>
      </c>
      <c r="C22" s="32" t="s">
        <v>188</v>
      </c>
      <c r="D22" s="195" t="s">
        <v>66</v>
      </c>
    </row>
    <row r="23" spans="1:4" ht="16.399999999999999" customHeight="1" thickBot="1">
      <c r="A23" s="340"/>
      <c r="B23" s="35" t="s">
        <v>151</v>
      </c>
      <c r="C23" s="34"/>
      <c r="D23" s="301"/>
    </row>
    <row r="24" spans="1:4" ht="15" customHeight="1" thickBot="1">
      <c r="A24" s="253"/>
      <c r="B24" s="208"/>
      <c r="C24" s="32"/>
      <c r="D24" s="300"/>
    </row>
    <row r="25" spans="1:4" ht="21" customHeight="1" thickBot="1">
      <c r="A25" s="192" t="s">
        <v>36</v>
      </c>
      <c r="B25" s="24" t="s">
        <v>97</v>
      </c>
      <c r="C25" s="23" t="s">
        <v>88</v>
      </c>
      <c r="D25" s="193" t="s">
        <v>144</v>
      </c>
    </row>
    <row r="26" spans="1:4" ht="15" customHeight="1">
      <c r="A26" s="338" t="s">
        <v>209</v>
      </c>
      <c r="B26" s="29"/>
      <c r="C26" s="203" t="s">
        <v>196</v>
      </c>
      <c r="D26" s="197"/>
    </row>
    <row r="27" spans="1:4" ht="21.75" customHeight="1">
      <c r="A27" s="339"/>
      <c r="B27" s="214" t="s">
        <v>191</v>
      </c>
      <c r="C27" s="21" t="s">
        <v>162</v>
      </c>
      <c r="D27" s="209"/>
    </row>
    <row r="28" spans="1:4" ht="16.399999999999999" customHeight="1">
      <c r="A28" s="339"/>
      <c r="B28" s="21" t="s">
        <v>162</v>
      </c>
      <c r="C28" s="215" t="s">
        <v>167</v>
      </c>
      <c r="D28" s="195" t="s">
        <v>145</v>
      </c>
    </row>
    <row r="29" spans="1:4" ht="16.399999999999999" customHeight="1">
      <c r="A29" s="339"/>
      <c r="B29" s="33" t="s">
        <v>192</v>
      </c>
      <c r="C29" s="31" t="s">
        <v>197</v>
      </c>
      <c r="D29" s="195" t="s">
        <v>66</v>
      </c>
    </row>
    <row r="30" spans="1:4" ht="16.399999999999999" customHeight="1" thickBot="1">
      <c r="A30" s="340"/>
      <c r="B30" s="35" t="s">
        <v>151</v>
      </c>
      <c r="C30" s="34"/>
      <c r="D30" s="301"/>
    </row>
    <row r="31" spans="1:4" ht="15" customHeight="1" thickBot="1">
      <c r="A31" s="253"/>
      <c r="B31" s="208"/>
      <c r="C31" s="32"/>
      <c r="D31" s="300"/>
    </row>
    <row r="32" spans="1:4" ht="21" customHeight="1" thickBot="1">
      <c r="A32" s="192" t="s">
        <v>36</v>
      </c>
      <c r="B32" s="24" t="s">
        <v>97</v>
      </c>
      <c r="C32" s="23" t="s">
        <v>88</v>
      </c>
      <c r="D32" s="193" t="s">
        <v>144</v>
      </c>
    </row>
    <row r="33" spans="1:4" ht="15" customHeight="1">
      <c r="A33" s="338" t="s">
        <v>210</v>
      </c>
      <c r="B33" s="29"/>
      <c r="C33" s="203" t="s">
        <v>202</v>
      </c>
      <c r="D33" s="197"/>
    </row>
    <row r="34" spans="1:4" ht="21.75" customHeight="1">
      <c r="A34" s="339"/>
      <c r="B34" s="30" t="s">
        <v>200</v>
      </c>
      <c r="C34" s="31" t="s">
        <v>162</v>
      </c>
      <c r="D34" s="209"/>
    </row>
    <row r="35" spans="1:4" ht="16.399999999999999" customHeight="1">
      <c r="A35" s="339"/>
      <c r="B35" s="21" t="s">
        <v>163</v>
      </c>
      <c r="C35" s="31" t="s">
        <v>203</v>
      </c>
      <c r="D35" s="195" t="s">
        <v>145</v>
      </c>
    </row>
    <row r="36" spans="1:4" ht="16.399999999999999" customHeight="1">
      <c r="A36" s="339"/>
      <c r="B36" s="33" t="s">
        <v>201</v>
      </c>
      <c r="C36" s="32" t="s">
        <v>204</v>
      </c>
      <c r="D36" s="195" t="s">
        <v>66</v>
      </c>
    </row>
    <row r="37" spans="1:4" ht="16" customHeight="1" thickBot="1">
      <c r="A37" s="340"/>
      <c r="B37" s="35" t="s">
        <v>151</v>
      </c>
      <c r="C37" s="34"/>
      <c r="D37" s="301"/>
    </row>
    <row r="38" spans="1:4" ht="15" customHeight="1" thickBot="1">
      <c r="A38" s="253"/>
      <c r="B38" s="208"/>
      <c r="C38" s="32"/>
      <c r="D38" s="300"/>
    </row>
    <row r="39" spans="1:4" ht="21" customHeight="1" thickBot="1">
      <c r="A39" s="192" t="s">
        <v>36</v>
      </c>
      <c r="B39" s="24" t="s">
        <v>97</v>
      </c>
      <c r="C39" s="23" t="s">
        <v>88</v>
      </c>
      <c r="D39" s="193" t="s">
        <v>144</v>
      </c>
    </row>
    <row r="40" spans="1:4" ht="15" customHeight="1">
      <c r="A40" s="338" t="s">
        <v>222</v>
      </c>
      <c r="B40" s="29"/>
      <c r="C40" s="203" t="s">
        <v>217</v>
      </c>
      <c r="D40" s="197"/>
    </row>
    <row r="41" spans="1:4" ht="21.75" customHeight="1">
      <c r="A41" s="339"/>
      <c r="B41" s="30" t="s">
        <v>211</v>
      </c>
      <c r="C41" s="31" t="s">
        <v>149</v>
      </c>
      <c r="D41" s="209"/>
    </row>
    <row r="42" spans="1:4" ht="16.399999999999999" customHeight="1">
      <c r="A42" s="339"/>
      <c r="B42" s="21" t="s">
        <v>149</v>
      </c>
      <c r="C42" s="31" t="s">
        <v>110</v>
      </c>
      <c r="D42" s="195" t="s">
        <v>145</v>
      </c>
    </row>
    <row r="43" spans="1:4" ht="16.399999999999999" customHeight="1">
      <c r="A43" s="339"/>
      <c r="B43" s="33" t="s">
        <v>183</v>
      </c>
      <c r="C43" s="32" t="s">
        <v>218</v>
      </c>
      <c r="D43" s="195" t="s">
        <v>66</v>
      </c>
    </row>
    <row r="44" spans="1:4" ht="16.399999999999999" customHeight="1" thickBot="1">
      <c r="A44" s="339"/>
      <c r="B44" s="35" t="s">
        <v>151</v>
      </c>
      <c r="C44" s="34"/>
      <c r="D44" s="302"/>
    </row>
    <row r="45" spans="1:4" ht="16.399999999999999" customHeight="1" thickBot="1">
      <c r="A45" s="339"/>
      <c r="B45" s="314"/>
      <c r="C45" s="259"/>
      <c r="D45" s="302"/>
    </row>
    <row r="46" spans="1:4" ht="16" customHeight="1" thickBot="1">
      <c r="A46" s="340"/>
      <c r="B46" s="315" t="s">
        <v>221</v>
      </c>
      <c r="C46" s="38" t="s">
        <v>220</v>
      </c>
      <c r="D46" s="301"/>
    </row>
    <row r="47" spans="1:4" ht="16.399999999999999" customHeight="1" thickBot="1">
      <c r="A47" s="282"/>
      <c r="B47" s="283"/>
      <c r="C47" s="285"/>
      <c r="D47" s="196"/>
    </row>
    <row r="48" spans="1:4" ht="21" customHeight="1" thickBot="1">
      <c r="A48" s="295" t="s">
        <v>36</v>
      </c>
      <c r="B48" s="296" t="s">
        <v>97</v>
      </c>
      <c r="C48" s="47" t="s">
        <v>88</v>
      </c>
      <c r="D48" s="193" t="s">
        <v>144</v>
      </c>
    </row>
    <row r="49" spans="1:4" ht="16.399999999999999" customHeight="1">
      <c r="A49" s="347" t="s">
        <v>249</v>
      </c>
      <c r="B49" s="306" t="s">
        <v>166</v>
      </c>
      <c r="C49" s="279" t="s">
        <v>223</v>
      </c>
      <c r="D49" s="194"/>
    </row>
    <row r="50" spans="1:4" ht="16.399999999999999" customHeight="1">
      <c r="A50" s="348"/>
      <c r="B50" s="307" t="s">
        <v>166</v>
      </c>
      <c r="C50" s="279" t="s">
        <v>224</v>
      </c>
      <c r="D50" s="195"/>
    </row>
    <row r="51" spans="1:4" ht="16.399999999999999" customHeight="1">
      <c r="A51" s="348"/>
      <c r="B51" s="307" t="s">
        <v>166</v>
      </c>
      <c r="C51" s="279" t="s">
        <v>225</v>
      </c>
      <c r="D51" s="195"/>
    </row>
    <row r="52" spans="1:4" ht="16.399999999999999" customHeight="1">
      <c r="A52" s="348"/>
      <c r="B52" s="307" t="s">
        <v>166</v>
      </c>
      <c r="C52" s="279" t="s">
        <v>226</v>
      </c>
      <c r="D52" s="302"/>
    </row>
    <row r="53" spans="1:4" ht="16.399999999999999" customHeight="1" thickBot="1">
      <c r="A53" s="348"/>
      <c r="B53" s="308" t="s">
        <v>166</v>
      </c>
      <c r="C53" s="273" t="s">
        <v>227</v>
      </c>
      <c r="D53" s="195" t="s">
        <v>145</v>
      </c>
    </row>
    <row r="54" spans="1:4" ht="16.399999999999999" customHeight="1" thickBot="1">
      <c r="A54" s="348"/>
      <c r="B54" s="309"/>
      <c r="C54" s="258"/>
      <c r="D54" s="195"/>
    </row>
    <row r="55" spans="1:4" ht="16.399999999999999" customHeight="1">
      <c r="A55" s="348"/>
      <c r="B55" s="310" t="s">
        <v>229</v>
      </c>
      <c r="C55" s="265" t="s">
        <v>231</v>
      </c>
      <c r="D55" s="195"/>
    </row>
    <row r="56" spans="1:4" ht="16.399999999999999" customHeight="1">
      <c r="A56" s="348"/>
      <c r="B56" s="311" t="s">
        <v>233</v>
      </c>
      <c r="C56" s="269" t="s">
        <v>235</v>
      </c>
      <c r="D56" s="195" t="s">
        <v>66</v>
      </c>
    </row>
    <row r="57" spans="1:4" ht="16.399999999999999" customHeight="1">
      <c r="A57" s="348"/>
      <c r="B57" s="307" t="s">
        <v>232</v>
      </c>
      <c r="C57" s="269" t="s">
        <v>236</v>
      </c>
      <c r="D57" s="195"/>
    </row>
    <row r="58" spans="1:4" ht="15" customHeight="1">
      <c r="A58" s="348"/>
      <c r="B58" s="312" t="s">
        <v>232</v>
      </c>
      <c r="C58" s="269" t="s">
        <v>238</v>
      </c>
      <c r="D58" s="201"/>
    </row>
    <row r="59" spans="1:4" ht="15" customHeight="1">
      <c r="A59" s="348"/>
      <c r="B59" s="321" t="s">
        <v>240</v>
      </c>
      <c r="C59" s="322" t="s">
        <v>242</v>
      </c>
      <c r="D59" s="201"/>
    </row>
    <row r="60" spans="1:4" ht="21.65" customHeight="1" thickBot="1">
      <c r="A60" s="349"/>
      <c r="B60" s="308" t="s">
        <v>244</v>
      </c>
      <c r="C60" s="273" t="s">
        <v>246</v>
      </c>
      <c r="D60" s="202"/>
    </row>
    <row r="61" spans="1:4" ht="16.399999999999999" customHeight="1">
      <c r="A61" s="197"/>
      <c r="B61" s="197"/>
      <c r="C61" s="197"/>
      <c r="D61" s="197"/>
    </row>
    <row r="62" spans="1:4" ht="15" customHeight="1">
      <c r="A62" s="197"/>
      <c r="B62" s="197"/>
      <c r="C62" s="197"/>
      <c r="D62" s="197"/>
    </row>
    <row r="63" spans="1:4" ht="15" customHeight="1">
      <c r="A63" s="197"/>
      <c r="B63" s="197"/>
      <c r="C63" s="197"/>
      <c r="D63" s="197"/>
    </row>
    <row r="64" spans="1:4" ht="15" customHeight="1">
      <c r="A64" s="197"/>
      <c r="B64" s="197"/>
      <c r="C64" s="197"/>
      <c r="D64" s="197"/>
    </row>
    <row r="65" spans="1:4" ht="15" customHeight="1">
      <c r="A65" s="197"/>
      <c r="B65" s="197"/>
      <c r="C65" s="197"/>
      <c r="D65" s="197"/>
    </row>
    <row r="66" spans="1:4" ht="15" customHeight="1">
      <c r="A66" s="197"/>
      <c r="B66" s="197"/>
      <c r="C66" s="197"/>
      <c r="D66" s="197"/>
    </row>
    <row r="67" spans="1:4" ht="15.65" customHeight="1">
      <c r="A67" s="197"/>
      <c r="B67" s="197"/>
      <c r="C67" s="197"/>
      <c r="D67" s="197"/>
    </row>
    <row r="68" spans="1:4" ht="15" customHeight="1">
      <c r="A68" s="197"/>
      <c r="B68" s="197"/>
      <c r="C68" s="197"/>
      <c r="D68" s="197"/>
    </row>
    <row r="69" spans="1:4" ht="15" customHeight="1">
      <c r="A69" s="197"/>
      <c r="B69" s="197"/>
      <c r="C69" s="197"/>
      <c r="D69" s="197"/>
    </row>
    <row r="70" spans="1:4" ht="15" customHeight="1">
      <c r="A70" s="197"/>
      <c r="B70" s="197"/>
      <c r="C70" s="197"/>
      <c r="D70" s="197"/>
    </row>
    <row r="71" spans="1:4" ht="15" customHeight="1">
      <c r="A71" s="197"/>
      <c r="B71" s="197"/>
      <c r="C71" s="197"/>
      <c r="D71" s="197"/>
    </row>
    <row r="72" spans="1:4" ht="15" customHeight="1">
      <c r="A72" s="197"/>
      <c r="B72" s="197"/>
      <c r="C72" s="197"/>
      <c r="D72" s="197"/>
    </row>
    <row r="73" spans="1:4" ht="15" customHeight="1">
      <c r="A73" s="197"/>
      <c r="B73" s="197"/>
      <c r="C73" s="197"/>
      <c r="D73" s="197"/>
    </row>
    <row r="74" spans="1:4" s="198" customFormat="1" ht="15" customHeight="1">
      <c r="A74" s="197"/>
      <c r="B74" s="197"/>
      <c r="C74" s="197"/>
      <c r="D74" s="197"/>
    </row>
    <row r="75" spans="1:4" s="198" customFormat="1" ht="15" customHeight="1">
      <c r="A75" s="197"/>
      <c r="B75" s="197"/>
      <c r="C75" s="197"/>
      <c r="D75" s="197"/>
    </row>
    <row r="76" spans="1:4" ht="15" customHeight="1">
      <c r="A76" s="197"/>
      <c r="B76" s="197"/>
      <c r="C76" s="197"/>
      <c r="D76" s="197"/>
    </row>
    <row r="77" spans="1:4" ht="14.15" customHeight="1">
      <c r="A77" s="197"/>
      <c r="B77" s="197"/>
      <c r="C77" s="197"/>
      <c r="D77" s="197"/>
    </row>
    <row r="78" spans="1:4" ht="15" customHeight="1">
      <c r="A78" s="197"/>
      <c r="B78" s="197"/>
      <c r="C78" s="197"/>
      <c r="D78" s="197"/>
    </row>
    <row r="79" spans="1:4" ht="15" customHeight="1">
      <c r="A79" s="197"/>
      <c r="B79" s="197"/>
      <c r="C79" s="197"/>
      <c r="D79" s="197"/>
    </row>
    <row r="80" spans="1:4" ht="15" customHeight="1">
      <c r="A80" s="197"/>
      <c r="B80" s="197"/>
      <c r="C80" s="197"/>
      <c r="D80" s="197"/>
    </row>
    <row r="81" spans="1:4" ht="15" customHeight="1">
      <c r="A81" s="197"/>
      <c r="B81" s="197"/>
      <c r="C81" s="197"/>
      <c r="D81" s="197"/>
    </row>
    <row r="82" spans="1:4" ht="15" customHeight="1">
      <c r="A82" s="197"/>
      <c r="B82" s="197"/>
      <c r="C82" s="197"/>
      <c r="D82" s="197"/>
    </row>
    <row r="83" spans="1:4" ht="15" customHeight="1">
      <c r="A83" s="197"/>
      <c r="B83" s="197"/>
      <c r="C83" s="197"/>
      <c r="D83" s="197"/>
    </row>
    <row r="84" spans="1:4" ht="12.65" customHeight="1">
      <c r="A84" s="197"/>
      <c r="B84" s="197"/>
      <c r="C84" s="197"/>
      <c r="D84" s="197"/>
    </row>
    <row r="85" spans="1:4" ht="15.65" customHeight="1">
      <c r="A85" s="197"/>
      <c r="B85" s="197"/>
      <c r="C85" s="197"/>
      <c r="D85" s="197"/>
    </row>
    <row r="86" spans="1:4" ht="41.15" customHeight="1">
      <c r="A86" s="197"/>
      <c r="B86" s="197"/>
      <c r="C86" s="197"/>
      <c r="D86" s="197"/>
    </row>
    <row r="87" spans="1:4" ht="21.75" customHeight="1">
      <c r="A87" s="197"/>
      <c r="B87" s="197"/>
      <c r="C87" s="197"/>
      <c r="D87" s="197"/>
    </row>
    <row r="88" spans="1:4" ht="15" customHeight="1" thickBot="1">
      <c r="A88" s="199"/>
      <c r="B88" s="199"/>
      <c r="C88" s="199"/>
      <c r="D88" s="199"/>
    </row>
    <row r="89" spans="1:4" ht="10.4" customHeight="1">
      <c r="A89" s="174"/>
      <c r="B89" s="174"/>
      <c r="C89" s="200"/>
      <c r="D89" s="174"/>
    </row>
    <row r="90" spans="1:4">
      <c r="A90" s="174"/>
      <c r="B90" s="174"/>
      <c r="C90" s="174"/>
      <c r="D90" s="174"/>
    </row>
    <row r="91" spans="1:4">
      <c r="A91" s="174"/>
      <c r="B91" s="174"/>
      <c r="C91" s="174"/>
      <c r="D91" s="174"/>
    </row>
    <row r="92" spans="1:4">
      <c r="A92" s="174"/>
      <c r="B92" s="174"/>
      <c r="C92" s="174"/>
      <c r="D92" s="174"/>
    </row>
    <row r="93" spans="1:4">
      <c r="A93" s="174"/>
      <c r="B93" s="174"/>
      <c r="C93" s="174"/>
      <c r="D93" s="174"/>
    </row>
  </sheetData>
  <mergeCells count="8">
    <mergeCell ref="A33:A37"/>
    <mergeCell ref="A40:A46"/>
    <mergeCell ref="A49:A60"/>
    <mergeCell ref="A2:B2"/>
    <mergeCell ref="A5:A9"/>
    <mergeCell ref="A12:A16"/>
    <mergeCell ref="A19:A23"/>
    <mergeCell ref="A26:A30"/>
  </mergeCells>
  <phoneticPr fontId="13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1" manualBreakCount="1">
    <brk id="62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2025-04-09T09:20:39Z</dcterms:modified>
</cp:coreProperties>
</file>