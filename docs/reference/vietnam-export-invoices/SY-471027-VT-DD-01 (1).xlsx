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6C4B23E8-A103-46BE-AD47-6589760F80D9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invoice" sheetId="21" r:id="rId2"/>
    <sheet name="case mark (2)" sheetId="54" r:id="rId3"/>
    <sheet name="NARITA" sheetId="49" r:id="rId4"/>
    <sheet name="NARITA (2)" sheetId="53" r:id="rId5"/>
    <sheet name="LABEL①" sheetId="52" r:id="rId6"/>
    <sheet name="サンプル製品カタログ" sheetId="55" r:id="rId7"/>
  </sheets>
  <externalReferences>
    <externalReference r:id="rId8"/>
    <externalReference r:id="rId9"/>
  </externalReferences>
  <definedNames>
    <definedName name="pricetable" localSheetId="2">#REF!</definedName>
    <definedName name="pricetable" localSheetId="5">#REF!</definedName>
    <definedName name="pricetable" localSheetId="3">#REF!</definedName>
    <definedName name="pricetable" localSheetId="4">#REF!</definedName>
    <definedName name="pricetable" localSheetId="6">#REF!</definedName>
    <definedName name="pricetable">#REF!</definedName>
    <definedName name="_xlnm.Print_Area" localSheetId="3">NARITA!$A$1:$K$12</definedName>
    <definedName name="_xlnm.Print_Area" localSheetId="4">'NARITA (2)'!$A$1:$J$68</definedName>
    <definedName name="_xlnm.Print_Area" localSheetId="6">サンプル製品カタログ!$A$1:$G$16</definedName>
    <definedName name="_xlnm.Print_Titles" localSheetId="5">LABEL①!$1:$3</definedName>
    <definedName name="_xlnm.Print_Titles" localSheetId="3">NARITA!$1:$6</definedName>
    <definedName name="_xlnm.Print_Titles" localSheetId="4">'NARITA (2)'!$1:$6</definedName>
    <definedName name="_xlnm.Print_Titles" localSheetId="6">サンプル製品カタログ!$1:$1</definedName>
  </definedNames>
  <calcPr calcId="191029"/>
</workbook>
</file>

<file path=xl/calcChain.xml><?xml version="1.0" encoding="utf-8"?>
<calcChain xmlns="http://schemas.openxmlformats.org/spreadsheetml/2006/main">
  <c r="L32" i="21" l="1"/>
  <c r="H18" i="53"/>
  <c r="H17" i="53"/>
  <c r="H14" i="53"/>
  <c r="H12" i="53"/>
  <c r="H11" i="49"/>
  <c r="H20" i="53"/>
  <c r="H21" i="53"/>
  <c r="E21" i="53"/>
  <c r="E20" i="53"/>
  <c r="E22" i="53" s="1"/>
  <c r="H16" i="53"/>
  <c r="H15" i="53"/>
  <c r="H13" i="53"/>
  <c r="H11" i="53"/>
  <c r="H23" i="53" l="1"/>
  <c r="H22" i="53"/>
  <c r="F22" i="53"/>
  <c r="E13" i="49"/>
  <c r="H10" i="49" l="1"/>
  <c r="L29" i="21"/>
  <c r="H9" i="49" l="1"/>
  <c r="H13" i="49" s="1"/>
  <c r="J29" i="21" l="1"/>
  <c r="J28" i="21"/>
  <c r="C32" i="21" s="1"/>
  <c r="L28" i="21" l="1"/>
  <c r="I18" i="54"/>
  <c r="A18" i="54"/>
  <c r="I16" i="54"/>
  <c r="A16" i="54"/>
  <c r="I15" i="54"/>
  <c r="A15" i="54"/>
  <c r="I14" i="54"/>
  <c r="A14" i="54"/>
  <c r="I13" i="54"/>
  <c r="A13" i="54"/>
  <c r="I7" i="54"/>
  <c r="A7" i="54"/>
  <c r="I5" i="54"/>
  <c r="A5" i="54"/>
  <c r="I4" i="54"/>
  <c r="A4" i="54"/>
  <c r="I3" i="54"/>
  <c r="A3" i="54"/>
  <c r="I2" i="54"/>
  <c r="A2" i="54"/>
  <c r="K11" i="21"/>
  <c r="K10" i="21"/>
  <c r="K9" i="21"/>
  <c r="K8" i="21"/>
  <c r="H32" i="21" l="1"/>
  <c r="J32" i="21"/>
  <c r="E32" i="21"/>
  <c r="E14" i="49" l="1"/>
  <c r="H14" i="49"/>
  <c r="G6" i="53" l="1"/>
  <c r="D6" i="53"/>
  <c r="A10" i="21"/>
  <c r="K29" i="21"/>
  <c r="K28" i="21"/>
  <c r="B28" i="21"/>
  <c r="G6" i="49"/>
  <c r="D6" i="49"/>
  <c r="E7" i="21"/>
  <c r="A36" i="21"/>
  <c r="A35" i="21"/>
  <c r="K13" i="21"/>
  <c r="A8" i="21"/>
  <c r="C52" i="17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7" i="21"/>
  <c r="A38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C27" i="17"/>
  <c r="C49" i="17" s="1"/>
  <c r="E11" i="21" l="1"/>
  <c r="H15" i="49" l="1"/>
  <c r="C45" i="17" s="1"/>
</calcChain>
</file>

<file path=xl/sharedStrings.xml><?xml version="1.0" encoding="utf-8"?>
<sst xmlns="http://schemas.openxmlformats.org/spreadsheetml/2006/main" count="294" uniqueCount="195">
  <si>
    <t>SHIPPER NAME</t>
    <phoneticPr fontId="4" type="noConversion"/>
  </si>
  <si>
    <t xml:space="preserve"> </t>
    <phoneticPr fontId="8"/>
  </si>
  <si>
    <t>S/CODE</t>
    <phoneticPr fontId="4" type="noConversion"/>
  </si>
  <si>
    <t>SHIPPER ADDRESS 2</t>
    <phoneticPr fontId="9"/>
  </si>
  <si>
    <t>SHIPPER ADDRESS 1</t>
    <phoneticPr fontId="9"/>
  </si>
  <si>
    <t>SHIPPER ADDRESS 3</t>
    <phoneticPr fontId="9"/>
  </si>
  <si>
    <t xml:space="preserve">SHIPPER </t>
    <phoneticPr fontId="9"/>
  </si>
  <si>
    <t>TEL</t>
    <phoneticPr fontId="9"/>
  </si>
  <si>
    <t>FAX</t>
    <phoneticPr fontId="9"/>
  </si>
  <si>
    <t>CONSIGNEE</t>
    <phoneticPr fontId="8"/>
  </si>
  <si>
    <t>INVOICE NO.</t>
    <phoneticPr fontId="8"/>
  </si>
  <si>
    <t>INVOICE DATE</t>
    <phoneticPr fontId="8"/>
  </si>
  <si>
    <t>CONTRACT NO.</t>
    <phoneticPr fontId="8"/>
  </si>
  <si>
    <t>L/C NO.</t>
    <phoneticPr fontId="8"/>
  </si>
  <si>
    <t>PAYMENT METHOD</t>
    <phoneticPr fontId="8"/>
  </si>
  <si>
    <t>SHIPPED PER</t>
    <phoneticPr fontId="8"/>
  </si>
  <si>
    <t>FROM</t>
    <phoneticPr fontId="8"/>
  </si>
  <si>
    <t>TO</t>
    <phoneticPr fontId="8"/>
  </si>
  <si>
    <t>VIA</t>
    <phoneticPr fontId="8"/>
  </si>
  <si>
    <t>CASE MARK</t>
    <phoneticPr fontId="8"/>
  </si>
  <si>
    <t>Q'TY</t>
    <phoneticPr fontId="8"/>
  </si>
  <si>
    <t>AMOUNT</t>
    <phoneticPr fontId="8"/>
  </si>
  <si>
    <t>U/PRICE</t>
    <phoneticPr fontId="8"/>
  </si>
  <si>
    <t>C/NO.</t>
    <phoneticPr fontId="8"/>
  </si>
  <si>
    <t>SIZE</t>
    <phoneticPr fontId="9"/>
  </si>
  <si>
    <t>ART NO.</t>
    <phoneticPr fontId="9"/>
  </si>
  <si>
    <t xml:space="preserve">  DESCRIPTION  OF  GOODS</t>
    <phoneticPr fontId="8"/>
  </si>
  <si>
    <t>TOTAL :</t>
    <phoneticPr fontId="9"/>
  </si>
  <si>
    <t>COLOR</t>
    <phoneticPr fontId="9"/>
  </si>
  <si>
    <t>INVOICE</t>
    <phoneticPr fontId="9"/>
  </si>
  <si>
    <t>ATTN OR VAT NO.</t>
    <phoneticPr fontId="9"/>
  </si>
  <si>
    <t xml:space="preserve">ORDER NO. </t>
    <phoneticPr fontId="8"/>
  </si>
  <si>
    <t>ORDER DATE</t>
    <phoneticPr fontId="9"/>
  </si>
  <si>
    <t>TEL/FAX</t>
    <phoneticPr fontId="9"/>
  </si>
  <si>
    <t>ATTN</t>
    <phoneticPr fontId="9"/>
  </si>
  <si>
    <t>CONSIGNEE :</t>
    <phoneticPr fontId="9"/>
  </si>
  <si>
    <t>CONSIGNEE ADDRESS1</t>
    <phoneticPr fontId="9"/>
  </si>
  <si>
    <t>CONSIGNEE ADDRESS2</t>
    <phoneticPr fontId="9"/>
  </si>
  <si>
    <t>CONSIGNEE ADDRESS3</t>
    <phoneticPr fontId="9"/>
  </si>
  <si>
    <t>TEL</t>
    <phoneticPr fontId="9"/>
  </si>
  <si>
    <t>FAX</t>
    <phoneticPr fontId="9"/>
  </si>
  <si>
    <t>PAYMENT 1</t>
    <phoneticPr fontId="9"/>
  </si>
  <si>
    <t>PAYMENT 2</t>
    <phoneticPr fontId="9"/>
  </si>
  <si>
    <t>SHIPPER PER</t>
    <phoneticPr fontId="9"/>
  </si>
  <si>
    <t>INVOICE DATE</t>
    <phoneticPr fontId="9"/>
  </si>
  <si>
    <t>INVOICE NO.</t>
    <phoneticPr fontId="9"/>
  </si>
  <si>
    <t>CONTRACT NO.</t>
    <phoneticPr fontId="9"/>
  </si>
  <si>
    <t>CONTRACT DATE</t>
    <phoneticPr fontId="9"/>
  </si>
  <si>
    <t>ORDER DATE</t>
    <phoneticPr fontId="9"/>
  </si>
  <si>
    <t>ORDER NO.</t>
    <phoneticPr fontId="9"/>
  </si>
  <si>
    <t>L/C DATE</t>
    <phoneticPr fontId="9"/>
  </si>
  <si>
    <t>FROM</t>
    <phoneticPr fontId="9"/>
  </si>
  <si>
    <t xml:space="preserve"> TOKYO, JAPAN</t>
    <phoneticPr fontId="9"/>
  </si>
  <si>
    <t>TO</t>
    <phoneticPr fontId="9"/>
  </si>
  <si>
    <t>VIA</t>
    <phoneticPr fontId="9"/>
  </si>
  <si>
    <t>SHIPPING TERMS</t>
    <phoneticPr fontId="9"/>
  </si>
  <si>
    <t>TITTLE 1</t>
    <phoneticPr fontId="9"/>
  </si>
  <si>
    <t>TITTLE 2</t>
    <phoneticPr fontId="9"/>
  </si>
  <si>
    <t>ATTACHE</t>
    <phoneticPr fontId="9"/>
  </si>
  <si>
    <t>- DETAILS AS PER ATTACHED SHEET -</t>
    <phoneticPr fontId="9"/>
  </si>
  <si>
    <t>C/NO.</t>
    <phoneticPr fontId="9"/>
  </si>
  <si>
    <t>STYLE NO.</t>
    <phoneticPr fontId="9"/>
  </si>
  <si>
    <t>DESCRIPTION</t>
    <phoneticPr fontId="9"/>
  </si>
  <si>
    <t>Q'TY CODE</t>
    <phoneticPr fontId="9"/>
  </si>
  <si>
    <t>PCS</t>
    <phoneticPr fontId="9"/>
  </si>
  <si>
    <t>QUANTITY</t>
    <phoneticPr fontId="9"/>
  </si>
  <si>
    <t>UNIT PRICE</t>
    <phoneticPr fontId="9"/>
  </si>
  <si>
    <t>AMOUNT</t>
    <phoneticPr fontId="9"/>
  </si>
  <si>
    <t>DISCOUNT</t>
    <phoneticPr fontId="9"/>
  </si>
  <si>
    <t>CASE MARK1</t>
    <phoneticPr fontId="9"/>
  </si>
  <si>
    <t>CASE MARK2</t>
    <phoneticPr fontId="9"/>
  </si>
  <si>
    <t>CASE MARK3</t>
    <phoneticPr fontId="9"/>
  </si>
  <si>
    <t>CASE MARK4</t>
    <phoneticPr fontId="9"/>
  </si>
  <si>
    <t>CASE MARK5</t>
    <phoneticPr fontId="9"/>
  </si>
  <si>
    <t xml:space="preserve"> MADE IN JAPAN</t>
    <phoneticPr fontId="9"/>
  </si>
  <si>
    <t>CASE MARK6</t>
    <phoneticPr fontId="9"/>
  </si>
  <si>
    <t>TOTAL</t>
    <phoneticPr fontId="9"/>
  </si>
  <si>
    <t>MANUFACTURED BY</t>
    <phoneticPr fontId="9"/>
  </si>
  <si>
    <t>ORIGIN</t>
    <phoneticPr fontId="9"/>
  </si>
  <si>
    <t>COUNTRY OF ORIGIN : JAPAN</t>
    <phoneticPr fontId="9"/>
  </si>
  <si>
    <t>OUR BANK</t>
    <phoneticPr fontId="9"/>
  </si>
  <si>
    <t>ETD TYO</t>
    <phoneticPr fontId="9"/>
  </si>
  <si>
    <t>DELIVERY SCHEDULES</t>
    <phoneticPr fontId="9"/>
  </si>
  <si>
    <t>INSURANCE</t>
    <phoneticPr fontId="9"/>
  </si>
  <si>
    <t>REMARK 1</t>
    <phoneticPr fontId="9"/>
  </si>
  <si>
    <t>AIR FREIGHT</t>
    <phoneticPr fontId="9"/>
  </si>
  <si>
    <t>YOUR (OUR) FORWARDER</t>
    <phoneticPr fontId="9"/>
  </si>
  <si>
    <t>CUSTOMS AGENT</t>
    <phoneticPr fontId="9"/>
  </si>
  <si>
    <t>FORWARDER</t>
    <phoneticPr fontId="9"/>
  </si>
  <si>
    <t>C/O ISSUED DATE</t>
    <phoneticPr fontId="9"/>
  </si>
  <si>
    <t>COUNTRY</t>
    <phoneticPr fontId="9"/>
  </si>
  <si>
    <t>F.O.B. TOKYO IN YEN</t>
    <phoneticPr fontId="9"/>
  </si>
  <si>
    <t xml:space="preserve"> SHUNYA CO., LTD.</t>
    <phoneticPr fontId="9"/>
  </si>
  <si>
    <t xml:space="preserve"> KENSHIN BLDG., 1F, 1-22-10 DOUGENZAKA,</t>
    <phoneticPr fontId="9"/>
  </si>
  <si>
    <t xml:space="preserve"> SHIBUYA-KU 150-0043</t>
    <phoneticPr fontId="9"/>
  </si>
  <si>
    <t xml:space="preserve"> TEL : +81(0)3-5459-1177</t>
    <phoneticPr fontId="9"/>
  </si>
  <si>
    <t xml:space="preserve"> - SAME AS BUYER -</t>
    <phoneticPr fontId="9"/>
  </si>
  <si>
    <t xml:space="preserve"> HOCHIMINH-CITY, VIETNAM</t>
    <phoneticPr fontId="9"/>
  </si>
  <si>
    <t>" NO COMMER VALUE</t>
    <phoneticPr fontId="9"/>
  </si>
  <si>
    <t xml:space="preserve">  VALUE FOR CUSTOMS PURPOSE ONLY "</t>
    <phoneticPr fontId="9"/>
  </si>
  <si>
    <t xml:space="preserve"> C/NO.</t>
    <phoneticPr fontId="9"/>
  </si>
  <si>
    <t>VIETNAM</t>
    <phoneticPr fontId="9"/>
  </si>
  <si>
    <t>PREPAID</t>
    <phoneticPr fontId="9"/>
  </si>
  <si>
    <t>IMPORTER</t>
    <phoneticPr fontId="8"/>
  </si>
  <si>
    <t>COVERED BY SHIPPER</t>
    <phoneticPr fontId="9"/>
  </si>
  <si>
    <t>MEITETSU WORLD TRANSPORT (MR. NAMIKI)</t>
    <phoneticPr fontId="9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</si>
  <si>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9"/>
  </si>
  <si>
    <t>BUYER</t>
    <phoneticPr fontId="9"/>
  </si>
  <si>
    <t>BUYER ADDRESS1</t>
    <phoneticPr fontId="9"/>
  </si>
  <si>
    <t>BUYER ADDRESS2</t>
    <phoneticPr fontId="9"/>
  </si>
  <si>
    <t>BUYER ADDRESS3</t>
    <phoneticPr fontId="9"/>
  </si>
  <si>
    <t xml:space="preserve"> SHUNYA VIETNAM </t>
    <phoneticPr fontId="9"/>
  </si>
  <si>
    <t xml:space="preserve"> COMPANY LIMITED</t>
    <phoneticPr fontId="9"/>
  </si>
  <si>
    <t xml:space="preserve"> AIRCRAFT</t>
    <phoneticPr fontId="9"/>
  </si>
  <si>
    <t>持ち帰り条件</t>
    <rPh sb="0" eb="1">
      <t>モ</t>
    </rPh>
    <rPh sb="2" eb="3">
      <t>カエ</t>
    </rPh>
    <rPh sb="4" eb="6">
      <t>ジョウケン</t>
    </rPh>
    <phoneticPr fontId="9"/>
  </si>
  <si>
    <t>" NO COMMERCIAL VALUE</t>
    <phoneticPr fontId="9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</si>
  <si>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9"/>
  </si>
  <si>
    <t xml:space="preserve">  AFTER MANUFACTURED AT VIET NAM "</t>
    <phoneticPr fontId="9"/>
  </si>
  <si>
    <t xml:space="preserve"> VALUE FOR CUSTOMS PURPOSE ONLY "</t>
    <phoneticPr fontId="9"/>
  </si>
  <si>
    <t xml:space="preserve"> NO COMMERCIAL</t>
    <phoneticPr fontId="8"/>
  </si>
  <si>
    <t>M.</t>
    <phoneticPr fontId="9"/>
  </si>
  <si>
    <t>PCS.</t>
    <phoneticPr fontId="9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</si>
  <si>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</si>
  <si>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</si>
  <si>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</si>
  <si>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</si>
  <si>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</si>
  <si>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</si>
  <si>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</si>
  <si>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</si>
  <si>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</si>
  <si>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</si>
  <si>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</si>
  <si>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9"/>
  </si>
  <si>
    <t>搬入内容</t>
    <rPh sb="0" eb="2">
      <t>ハンニュウ</t>
    </rPh>
    <phoneticPr fontId="9"/>
  </si>
  <si>
    <t>(H.S. CODE)</t>
    <phoneticPr fontId="9"/>
  </si>
  <si>
    <t>- ATTACHED SHEET -</t>
    <phoneticPr fontId="9"/>
  </si>
  <si>
    <t xml:space="preserve"> </t>
    <phoneticPr fontId="9"/>
  </si>
  <si>
    <t>TOTAL CARTONS :</t>
    <phoneticPr fontId="9"/>
  </si>
  <si>
    <t>TOTAL GROSS WEIGHT :</t>
    <phoneticPr fontId="9"/>
  </si>
  <si>
    <t>FABRIC &amp; PARTS FOR WEAR</t>
    <phoneticPr fontId="9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</si>
  <si>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9"/>
  </si>
  <si>
    <t>原産国</t>
    <rPh sb="0" eb="3">
      <t>ゲンサンコク</t>
    </rPh>
    <phoneticPr fontId="9"/>
  </si>
  <si>
    <t>MADE IN JAPAN</t>
    <phoneticPr fontId="9"/>
  </si>
  <si>
    <t>LABEL SHEET</t>
    <phoneticPr fontId="9"/>
  </si>
  <si>
    <t>May,26 2022</t>
    <phoneticPr fontId="9"/>
  </si>
  <si>
    <t>TOTAL</t>
    <phoneticPr fontId="39"/>
  </si>
  <si>
    <t>June,13, 2022</t>
    <phoneticPr fontId="9"/>
  </si>
  <si>
    <t>WOVEN FABRIC</t>
    <phoneticPr fontId="39"/>
  </si>
  <si>
    <t>No.10 , D17 Street , Sai Gon South Residential Area</t>
  </si>
  <si>
    <t>VIVAN GARMENTS VIET NAM COMPANY LIMITED</t>
    <phoneticPr fontId="9"/>
  </si>
  <si>
    <t>Hamlet 3 , Long Hau Commune , Can Giuoc District,</t>
    <phoneticPr fontId="9"/>
  </si>
  <si>
    <t xml:space="preserve"> Long An Province , VietNam</t>
    <phoneticPr fontId="9"/>
  </si>
  <si>
    <t xml:space="preserve"> TEL : :   ( 084 ) 097 22 00 798  ATTN : MR. TUAN</t>
    <phoneticPr fontId="9"/>
  </si>
  <si>
    <t>SET.</t>
    <phoneticPr fontId="9"/>
  </si>
  <si>
    <t>cotton100%</t>
    <phoneticPr fontId="9"/>
  </si>
  <si>
    <t xml:space="preserve">PANTS SASMPLE </t>
    <phoneticPr fontId="39"/>
  </si>
  <si>
    <t>WOVEN NAME</t>
    <phoneticPr fontId="39"/>
  </si>
  <si>
    <t>pattern paper</t>
    <phoneticPr fontId="9"/>
  </si>
  <si>
    <t>COTTON 100%</t>
    <phoneticPr fontId="9"/>
  </si>
  <si>
    <t xml:space="preserve"> C/NO. 1-9</t>
    <phoneticPr fontId="9"/>
  </si>
  <si>
    <t>7070</t>
    <phoneticPr fontId="9"/>
  </si>
  <si>
    <t>綾織、デニム</t>
    <rPh sb="0" eb="2">
      <t>アヤオリ</t>
    </rPh>
    <phoneticPr fontId="9"/>
  </si>
  <si>
    <t>先染め　長繊維</t>
    <rPh sb="0" eb="1">
      <t>サキ</t>
    </rPh>
    <rPh sb="4" eb="5">
      <t>チョウ</t>
    </rPh>
    <rPh sb="5" eb="7">
      <t>センイ</t>
    </rPh>
    <phoneticPr fontId="9"/>
  </si>
  <si>
    <t>C/#213 INDIGO</t>
    <phoneticPr fontId="39"/>
  </si>
  <si>
    <t>c/#501BB BLACK</t>
    <phoneticPr fontId="9"/>
  </si>
  <si>
    <t>c/#40 WHITE</t>
    <phoneticPr fontId="9"/>
  </si>
  <si>
    <r>
      <t>WIDTH:150CM (454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Microsoft YaHei"/>
        <family val="2"/>
        <charset val="134"/>
      </rPr>
      <t>㎡</t>
    </r>
    <r>
      <rPr>
        <b/>
        <sz val="10"/>
        <rFont val="Century Gothic"/>
        <family val="2"/>
      </rPr>
      <t xml:space="preserve"> )</t>
    </r>
    <phoneticPr fontId="9"/>
  </si>
  <si>
    <t>#BLACK</t>
    <phoneticPr fontId="39"/>
  </si>
  <si>
    <t>WOVEN PIECE NAME</t>
    <phoneticPr fontId="39"/>
  </si>
  <si>
    <r>
      <t>#WHITE-50</t>
    </r>
    <r>
      <rPr>
        <b/>
        <sz val="10"/>
        <rFont val="Yu Gothic"/>
        <family val="2"/>
        <charset val="128"/>
      </rPr>
      <t>　#</t>
    </r>
    <r>
      <rPr>
        <b/>
        <sz val="10"/>
        <rFont val="Century Gothic"/>
        <family val="2"/>
      </rPr>
      <t>ORANGE-50</t>
    </r>
    <phoneticPr fontId="39"/>
  </si>
  <si>
    <t>men's denim pants</t>
    <phoneticPr fontId="9"/>
  </si>
  <si>
    <t>men's denim jacket</t>
    <phoneticPr fontId="9"/>
  </si>
  <si>
    <t>LEATHER NAME</t>
    <phoneticPr fontId="39"/>
  </si>
  <si>
    <t>c/#BLUE</t>
    <phoneticPr fontId="9"/>
  </si>
  <si>
    <t>c/#BLACK</t>
    <phoneticPr fontId="9"/>
  </si>
  <si>
    <r>
      <t xml:space="preserve">#BROWN-120 #WHITE-50 </t>
    </r>
    <r>
      <rPr>
        <b/>
        <sz val="10"/>
        <rFont val="Yu Gothic"/>
        <family val="2"/>
        <charset val="128"/>
      </rPr>
      <t>#BLACK</t>
    </r>
    <r>
      <rPr>
        <b/>
        <sz val="10"/>
        <rFont val="Century Gothic"/>
        <family val="2"/>
      </rPr>
      <t>-65</t>
    </r>
    <phoneticPr fontId="39"/>
  </si>
  <si>
    <t>Hang Tag</t>
    <phoneticPr fontId="39"/>
  </si>
  <si>
    <t>plastic package bag</t>
    <phoneticPr fontId="39"/>
  </si>
  <si>
    <t>1CARTONS</t>
    <phoneticPr fontId="9"/>
  </si>
  <si>
    <r>
      <t>STYLE</t>
    </r>
    <r>
      <rPr>
        <b/>
        <sz val="11"/>
        <rFont val="Yu Gothic"/>
        <family val="2"/>
        <charset val="128"/>
      </rPr>
      <t>、23SY-11,23SY-12</t>
    </r>
    <phoneticPr fontId="9"/>
  </si>
  <si>
    <t>STYLE、23SY-11,23SY-12</t>
  </si>
  <si>
    <t>DENIM PANTS(SAMPLE)</t>
    <phoneticPr fontId="9"/>
  </si>
  <si>
    <t>C/#BLUE</t>
    <phoneticPr fontId="39"/>
  </si>
  <si>
    <t>DENIM JACKET(SAMPLE)</t>
    <phoneticPr fontId="9"/>
  </si>
  <si>
    <t>C/#BLACK</t>
    <phoneticPr fontId="9"/>
  </si>
  <si>
    <t>JACKET SAMPLE</t>
    <phoneticPr fontId="9"/>
  </si>
  <si>
    <t>11CARTONS</t>
    <phoneticPr fontId="9"/>
  </si>
  <si>
    <t>1</t>
    <phoneticPr fontId="9"/>
  </si>
  <si>
    <t>No.2</t>
    <phoneticPr fontId="9"/>
  </si>
  <si>
    <t xml:space="preserve"> SY-471027-VT-DD-01</t>
    <phoneticPr fontId="9"/>
  </si>
  <si>
    <t>442PCS</t>
    <phoneticPr fontId="9"/>
  </si>
  <si>
    <t>465M</t>
    <phoneticPr fontId="9"/>
  </si>
  <si>
    <t>2 PACKAGES</t>
    <phoneticPr fontId="9"/>
  </si>
  <si>
    <t>2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</si>
</sst>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64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sz val="8"/>
      <name val="ＭＳ Ｐゴシック"/>
      <family val="3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sz val="11"/>
      <name val="Yu Gothic"/>
      <family val="2"/>
      <charset val="128"/>
    </font>
    <font>
      <b/>
      <sz val="10"/>
      <name val="ＭＳ Ｐゴシック"/>
      <family val="3"/>
      <charset val="128"/>
      <scheme val="minor"/>
    </font>
    <font>
      <sz val="10"/>
      <color rgb="FF222222"/>
      <name val="Century Gothic"/>
      <family val="2"/>
    </font>
    <font>
      <b/>
      <sz val="10"/>
      <name val="Yu Gothic"/>
      <family val="2"/>
      <charset val="128"/>
    </font>
    <font>
      <b/>
      <sz val="9"/>
      <color rgb="FFFF0000"/>
      <name val="Yu Gothic"/>
      <family val="2"/>
      <charset val="128"/>
    </font>
    <font>
      <b/>
      <sz val="9"/>
      <color theme="1"/>
      <name val="Yu Gothic UI"/>
      <family val="3"/>
      <charset val="128"/>
    </font>
    <font>
      <b/>
      <sz val="10"/>
      <name val="Microsoft YaHei"/>
      <family val="2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b/>
      <sz val="26"/>
      <name val="新細明體"/>
    </font>
    <font>
      <b/>
      <sz val="18"/>
      <name val="Century Gothic"/>
      <family val="2"/>
    </font>
    <font>
      <b/>
      <sz val="26"/>
      <name val="新細明體"/>
      <family val="1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69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11" fillId="0" borderId="0" xfId="0" applyNumberFormat="1" applyFont="1">
      <alignment vertical="center"/>
    </xf>
    <xf numFmtId="0" fontId="11" fillId="0" borderId="3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9" fillId="0" borderId="0" xfId="0" applyFont="1">
      <alignment vertical="center"/>
    </xf>
    <xf numFmtId="0" fontId="7" fillId="0" borderId="3" xfId="0" applyFont="1" applyBorder="1">
      <alignment vertical="center"/>
    </xf>
    <xf numFmtId="0" fontId="18" fillId="0" borderId="0" xfId="0" applyFont="1">
      <alignment vertical="center"/>
    </xf>
    <xf numFmtId="0" fontId="13" fillId="0" borderId="6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8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13" fillId="0" borderId="9" xfId="0" applyFont="1" applyBorder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>
      <alignment vertical="center"/>
    </xf>
    <xf numFmtId="0" fontId="1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8" xfId="0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right"/>
    </xf>
    <xf numFmtId="0" fontId="20" fillId="0" borderId="0" xfId="0" applyFont="1">
      <alignment vertical="center"/>
    </xf>
    <xf numFmtId="0" fontId="20" fillId="0" borderId="1" xfId="0" applyFont="1" applyBorder="1" applyAlignment="1">
      <alignment horizontal="left"/>
    </xf>
    <xf numFmtId="49" fontId="13" fillId="0" borderId="1" xfId="0" applyNumberFormat="1" applyFont="1" applyBorder="1" applyAlignment="1">
      <alignment horizontal="right"/>
    </xf>
    <xf numFmtId="49" fontId="13" fillId="0" borderId="0" xfId="0" applyNumberFormat="1" applyFo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>
      <alignment vertical="center"/>
    </xf>
    <xf numFmtId="0" fontId="21" fillId="0" borderId="12" xfId="0" applyFont="1" applyBorder="1" applyAlignment="1">
      <alignment horizontal="center" vertical="center"/>
    </xf>
    <xf numFmtId="0" fontId="22" fillId="0" borderId="0" xfId="0" applyFont="1">
      <alignment vertical="center"/>
    </xf>
    <xf numFmtId="179" fontId="7" fillId="0" borderId="0" xfId="0" applyNumberFormat="1" applyFont="1">
      <alignment vertical="center"/>
    </xf>
    <xf numFmtId="26" fontId="7" fillId="0" borderId="0" xfId="0" applyNumberFormat="1" applyFont="1">
      <alignment vertical="center"/>
    </xf>
    <xf numFmtId="0" fontId="7" fillId="0" borderId="0" xfId="0" applyFont="1" applyAlignment="1">
      <alignment horizontal="left"/>
    </xf>
    <xf numFmtId="0" fontId="21" fillId="0" borderId="13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23" fillId="0" borderId="0" xfId="0" applyFont="1">
      <alignment vertical="center"/>
    </xf>
    <xf numFmtId="49" fontId="7" fillId="0" borderId="2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7" fillId="0" borderId="9" xfId="0" applyNumberFormat="1" applyFont="1" applyBorder="1">
      <alignment vertical="center"/>
    </xf>
    <xf numFmtId="0" fontId="13" fillId="0" borderId="2" xfId="0" applyFont="1" applyBorder="1">
      <alignment vertical="center"/>
    </xf>
    <xf numFmtId="0" fontId="12" fillId="0" borderId="0" xfId="0" applyFont="1">
      <alignment vertical="center"/>
    </xf>
    <xf numFmtId="49" fontId="7" fillId="0" borderId="0" xfId="0" applyNumberFormat="1" applyFont="1" applyAlignment="1">
      <alignment horizontal="left" vertical="center" shrinkToFit="1"/>
    </xf>
    <xf numFmtId="49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7" fillId="0" borderId="15" xfId="0" applyFont="1" applyBorder="1">
      <alignment vertical="center"/>
    </xf>
    <xf numFmtId="0" fontId="18" fillId="0" borderId="8" xfId="0" applyFont="1" applyBorder="1">
      <alignment vertical="center"/>
    </xf>
    <xf numFmtId="26" fontId="12" fillId="0" borderId="8" xfId="0" applyNumberFormat="1" applyFont="1" applyBorder="1" applyAlignment="1">
      <alignment horizontal="left" vertical="center"/>
    </xf>
    <xf numFmtId="0" fontId="35" fillId="0" borderId="0" xfId="0" applyFont="1" applyAlignment="1">
      <alignment vertical="center" shrinkToFit="1"/>
    </xf>
    <xf numFmtId="49" fontId="7" fillId="0" borderId="0" xfId="0" applyNumberFormat="1" applyFont="1" applyAlignment="1">
      <alignment vertical="center" shrinkToFit="1"/>
    </xf>
    <xf numFmtId="0" fontId="24" fillId="0" borderId="0" xfId="1" applyNumberFormat="1" applyFont="1" applyFill="1" applyBorder="1" applyAlignment="1" applyProtection="1"/>
    <xf numFmtId="26" fontId="7" fillId="0" borderId="0" xfId="0" applyNumberFormat="1" applyFont="1" applyAlignment="1">
      <alignment horizontal="left" vertical="center" shrinkToFit="1"/>
    </xf>
    <xf numFmtId="181" fontId="7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vertical="center" shrinkToFit="1"/>
    </xf>
    <xf numFmtId="0" fontId="36" fillId="0" borderId="0" xfId="0" applyFont="1">
      <alignment vertical="center"/>
    </xf>
    <xf numFmtId="0" fontId="25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6" fillId="0" borderId="16" xfId="0" applyFont="1" applyBorder="1">
      <alignment vertical="center"/>
    </xf>
    <xf numFmtId="0" fontId="36" fillId="0" borderId="17" xfId="0" applyFont="1" applyBorder="1">
      <alignment vertical="center"/>
    </xf>
    <xf numFmtId="0" fontId="36" fillId="0" borderId="18" xfId="0" applyFont="1" applyBorder="1">
      <alignment vertical="center"/>
    </xf>
    <xf numFmtId="0" fontId="26" fillId="0" borderId="0" xfId="0" applyFont="1">
      <alignment vertical="center"/>
    </xf>
    <xf numFmtId="0" fontId="7" fillId="0" borderId="10" xfId="0" applyFont="1" applyBorder="1" applyAlignment="1">
      <alignment horizontal="center" vertical="center"/>
    </xf>
    <xf numFmtId="0" fontId="37" fillId="0" borderId="0" xfId="0" applyFont="1" applyAlignment="1">
      <alignment vertical="center" shrinkToFit="1"/>
    </xf>
    <xf numFmtId="0" fontId="17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182" fontId="7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26" xfId="0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12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9" fontId="30" fillId="0" borderId="0" xfId="0" applyNumberFormat="1" applyFont="1">
      <alignment vertical="center"/>
    </xf>
    <xf numFmtId="0" fontId="12" fillId="0" borderId="21" xfId="0" applyFont="1" applyBorder="1">
      <alignment vertical="center"/>
    </xf>
    <xf numFmtId="26" fontId="12" fillId="0" borderId="21" xfId="0" applyNumberFormat="1" applyFont="1" applyBorder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180" fontId="7" fillId="0" borderId="21" xfId="0" applyNumberFormat="1" applyFont="1" applyBorder="1">
      <alignment vertical="center"/>
    </xf>
    <xf numFmtId="182" fontId="7" fillId="0" borderId="21" xfId="0" applyNumberFormat="1" applyFont="1" applyBorder="1" applyAlignment="1">
      <alignment vertical="center" shrinkToFit="1"/>
    </xf>
    <xf numFmtId="0" fontId="7" fillId="0" borderId="19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right" vertical="center"/>
    </xf>
    <xf numFmtId="0" fontId="7" fillId="0" borderId="3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80" fontId="7" fillId="0" borderId="19" xfId="0" applyNumberFormat="1" applyFont="1" applyBorder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vertical="center" shrinkToFit="1"/>
    </xf>
    <xf numFmtId="0" fontId="7" fillId="0" borderId="26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182" fontId="7" fillId="0" borderId="10" xfId="0" applyNumberFormat="1" applyFont="1" applyBorder="1" applyAlignment="1">
      <alignment horizontal="center" vertical="center" shrinkToFit="1"/>
    </xf>
    <xf numFmtId="182" fontId="7" fillId="0" borderId="10" xfId="0" applyNumberFormat="1" applyFont="1" applyBorder="1" applyAlignment="1">
      <alignment vertical="center" shrinkToFit="1"/>
    </xf>
    <xf numFmtId="0" fontId="0" fillId="0" borderId="19" xfId="0" applyBorder="1">
      <alignment vertical="center"/>
    </xf>
    <xf numFmtId="0" fontId="21" fillId="0" borderId="34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80" fontId="7" fillId="0" borderId="10" xfId="0" applyNumberFormat="1" applyFont="1" applyBorder="1" applyAlignment="1">
      <alignment horizontal="right" vertical="center"/>
    </xf>
    <xf numFmtId="0" fontId="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right" vertical="center"/>
    </xf>
    <xf numFmtId="0" fontId="7" fillId="0" borderId="3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37" fillId="0" borderId="2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49" fontId="42" fillId="0" borderId="3" xfId="0" applyNumberFormat="1" applyFont="1" applyBorder="1" applyAlignment="1">
      <alignment horizontal="center" vertical="center"/>
    </xf>
    <xf numFmtId="0" fontId="43" fillId="0" borderId="0" xfId="0" applyFont="1">
      <alignment vertical="center"/>
    </xf>
    <xf numFmtId="0" fontId="7" fillId="0" borderId="21" xfId="0" applyFont="1" applyBorder="1" applyAlignment="1">
      <alignment horizontal="center"/>
    </xf>
    <xf numFmtId="0" fontId="6" fillId="0" borderId="21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7" fillId="0" borderId="0" xfId="0" applyNumberFormat="1" applyFont="1">
      <alignment vertical="center"/>
    </xf>
    <xf numFmtId="0" fontId="21" fillId="0" borderId="40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40" fillId="0" borderId="21" xfId="0" applyFont="1" applyBorder="1">
      <alignment vertical="center"/>
    </xf>
    <xf numFmtId="176" fontId="7" fillId="0" borderId="21" xfId="2" applyFont="1" applyFill="1" applyBorder="1" applyAlignment="1">
      <alignment horizontal="right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vertical="center" shrinkToFit="1"/>
    </xf>
    <xf numFmtId="0" fontId="7" fillId="4" borderId="21" xfId="0" applyFont="1" applyFill="1" applyBorder="1">
      <alignment vertical="center"/>
    </xf>
    <xf numFmtId="180" fontId="7" fillId="0" borderId="21" xfId="0" applyNumberFormat="1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19" xfId="0" applyFont="1" applyBorder="1" applyAlignment="1"/>
    <xf numFmtId="1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42" fillId="0" borderId="3" xfId="0" applyNumberFormat="1" applyFont="1" applyBorder="1" applyAlignment="1">
      <alignment horizontal="left" vertical="center"/>
    </xf>
    <xf numFmtId="49" fontId="21" fillId="0" borderId="40" xfId="0" applyNumberFormat="1" applyFont="1" applyBorder="1" applyAlignment="1">
      <alignment horizontal="left" vertical="center"/>
    </xf>
    <xf numFmtId="49" fontId="12" fillId="0" borderId="21" xfId="0" applyNumberFormat="1" applyFont="1" applyBorder="1" applyAlignment="1">
      <alignment horizontal="left" vertical="center"/>
    </xf>
    <xf numFmtId="180" fontId="7" fillId="0" borderId="10" xfId="0" applyNumberFormat="1" applyFont="1" applyBorder="1">
      <alignment vertical="center"/>
    </xf>
    <xf numFmtId="0" fontId="16" fillId="0" borderId="21" xfId="0" applyFont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0" fontId="37" fillId="5" borderId="43" xfId="0" applyFont="1" applyFill="1" applyBorder="1" applyAlignment="1">
      <alignment horizontal="center"/>
    </xf>
    <xf numFmtId="0" fontId="0" fillId="0" borderId="28" xfId="0" applyBorder="1">
      <alignment vertical="center"/>
    </xf>
    <xf numFmtId="0" fontId="37" fillId="5" borderId="44" xfId="0" applyFont="1" applyFill="1" applyBorder="1" applyAlignment="1">
      <alignment horizontal="center"/>
    </xf>
    <xf numFmtId="0" fontId="0" fillId="0" borderId="9" xfId="0" applyBorder="1">
      <alignment vertical="center"/>
    </xf>
    <xf numFmtId="0" fontId="0" fillId="0" borderId="15" xfId="0" applyBorder="1">
      <alignment vertical="center"/>
    </xf>
    <xf numFmtId="0" fontId="37" fillId="0" borderId="41" xfId="0" quotePrefix="1" applyFont="1" applyBorder="1" applyAlignment="1">
      <alignment horizontal="center"/>
    </xf>
    <xf numFmtId="0" fontId="41" fillId="0" borderId="23" xfId="0" applyFont="1" applyBorder="1">
      <alignment vertical="center"/>
    </xf>
    <xf numFmtId="0" fontId="0" fillId="0" borderId="45" xfId="0" applyBorder="1">
      <alignment vertical="center"/>
    </xf>
    <xf numFmtId="0" fontId="7" fillId="0" borderId="14" xfId="0" applyFont="1" applyBorder="1" applyAlignment="1">
      <alignment horizontal="center"/>
    </xf>
    <xf numFmtId="49" fontId="7" fillId="0" borderId="14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26" fontId="12" fillId="0" borderId="14" xfId="0" applyNumberFormat="1" applyFont="1" applyBorder="1">
      <alignment vertical="center"/>
    </xf>
    <xf numFmtId="0" fontId="10" fillId="0" borderId="46" xfId="0" applyFont="1" applyBorder="1">
      <alignment vertical="center"/>
    </xf>
    <xf numFmtId="0" fontId="7" fillId="0" borderId="47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/>
    </xf>
    <xf numFmtId="180" fontId="7" fillId="0" borderId="21" xfId="0" applyNumberFormat="1" applyFont="1" applyBorder="1" applyAlignment="1">
      <alignment horizontal="right" vertical="center" shrinkToFit="1"/>
    </xf>
    <xf numFmtId="0" fontId="21" fillId="0" borderId="48" xfId="0" applyFont="1" applyBorder="1" applyAlignment="1">
      <alignment horizontal="center"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1" fontId="7" fillId="0" borderId="24" xfId="0" applyNumberFormat="1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7" fillId="3" borderId="8" xfId="0" applyFont="1" applyFill="1" applyBorder="1" applyAlignment="1">
      <alignment horizontal="left" vertical="center"/>
    </xf>
    <xf numFmtId="0" fontId="37" fillId="5" borderId="0" xfId="0" applyFont="1" applyFill="1" applyAlignment="1">
      <alignment horizontal="center"/>
    </xf>
    <xf numFmtId="182" fontId="7" fillId="0" borderId="0" xfId="0" applyNumberFormat="1" applyFont="1" applyAlignment="1">
      <alignment vertical="center" shrinkToFit="1"/>
    </xf>
    <xf numFmtId="182" fontId="7" fillId="0" borderId="0" xfId="0" applyNumberFormat="1" applyFont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49" fontId="7" fillId="0" borderId="42" xfId="0" applyNumberFormat="1" applyFont="1" applyBorder="1" applyAlignment="1">
      <alignment horizontal="center" vertical="center"/>
    </xf>
    <xf numFmtId="49" fontId="0" fillId="0" borderId="10" xfId="0" applyNumberFormat="1" applyBorder="1">
      <alignment vertical="center"/>
    </xf>
    <xf numFmtId="49" fontId="7" fillId="0" borderId="21" xfId="0" applyNumberFormat="1" applyFont="1" applyBorder="1">
      <alignment vertical="center"/>
    </xf>
    <xf numFmtId="49" fontId="7" fillId="0" borderId="21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left" vertical="center"/>
    </xf>
    <xf numFmtId="26" fontId="12" fillId="0" borderId="0" xfId="0" applyNumberFormat="1" applyFont="1" applyAlignment="1">
      <alignment horizontal="left" vertical="center"/>
    </xf>
    <xf numFmtId="0" fontId="35" fillId="0" borderId="10" xfId="0" applyFont="1" applyBorder="1" applyAlignment="1">
      <alignment horizontal="right" vertical="center"/>
    </xf>
    <xf numFmtId="177" fontId="35" fillId="0" borderId="10" xfId="0" applyNumberFormat="1" applyFont="1" applyBorder="1">
      <alignment vertical="center"/>
    </xf>
    <xf numFmtId="181" fontId="35" fillId="0" borderId="8" xfId="0" applyNumberFormat="1" applyFont="1" applyBorder="1">
      <alignment vertical="center"/>
    </xf>
    <xf numFmtId="184" fontId="35" fillId="0" borderId="10" xfId="2" applyNumberFormat="1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left" vertical="center"/>
    </xf>
    <xf numFmtId="180" fontId="35" fillId="0" borderId="8" xfId="2" applyNumberFormat="1" applyFont="1" applyFill="1" applyBorder="1" applyAlignment="1">
      <alignment horizontal="right" vertical="center"/>
    </xf>
    <xf numFmtId="176" fontId="35" fillId="0" borderId="10" xfId="2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right" vertical="center"/>
    </xf>
    <xf numFmtId="177" fontId="35" fillId="0" borderId="0" xfId="0" applyNumberFormat="1" applyFont="1" applyAlignment="1">
      <alignment horizontal="left"/>
    </xf>
    <xf numFmtId="181" fontId="35" fillId="0" borderId="8" xfId="2" applyNumberFormat="1" applyFont="1" applyFill="1" applyBorder="1" applyAlignment="1"/>
    <xf numFmtId="49" fontId="35" fillId="0" borderId="19" xfId="0" applyNumberFormat="1" applyFont="1" applyBorder="1" applyAlignment="1"/>
    <xf numFmtId="177" fontId="35" fillId="0" borderId="1" xfId="0" applyNumberFormat="1" applyFont="1" applyBorder="1" applyAlignment="1">
      <alignment horizontal="right"/>
    </xf>
    <xf numFmtId="181" fontId="35" fillId="0" borderId="2" xfId="2" applyNumberFormat="1" applyFont="1" applyFill="1" applyBorder="1" applyAlignment="1"/>
    <xf numFmtId="183" fontId="35" fillId="0" borderId="5" xfId="2" applyNumberFormat="1" applyFont="1" applyFill="1" applyBorder="1" applyAlignment="1">
      <alignment horizontal="left" vertical="center"/>
    </xf>
    <xf numFmtId="177" fontId="35" fillId="0" borderId="5" xfId="0" applyNumberFormat="1" applyFont="1" applyBorder="1" applyAlignment="1">
      <alignment horizontal="left" vertical="center"/>
    </xf>
    <xf numFmtId="181" fontId="35" fillId="0" borderId="5" xfId="0" applyNumberFormat="1" applyFont="1" applyBorder="1" applyAlignment="1">
      <alignment horizontal="right" vertical="center"/>
    </xf>
    <xf numFmtId="0" fontId="37" fillId="3" borderId="19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horizontal="center" vertical="center"/>
    </xf>
    <xf numFmtId="49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vertical="center" shrinkToFit="1"/>
    </xf>
    <xf numFmtId="0" fontId="45" fillId="5" borderId="43" xfId="0" applyFont="1" applyFill="1" applyBorder="1" applyAlignment="1">
      <alignment horizontal="center"/>
    </xf>
    <xf numFmtId="0" fontId="10" fillId="0" borderId="21" xfId="0" applyFont="1" applyBorder="1" applyAlignment="1">
      <alignment horizontal="left" vertical="center"/>
    </xf>
    <xf numFmtId="180" fontId="35" fillId="5" borderId="8" xfId="2" applyNumberFormat="1" applyFont="1" applyFill="1" applyBorder="1" applyAlignment="1">
      <alignment horizontal="right" vertical="center"/>
    </xf>
    <xf numFmtId="180" fontId="29" fillId="5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5" fontId="7" fillId="0" borderId="28" xfId="0" applyNumberFormat="1" applyFont="1" applyBorder="1" applyAlignment="1">
      <alignment horizontal="center" vertical="center"/>
    </xf>
    <xf numFmtId="0" fontId="21" fillId="3" borderId="48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49" fontId="37" fillId="0" borderId="14" xfId="0" applyNumberFormat="1" applyFont="1" applyBorder="1" applyAlignment="1">
      <alignment horizontal="left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7" fillId="0" borderId="55" xfId="0" applyFont="1" applyBorder="1">
      <alignment vertical="center"/>
    </xf>
    <xf numFmtId="0" fontId="7" fillId="0" borderId="56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7" fillId="0" borderId="57" xfId="0" applyFont="1" applyBorder="1" applyAlignment="1">
      <alignment horizontal="center" vertical="center"/>
    </xf>
    <xf numFmtId="0" fontId="37" fillId="5" borderId="58" xfId="0" applyFont="1" applyFill="1" applyBorder="1" applyAlignment="1">
      <alignment horizontal="center"/>
    </xf>
    <xf numFmtId="0" fontId="41" fillId="0" borderId="14" xfId="0" applyFont="1" applyBorder="1">
      <alignment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left" vertical="center"/>
    </xf>
    <xf numFmtId="0" fontId="33" fillId="3" borderId="34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180" fontId="7" fillId="0" borderId="23" xfId="0" applyNumberFormat="1" applyFont="1" applyBorder="1">
      <alignment vertical="center"/>
    </xf>
    <xf numFmtId="184" fontId="7" fillId="0" borderId="19" xfId="2" applyNumberFormat="1" applyFont="1" applyFill="1" applyBorder="1" applyAlignment="1">
      <alignment horizontal="right" vertical="center"/>
    </xf>
    <xf numFmtId="0" fontId="7" fillId="0" borderId="20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right" vertical="center"/>
    </xf>
    <xf numFmtId="0" fontId="7" fillId="0" borderId="34" xfId="0" applyFont="1" applyBorder="1" applyAlignment="1">
      <alignment horizontal="center" vertical="center"/>
    </xf>
    <xf numFmtId="180" fontId="7" fillId="0" borderId="20" xfId="0" applyNumberFormat="1" applyFont="1" applyBorder="1" applyAlignment="1">
      <alignment horizontal="right" vertical="center"/>
    </xf>
    <xf numFmtId="0" fontId="10" fillId="0" borderId="34" xfId="0" applyFont="1" applyBorder="1">
      <alignment vertical="center"/>
    </xf>
    <xf numFmtId="56" fontId="10" fillId="0" borderId="59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 shrinkToFit="1"/>
    </xf>
    <xf numFmtId="180" fontId="7" fillId="0" borderId="0" xfId="0" applyNumberFormat="1" applyFont="1" applyAlignment="1">
      <alignment horizontal="right" vertical="center" shrinkToFit="1"/>
    </xf>
    <xf numFmtId="180" fontId="7" fillId="0" borderId="0" xfId="0" applyNumberFormat="1" applyFont="1">
      <alignment vertical="center"/>
    </xf>
    <xf numFmtId="49" fontId="3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80" fontId="7" fillId="0" borderId="0" xfId="0" applyNumberFormat="1" applyFont="1" applyAlignment="1">
      <alignment horizontal="right" vertical="center"/>
    </xf>
    <xf numFmtId="0" fontId="41" fillId="0" borderId="0" xfId="0" applyFont="1">
      <alignment vertical="center"/>
    </xf>
    <xf numFmtId="0" fontId="0" fillId="0" borderId="1" xfId="0" applyBorder="1">
      <alignment vertical="center"/>
    </xf>
    <xf numFmtId="0" fontId="38" fillId="5" borderId="0" xfId="0" applyFont="1" applyFill="1" applyAlignment="1">
      <alignment horizont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3" fillId="5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56" fontId="7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7" fillId="0" borderId="0" xfId="7" applyFont="1" applyAlignment="1">
      <alignment horizontal="center"/>
    </xf>
    <xf numFmtId="49" fontId="49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46" fillId="0" borderId="0" xfId="7" applyFont="1">
      <alignment vertical="center"/>
    </xf>
    <xf numFmtId="3" fontId="7" fillId="0" borderId="0" xfId="7" applyNumberFormat="1" applyFont="1" applyAlignment="1">
      <alignment horizontal="center" vertical="center"/>
    </xf>
    <xf numFmtId="0" fontId="7" fillId="0" borderId="0" xfId="7" applyFont="1" applyAlignment="1">
      <alignment horizontal="center" vertical="center"/>
    </xf>
    <xf numFmtId="180" fontId="7" fillId="0" borderId="0" xfId="7" applyNumberFormat="1" applyFont="1" applyAlignment="1">
      <alignment horizontal="right" vertical="center"/>
    </xf>
    <xf numFmtId="180" fontId="7" fillId="0" borderId="0" xfId="7" applyNumberFormat="1" applyFont="1">
      <alignment vertical="center"/>
    </xf>
    <xf numFmtId="0" fontId="6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6" fillId="5" borderId="0" xfId="0" applyFont="1" applyFill="1">
      <alignment vertical="center"/>
    </xf>
    <xf numFmtId="0" fontId="7" fillId="5" borderId="0" xfId="0" applyFont="1" applyFill="1">
      <alignment vertical="center"/>
    </xf>
    <xf numFmtId="3" fontId="7" fillId="5" borderId="0" xfId="0" applyNumberFormat="1" applyFont="1" applyFill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/>
    </xf>
    <xf numFmtId="180" fontId="7" fillId="5" borderId="0" xfId="0" applyNumberFormat="1" applyFont="1" applyFill="1">
      <alignment vertical="center"/>
    </xf>
    <xf numFmtId="3" fontId="7" fillId="5" borderId="0" xfId="0" applyNumberFormat="1" applyFont="1" applyFill="1" applyAlignment="1">
      <alignment horizontal="center" vertical="center" shrinkToFit="1"/>
    </xf>
    <xf numFmtId="1" fontId="7" fillId="5" borderId="0" xfId="0" applyNumberFormat="1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0" fontId="37" fillId="0" borderId="0" xfId="0" quotePrefix="1" applyFont="1" applyAlignment="1">
      <alignment horizontal="center"/>
    </xf>
    <xf numFmtId="0" fontId="3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5" fillId="5" borderId="0" xfId="0" applyFont="1" applyFill="1">
      <alignment vertical="center"/>
    </xf>
    <xf numFmtId="0" fontId="50" fillId="0" borderId="0" xfId="0" applyFont="1">
      <alignment vertical="center"/>
    </xf>
    <xf numFmtId="0" fontId="51" fillId="0" borderId="0" xfId="0" applyFont="1" applyAlignment="1">
      <alignment horizontal="center" vertical="center"/>
    </xf>
    <xf numFmtId="0" fontId="7" fillId="0" borderId="0" xfId="0" applyFont="1" applyAlignment="1"/>
    <xf numFmtId="176" fontId="7" fillId="5" borderId="0" xfId="2" applyFont="1" applyFill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0" fontId="7" fillId="6" borderId="1" xfId="0" applyFont="1" applyFill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1" fontId="7" fillId="5" borderId="1" xfId="0" applyNumberFormat="1" applyFont="1" applyFill="1" applyBorder="1" applyAlignment="1">
      <alignment horizontal="center" vertical="center"/>
    </xf>
    <xf numFmtId="180" fontId="7" fillId="5" borderId="1" xfId="0" applyNumberFormat="1" applyFont="1" applyFill="1" applyBorder="1">
      <alignment vertical="center"/>
    </xf>
    <xf numFmtId="180" fontId="7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7" fillId="5" borderId="19" xfId="0" applyFont="1" applyFill="1" applyBorder="1" applyAlignment="1">
      <alignment horizontal="left" vertical="center"/>
    </xf>
    <xf numFmtId="181" fontId="7" fillId="0" borderId="19" xfId="2" applyNumberFormat="1" applyFont="1" applyFill="1" applyBorder="1" applyAlignment="1">
      <alignment horizontal="right" vertical="center"/>
    </xf>
    <xf numFmtId="181" fontId="7" fillId="0" borderId="21" xfId="2" applyNumberFormat="1" applyFont="1" applyFill="1" applyBorder="1" applyAlignment="1">
      <alignment horizontal="right" vertical="center"/>
    </xf>
    <xf numFmtId="49" fontId="7" fillId="0" borderId="28" xfId="0" applyNumberFormat="1" applyFont="1" applyBorder="1">
      <alignment vertical="center"/>
    </xf>
    <xf numFmtId="0" fontId="17" fillId="0" borderId="21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49" fontId="35" fillId="0" borderId="14" xfId="0" applyNumberFormat="1" applyFont="1" applyBorder="1" applyAlignment="1">
      <alignment horizontal="left" vertical="center"/>
    </xf>
    <xf numFmtId="49" fontId="35" fillId="0" borderId="23" xfId="0" applyNumberFormat="1" applyFont="1" applyBorder="1" applyAlignment="1">
      <alignment horizontal="left" vertical="center"/>
    </xf>
    <xf numFmtId="49" fontId="35" fillId="0" borderId="21" xfId="0" applyNumberFormat="1" applyFont="1" applyBorder="1" applyAlignment="1">
      <alignment horizontal="left" vertical="center"/>
    </xf>
    <xf numFmtId="0" fontId="44" fillId="0" borderId="40" xfId="0" applyFont="1" applyBorder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3" fillId="3" borderId="40" xfId="0" applyFont="1" applyFill="1" applyBorder="1" applyAlignment="1">
      <alignment horizontal="left" vertical="center"/>
    </xf>
    <xf numFmtId="49" fontId="35" fillId="0" borderId="10" xfId="0" applyNumberFormat="1" applyFont="1" applyBorder="1" applyAlignment="1">
      <alignment horizontal="left" vertical="center"/>
    </xf>
    <xf numFmtId="1" fontId="7" fillId="0" borderId="23" xfId="0" applyNumberFormat="1" applyFont="1" applyBorder="1" applyAlignment="1">
      <alignment horizontal="center" vertical="center"/>
    </xf>
    <xf numFmtId="49" fontId="7" fillId="0" borderId="33" xfId="0" applyNumberFormat="1" applyFont="1" applyBorder="1">
      <alignment vertical="center"/>
    </xf>
    <xf numFmtId="184" fontId="7" fillId="0" borderId="23" xfId="0" applyNumberFormat="1" applyFont="1" applyBorder="1" applyAlignment="1">
      <alignment horizontal="right" vertical="center"/>
    </xf>
    <xf numFmtId="0" fontId="37" fillId="5" borderId="61" xfId="0" applyFont="1" applyFill="1" applyBorder="1" applyAlignment="1">
      <alignment horizontal="center"/>
    </xf>
    <xf numFmtId="182" fontId="7" fillId="0" borderId="24" xfId="0" applyNumberFormat="1" applyFont="1" applyBorder="1" applyAlignment="1">
      <alignment horizontal="center" vertical="center" shrinkToFit="1"/>
    </xf>
    <xf numFmtId="0" fontId="17" fillId="0" borderId="19" xfId="0" applyFont="1" applyBorder="1" applyAlignment="1">
      <alignment horizontal="left" vertical="center"/>
    </xf>
    <xf numFmtId="0" fontId="7" fillId="0" borderId="62" xfId="0" applyFont="1" applyBorder="1">
      <alignment vertical="center"/>
    </xf>
    <xf numFmtId="0" fontId="0" fillId="0" borderId="28" xfId="0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180" fontId="7" fillId="0" borderId="19" xfId="0" applyNumberFormat="1" applyFont="1" applyBorder="1" applyAlignment="1">
      <alignment vertical="center" shrinkToFit="1"/>
    </xf>
    <xf numFmtId="1" fontId="7" fillId="0" borderId="22" xfId="0" applyNumberFormat="1" applyFont="1" applyBorder="1" applyAlignment="1">
      <alignment horizontal="right" vertical="center"/>
    </xf>
    <xf numFmtId="0" fontId="31" fillId="0" borderId="52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49" fontId="21" fillId="0" borderId="34" xfId="0" applyNumberFormat="1" applyFont="1" applyBorder="1" applyAlignment="1">
      <alignment horizontal="left" vertical="center"/>
    </xf>
    <xf numFmtId="0" fontId="21" fillId="0" borderId="63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49" fontId="37" fillId="3" borderId="0" xfId="0" applyNumberFormat="1" applyFont="1" applyFill="1" applyAlignment="1">
      <alignment horizontal="left" vertical="center"/>
    </xf>
    <xf numFmtId="182" fontId="7" fillId="0" borderId="21" xfId="0" applyNumberFormat="1" applyFont="1" applyBorder="1" applyAlignment="1">
      <alignment horizontal="center" vertical="center"/>
    </xf>
    <xf numFmtId="49" fontId="37" fillId="5" borderId="43" xfId="0" applyNumberFormat="1" applyFont="1" applyFill="1" applyBorder="1" applyAlignment="1">
      <alignment horizontal="center"/>
    </xf>
    <xf numFmtId="180" fontId="7" fillId="0" borderId="24" xfId="0" applyNumberFormat="1" applyFont="1" applyBorder="1">
      <alignment vertical="center"/>
    </xf>
    <xf numFmtId="0" fontId="47" fillId="0" borderId="24" xfId="0" applyFont="1" applyBorder="1">
      <alignment vertical="center"/>
    </xf>
    <xf numFmtId="0" fontId="7" fillId="0" borderId="24" xfId="0" applyFont="1" applyBorder="1" applyAlignment="1">
      <alignment horizontal="center" vertical="center"/>
    </xf>
    <xf numFmtId="182" fontId="7" fillId="0" borderId="24" xfId="0" applyNumberFormat="1" applyFont="1" applyBorder="1" applyAlignment="1">
      <alignment vertical="center" shrinkToFit="1"/>
    </xf>
    <xf numFmtId="49" fontId="35" fillId="0" borderId="24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7" fillId="0" borderId="24" xfId="0" applyFont="1" applyBorder="1">
      <alignment vertical="center"/>
    </xf>
    <xf numFmtId="56" fontId="37" fillId="5" borderId="70" xfId="0" applyNumberFormat="1" applyFont="1" applyFill="1" applyBorder="1" applyAlignment="1">
      <alignment horizontal="center" vertical="center"/>
    </xf>
    <xf numFmtId="49" fontId="56" fillId="0" borderId="23" xfId="0" quotePrefix="1" applyNumberFormat="1" applyFont="1" applyBorder="1" applyAlignment="1">
      <alignment horizontal="left" vertical="center"/>
    </xf>
    <xf numFmtId="49" fontId="57" fillId="0" borderId="21" xfId="0" applyNumberFormat="1" applyFont="1" applyBorder="1" applyAlignment="1">
      <alignment horizontal="left" vertical="center"/>
    </xf>
    <xf numFmtId="180" fontId="7" fillId="0" borderId="14" xfId="0" applyNumberFormat="1" applyFont="1" applyBorder="1">
      <alignment vertical="center"/>
    </xf>
    <xf numFmtId="56" fontId="37" fillId="5" borderId="28" xfId="0" applyNumberFormat="1" applyFont="1" applyFill="1" applyBorder="1" applyAlignment="1">
      <alignment horizontal="center" vertical="center"/>
    </xf>
    <xf numFmtId="185" fontId="53" fillId="0" borderId="28" xfId="0" applyNumberFormat="1" applyFont="1" applyBorder="1" applyAlignment="1">
      <alignment horizontal="center" vertical="center"/>
    </xf>
    <xf numFmtId="0" fontId="0" fillId="0" borderId="71" xfId="0" applyBorder="1">
      <alignment vertical="center"/>
    </xf>
    <xf numFmtId="56" fontId="37" fillId="5" borderId="71" xfId="0" applyNumberFormat="1" applyFont="1" applyFill="1" applyBorder="1" applyAlignment="1">
      <alignment horizontal="center" vertical="center"/>
    </xf>
    <xf numFmtId="49" fontId="56" fillId="0" borderId="21" xfId="0" quotePrefix="1" applyNumberFormat="1" applyFont="1" applyBorder="1" applyAlignment="1">
      <alignment horizontal="left" vertical="center"/>
    </xf>
    <xf numFmtId="176" fontId="7" fillId="0" borderId="21" xfId="0" applyNumberFormat="1" applyFont="1" applyBorder="1">
      <alignment vertical="center"/>
    </xf>
    <xf numFmtId="0" fontId="37" fillId="5" borderId="74" xfId="0" applyFont="1" applyFill="1" applyBorder="1">
      <alignment vertical="center"/>
    </xf>
    <xf numFmtId="49" fontId="35" fillId="0" borderId="34" xfId="0" applyNumberFormat="1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7" fillId="0" borderId="34" xfId="0" applyFont="1" applyBorder="1">
      <alignment vertical="center"/>
    </xf>
    <xf numFmtId="1" fontId="7" fillId="0" borderId="34" xfId="0" applyNumberFormat="1" applyFont="1" applyBorder="1" applyAlignment="1">
      <alignment horizontal="center" vertical="center"/>
    </xf>
    <xf numFmtId="180" fontId="7" fillId="0" borderId="34" xfId="0" applyNumberFormat="1" applyFont="1" applyBorder="1">
      <alignment vertical="center"/>
    </xf>
    <xf numFmtId="0" fontId="47" fillId="0" borderId="34" xfId="0" applyFont="1" applyBorder="1">
      <alignment vertical="center"/>
    </xf>
    <xf numFmtId="56" fontId="37" fillId="5" borderId="59" xfId="0" applyNumberFormat="1" applyFont="1" applyFill="1" applyBorder="1" applyAlignment="1">
      <alignment horizontal="center" vertical="center"/>
    </xf>
    <xf numFmtId="49" fontId="59" fillId="0" borderId="0" xfId="0" applyNumberFormat="1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0" fillId="0" borderId="0" xfId="0" applyFont="1">
      <alignment vertical="center"/>
    </xf>
    <xf numFmtId="0" fontId="60" fillId="0" borderId="0" xfId="0" applyFont="1" applyAlignment="1">
      <alignment vertical="center" wrapText="1"/>
    </xf>
    <xf numFmtId="0" fontId="61" fillId="0" borderId="0" xfId="0" applyFont="1">
      <alignment vertical="center"/>
    </xf>
    <xf numFmtId="0" fontId="37" fillId="5" borderId="75" xfId="0" applyFont="1" applyFill="1" applyBorder="1">
      <alignment vertical="center"/>
    </xf>
    <xf numFmtId="49" fontId="59" fillId="0" borderId="41" xfId="0" applyNumberFormat="1" applyFont="1" applyBorder="1" applyAlignment="1">
      <alignment horizontal="center" vertical="center" wrapText="1"/>
    </xf>
    <xf numFmtId="0" fontId="62" fillId="0" borderId="13" xfId="0" applyFont="1" applyBorder="1" applyAlignment="1">
      <alignment horizontal="center" vertical="center" wrapText="1"/>
    </xf>
    <xf numFmtId="0" fontId="60" fillId="0" borderId="13" xfId="0" applyFont="1" applyBorder="1">
      <alignment vertical="center"/>
    </xf>
    <xf numFmtId="0" fontId="60" fillId="0" borderId="12" xfId="0" applyFont="1" applyBorder="1" applyAlignment="1">
      <alignment vertical="center" wrapText="1"/>
    </xf>
    <xf numFmtId="0" fontId="37" fillId="5" borderId="60" xfId="0" applyFont="1" applyFill="1" applyBorder="1">
      <alignment vertical="center"/>
    </xf>
    <xf numFmtId="49" fontId="60" fillId="0" borderId="0" xfId="0" applyNumberFormat="1" applyFont="1" applyAlignment="1">
      <alignment horizontal="left" vertical="center"/>
    </xf>
    <xf numFmtId="49" fontId="60" fillId="0" borderId="0" xfId="0" applyNumberFormat="1" applyFont="1" applyAlignment="1">
      <alignment horizontal="left" vertical="center" wrapText="1"/>
    </xf>
    <xf numFmtId="49" fontId="63" fillId="0" borderId="0" xfId="0" applyNumberFormat="1" applyFont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180" fontId="7" fillId="0" borderId="21" xfId="0" applyNumberFormat="1" applyFont="1" applyBorder="1" applyAlignment="1">
      <alignment vertical="center" shrinkToFit="1"/>
    </xf>
    <xf numFmtId="0" fontId="37" fillId="5" borderId="73" xfId="0" applyFont="1" applyFill="1" applyBorder="1">
      <alignment vertical="center"/>
    </xf>
    <xf numFmtId="56" fontId="7" fillId="0" borderId="42" xfId="0" applyNumberFormat="1" applyFont="1" applyBorder="1" applyAlignment="1">
      <alignment horizontal="center" vertical="center"/>
    </xf>
    <xf numFmtId="0" fontId="0" fillId="0" borderId="77" xfId="0" applyBorder="1">
      <alignment vertical="center"/>
    </xf>
    <xf numFmtId="0" fontId="63" fillId="0" borderId="76" xfId="0" applyFont="1" applyBorder="1" applyAlignment="1">
      <alignment horizontal="left" vertical="center"/>
    </xf>
    <xf numFmtId="49" fontId="37" fillId="5" borderId="1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49" fontId="42" fillId="0" borderId="0" xfId="0" applyNumberFormat="1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37" fillId="5" borderId="8" xfId="0" applyFont="1" applyFill="1" applyBorder="1" applyAlignment="1">
      <alignment horizontal="center"/>
    </xf>
    <xf numFmtId="0" fontId="37" fillId="5" borderId="0" xfId="0" applyFont="1" applyFill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7" fillId="5" borderId="39" xfId="0" applyFont="1" applyFill="1" applyBorder="1" applyAlignment="1">
      <alignment horizontal="center" vertical="center"/>
    </xf>
    <xf numFmtId="0" fontId="37" fillId="5" borderId="15" xfId="0" applyFont="1" applyFill="1" applyBorder="1" applyAlignment="1">
      <alignment horizontal="center" vertical="center"/>
    </xf>
    <xf numFmtId="180" fontId="7" fillId="0" borderId="23" xfId="0" applyNumberFormat="1" applyFont="1" applyBorder="1" applyAlignment="1">
      <alignment horizontal="right" vertical="center" shrinkToFit="1"/>
    </xf>
    <xf numFmtId="0" fontId="7" fillId="0" borderId="13" xfId="0" applyFont="1" applyBorder="1" applyAlignment="1"/>
    <xf numFmtId="49" fontId="7" fillId="0" borderId="13" xfId="0" applyNumberFormat="1" applyFont="1" applyBorder="1" applyAlignment="1">
      <alignment horizontal="left" vertical="center"/>
    </xf>
    <xf numFmtId="0" fontId="37" fillId="3" borderId="13" xfId="0" applyFont="1" applyFill="1" applyBorder="1" applyAlignment="1">
      <alignment horizontal="left" vertical="center"/>
    </xf>
    <xf numFmtId="0" fontId="7" fillId="0" borderId="13" xfId="0" applyFont="1" applyBorder="1">
      <alignment vertical="center"/>
    </xf>
    <xf numFmtId="184" fontId="7" fillId="5" borderId="13" xfId="2" applyNumberFormat="1" applyFon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80" fontId="7" fillId="0" borderId="13" xfId="0" applyNumberFormat="1" applyFont="1" applyBorder="1">
      <alignment vertical="center"/>
    </xf>
    <xf numFmtId="176" fontId="7" fillId="0" borderId="13" xfId="2" applyFont="1" applyFill="1" applyBorder="1" applyAlignment="1">
      <alignment horizontal="right" vertical="center"/>
    </xf>
    <xf numFmtId="49" fontId="7" fillId="0" borderId="13" xfId="0" applyNumberFormat="1" applyFont="1" applyBorder="1">
      <alignment vertical="center"/>
    </xf>
    <xf numFmtId="0" fontId="7" fillId="5" borderId="23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left" vertical="center"/>
    </xf>
    <xf numFmtId="0" fontId="47" fillId="0" borderId="9" xfId="0" applyFont="1" applyBorder="1">
      <alignment vertical="center"/>
    </xf>
    <xf numFmtId="0" fontId="41" fillId="0" borderId="30" xfId="0" applyFont="1" applyBorder="1">
      <alignment vertical="center"/>
    </xf>
    <xf numFmtId="0" fontId="54" fillId="0" borderId="79" xfId="0" applyFont="1" applyBorder="1">
      <alignment vertical="center"/>
    </xf>
    <xf numFmtId="0" fontId="10" fillId="0" borderId="22" xfId="0" applyFont="1" applyBorder="1">
      <alignment vertical="center"/>
    </xf>
    <xf numFmtId="0" fontId="47" fillId="0" borderId="30" xfId="0" applyFont="1" applyBorder="1">
      <alignment vertical="center"/>
    </xf>
    <xf numFmtId="0" fontId="47" fillId="0" borderId="22" xfId="0" applyFont="1" applyBorder="1">
      <alignment vertical="center"/>
    </xf>
    <xf numFmtId="0" fontId="7" fillId="3" borderId="59" xfId="0" applyFont="1" applyFill="1" applyBorder="1">
      <alignment vertical="center"/>
    </xf>
    <xf numFmtId="180" fontId="7" fillId="0" borderId="71" xfId="0" applyNumberFormat="1" applyFont="1" applyBorder="1">
      <alignment vertical="center"/>
    </xf>
    <xf numFmtId="180" fontId="7" fillId="0" borderId="28" xfId="0" applyNumberFormat="1" applyFont="1" applyBorder="1">
      <alignment vertical="center"/>
    </xf>
    <xf numFmtId="0" fontId="37" fillId="5" borderId="73" xfId="0" applyFont="1" applyFill="1" applyBorder="1" applyAlignment="1">
      <alignment horizontal="center" vertical="center"/>
    </xf>
    <xf numFmtId="180" fontId="7" fillId="0" borderId="45" xfId="0" applyNumberFormat="1" applyFont="1" applyBorder="1">
      <alignment vertical="center"/>
    </xf>
    <xf numFmtId="49" fontId="37" fillId="5" borderId="72" xfId="0" applyNumberFormat="1" applyFont="1" applyFill="1" applyBorder="1" applyAlignment="1">
      <alignment vertical="center"/>
    </xf>
    <xf numFmtId="49" fontId="37" fillId="5" borderId="15" xfId="0" applyNumberFormat="1" applyFont="1" applyFill="1" applyBorder="1" applyAlignment="1">
      <alignment vertical="center"/>
    </xf>
    <xf numFmtId="180" fontId="7" fillId="0" borderId="78" xfId="0" applyNumberFormat="1" applyFont="1" applyBorder="1">
      <alignment vertical="center"/>
    </xf>
    <xf numFmtId="0" fontId="13" fillId="3" borderId="34" xfId="0" applyFont="1" applyFill="1" applyBorder="1" applyAlignment="1">
      <alignment horizontal="left" vertical="center"/>
    </xf>
    <xf numFmtId="0" fontId="16" fillId="0" borderId="19" xfId="0" applyFont="1" applyBorder="1" applyAlignment="1">
      <alignment vertical="center" wrapText="1"/>
    </xf>
    <xf numFmtId="182" fontId="7" fillId="0" borderId="19" xfId="0" applyNumberFormat="1" applyFont="1" applyBorder="1" applyAlignment="1">
      <alignment horizontal="center" vertical="center" shrinkToFit="1"/>
    </xf>
    <xf numFmtId="0" fontId="44" fillId="3" borderId="34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right" vertical="center"/>
    </xf>
    <xf numFmtId="49" fontId="59" fillId="0" borderId="62" xfId="0" applyNumberFormat="1" applyFont="1" applyBorder="1" applyAlignment="1">
      <alignment horizontal="center" vertical="center" wrapText="1"/>
    </xf>
    <xf numFmtId="0" fontId="62" fillId="0" borderId="23" xfId="0" applyFont="1" applyBorder="1" applyAlignment="1">
      <alignment horizontal="center" vertical="center" wrapText="1"/>
    </xf>
    <xf numFmtId="0" fontId="60" fillId="0" borderId="23" xfId="0" applyFont="1" applyBorder="1">
      <alignment vertical="center"/>
    </xf>
    <xf numFmtId="0" fontId="60" fillId="0" borderId="59" xfId="0" applyFont="1" applyBorder="1" applyAlignment="1">
      <alignment vertical="center" wrapText="1"/>
    </xf>
  </cellXfs>
  <cellStyles count="8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48205</xdr:colOff>
      <xdr:row>38</xdr:row>
      <xdr:rowOff>123438</xdr:rowOff>
    </xdr:from>
    <xdr:to>
      <xdr:col>11</xdr:col>
      <xdr:colOff>629230</xdr:colOff>
      <xdr:row>46</xdr:row>
      <xdr:rowOff>161538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36727" y="7014568"/>
          <a:ext cx="3187286" cy="1424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370417</xdr:colOff>
      <xdr:row>0</xdr:row>
      <xdr:rowOff>391583</xdr:rowOff>
    </xdr:from>
    <xdr:to>
      <xdr:col>4</xdr:col>
      <xdr:colOff>2021418</xdr:colOff>
      <xdr:row>2</xdr:row>
      <xdr:rowOff>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8E84F8D-ECF8-026D-339B-C6B18EE3F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3250" y="391583"/>
          <a:ext cx="1651001" cy="2476501"/>
        </a:xfrm>
        <a:prstGeom prst="rect">
          <a:avLst/>
        </a:prstGeom>
      </xdr:spPr>
    </xdr:pic>
    <xdr:clientData/>
  </xdr:twoCellAnchor>
  <xdr:twoCellAnchor editAs="oneCell">
    <xdr:from>
      <xdr:col>4</xdr:col>
      <xdr:colOff>21167</xdr:colOff>
      <xdr:row>2</xdr:row>
      <xdr:rowOff>102899</xdr:rowOff>
    </xdr:from>
    <xdr:to>
      <xdr:col>4</xdr:col>
      <xdr:colOff>2391434</xdr:colOff>
      <xdr:row>2</xdr:row>
      <xdr:rowOff>2455334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D96FC5A-A19F-1B5D-AA2A-14C1F0813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09" b="17226"/>
        <a:stretch/>
      </xdr:blipFill>
      <xdr:spPr>
        <a:xfrm>
          <a:off x="7874000" y="2970982"/>
          <a:ext cx="2370267" cy="23524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nya-pc07\Downloads\SYVI-011201-VT-DD-01.xlsx" TargetMode="External"/><Relationship Id="rId1" Type="http://schemas.openxmlformats.org/officeDocument/2006/relationships/externalLinkPath" Target="file:///C:\Users\shunya-pc07\Downloads\SYVI-011201-VT-DD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"/>
      <sheetName val="NARITA"/>
      <sheetName val="LABEL"/>
    </sheetNames>
    <sheetDataSet>
      <sheetData sheetId="0">
        <row r="49">
          <cell r="C49" t="str">
            <v xml:space="preserve"> SYVI-011201-VT-DD-01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C57" sqref="C57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92</v>
      </c>
    </row>
    <row r="3" spans="1:3">
      <c r="A3" s="70">
        <f>A2+1</f>
        <v>3</v>
      </c>
      <c r="B3" s="7" t="s">
        <v>4</v>
      </c>
      <c r="C3" s="2" t="s">
        <v>93</v>
      </c>
    </row>
    <row r="4" spans="1:3">
      <c r="A4" s="70">
        <f t="shared" ref="A4:A68" si="0">A3+1</f>
        <v>4</v>
      </c>
      <c r="B4" s="7" t="s">
        <v>3</v>
      </c>
      <c r="C4" s="2" t="s">
        <v>94</v>
      </c>
    </row>
    <row r="5" spans="1:3" s="71" customFormat="1">
      <c r="A5" s="70">
        <f t="shared" si="0"/>
        <v>5</v>
      </c>
      <c r="B5" s="7" t="s">
        <v>5</v>
      </c>
      <c r="C5" s="7" t="s">
        <v>95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107</v>
      </c>
      <c r="C9" s="7" t="s">
        <v>150</v>
      </c>
    </row>
    <row r="10" spans="1:3" s="71" customFormat="1">
      <c r="A10" s="70">
        <f t="shared" si="0"/>
        <v>10</v>
      </c>
      <c r="B10" s="72" t="s">
        <v>108</v>
      </c>
      <c r="C10" s="7" t="s">
        <v>149</v>
      </c>
    </row>
    <row r="11" spans="1:3" s="71" customFormat="1">
      <c r="A11" s="70">
        <f t="shared" si="0"/>
        <v>11</v>
      </c>
      <c r="B11" s="72" t="s">
        <v>109</v>
      </c>
      <c r="C11" s="2" t="s">
        <v>151</v>
      </c>
    </row>
    <row r="12" spans="1:3" s="71" customFormat="1">
      <c r="A12" s="70">
        <f t="shared" si="0"/>
        <v>12</v>
      </c>
      <c r="B12" s="72" t="s">
        <v>110</v>
      </c>
      <c r="C12" s="2" t="s">
        <v>152</v>
      </c>
    </row>
    <row r="13" spans="1:3" s="71" customFormat="1">
      <c r="A13" s="70">
        <f t="shared" si="0"/>
        <v>13</v>
      </c>
      <c r="B13" s="72" t="s">
        <v>33</v>
      </c>
      <c r="C13" s="3" t="s">
        <v>153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96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119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113</v>
      </c>
    </row>
    <row r="25" spans="1:3" s="71" customFormat="1">
      <c r="A25" s="70">
        <f t="shared" si="0"/>
        <v>25</v>
      </c>
      <c r="B25" s="72" t="s">
        <v>44</v>
      </c>
      <c r="C25" s="235" t="s">
        <v>145</v>
      </c>
    </row>
    <row r="26" spans="1:3">
      <c r="A26" s="70">
        <f t="shared" si="0"/>
        <v>26</v>
      </c>
      <c r="B26" s="72" t="s">
        <v>45</v>
      </c>
      <c r="C26" s="236" t="s">
        <v>190</v>
      </c>
    </row>
    <row r="27" spans="1:3">
      <c r="A27" s="70">
        <f t="shared" si="0"/>
        <v>27</v>
      </c>
      <c r="B27" s="72" t="s">
        <v>46</v>
      </c>
      <c r="C27" s="236" t="str">
        <f>C26</f>
        <v xml:space="preserve"> SY-471027-VT-DD-01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97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91</v>
      </c>
    </row>
    <row r="36" spans="1:3">
      <c r="A36" s="70">
        <f t="shared" si="0"/>
        <v>36</v>
      </c>
      <c r="B36" s="72" t="s">
        <v>56</v>
      </c>
      <c r="C36" s="81" t="s">
        <v>140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  <c r="C42" s="2" t="s">
        <v>191</v>
      </c>
    </row>
    <row r="43" spans="1:3">
      <c r="A43" s="70">
        <f t="shared" si="0"/>
        <v>43</v>
      </c>
      <c r="B43" s="72" t="s">
        <v>65</v>
      </c>
      <c r="C43" s="93" t="s">
        <v>192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240">
        <f>NARITA!H15+'NARITA (2)'!H23</f>
        <v>757000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91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SY-471027-VT-DD-01</v>
      </c>
    </row>
    <row r="50" spans="1:3">
      <c r="A50" s="70">
        <f t="shared" si="0"/>
        <v>50</v>
      </c>
      <c r="B50" s="72" t="s">
        <v>70</v>
      </c>
      <c r="C50" s="2" t="s">
        <v>111</v>
      </c>
    </row>
    <row r="51" spans="1:3">
      <c r="A51" s="70">
        <f t="shared" si="0"/>
        <v>51</v>
      </c>
      <c r="B51" s="72" t="s">
        <v>71</v>
      </c>
      <c r="C51" s="2" t="s">
        <v>112</v>
      </c>
    </row>
    <row r="52" spans="1:3">
      <c r="A52" s="70">
        <f t="shared" si="0"/>
        <v>52</v>
      </c>
      <c r="B52" s="72" t="s">
        <v>72</v>
      </c>
      <c r="C52" s="2" t="str">
        <f>C33</f>
        <v xml:space="preserve"> HOCHIMINH-CITY, VIETNAM</v>
      </c>
    </row>
    <row r="53" spans="1:3">
      <c r="A53" s="70">
        <f t="shared" si="0"/>
        <v>53</v>
      </c>
      <c r="B53" s="72" t="s">
        <v>73</v>
      </c>
      <c r="C53" s="90"/>
    </row>
    <row r="54" spans="1:3">
      <c r="A54" s="70">
        <f t="shared" si="0"/>
        <v>54</v>
      </c>
      <c r="B54" s="72" t="s">
        <v>75</v>
      </c>
      <c r="C54" s="2" t="s">
        <v>74</v>
      </c>
    </row>
    <row r="55" spans="1:3">
      <c r="A55" s="70">
        <f t="shared" si="0"/>
        <v>55</v>
      </c>
      <c r="B55" s="7" t="s">
        <v>76</v>
      </c>
      <c r="C55" s="236" t="s">
        <v>193</v>
      </c>
    </row>
    <row r="56" spans="1:3">
      <c r="A56" s="70">
        <f t="shared" si="0"/>
        <v>56</v>
      </c>
      <c r="B56" s="7" t="s">
        <v>77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78</v>
      </c>
      <c r="C60" s="2" t="s">
        <v>79</v>
      </c>
    </row>
    <row r="61" spans="1:3">
      <c r="A61" s="70">
        <f t="shared" si="0"/>
        <v>61</v>
      </c>
      <c r="B61" s="7" t="s">
        <v>80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114</v>
      </c>
      <c r="C63" s="90" t="s">
        <v>116</v>
      </c>
    </row>
    <row r="64" spans="1:3">
      <c r="A64" s="70">
        <f t="shared" si="0"/>
        <v>64</v>
      </c>
      <c r="B64" s="7"/>
      <c r="C64" s="90" t="s">
        <v>117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81</v>
      </c>
      <c r="C67" s="68"/>
    </row>
    <row r="68" spans="1:3">
      <c r="A68" s="70">
        <f t="shared" si="0"/>
        <v>68</v>
      </c>
      <c r="B68" s="72" t="s">
        <v>82</v>
      </c>
      <c r="C68" s="2" t="s">
        <v>106</v>
      </c>
    </row>
    <row r="69" spans="1:3">
      <c r="A69" s="70">
        <f t="shared" ref="A69:A86" si="1">A68+1</f>
        <v>69</v>
      </c>
      <c r="B69" s="7" t="s">
        <v>83</v>
      </c>
      <c r="C69" s="2" t="s">
        <v>104</v>
      </c>
    </row>
    <row r="70" spans="1:3">
      <c r="A70" s="70">
        <f t="shared" si="1"/>
        <v>70</v>
      </c>
      <c r="B70" s="7" t="s">
        <v>84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85</v>
      </c>
      <c r="C75" s="2" t="s">
        <v>102</v>
      </c>
    </row>
    <row r="76" spans="1:3">
      <c r="A76" s="70">
        <f t="shared" si="1"/>
        <v>76</v>
      </c>
      <c r="B76" s="7" t="s">
        <v>86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87</v>
      </c>
      <c r="C78" s="2" t="s">
        <v>105</v>
      </c>
    </row>
    <row r="79" spans="1:3">
      <c r="A79" s="70">
        <f t="shared" si="1"/>
        <v>79</v>
      </c>
      <c r="B79" s="7" t="s">
        <v>88</v>
      </c>
      <c r="C79" s="2" t="s">
        <v>105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89</v>
      </c>
      <c r="C81" s="77" t="s">
        <v>147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90</v>
      </c>
      <c r="C83" s="2" t="s">
        <v>101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9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3"/>
  <sheetViews>
    <sheetView showZeros="0" topLeftCell="A19" zoomScale="115" zoomScaleNormal="115" workbookViewId="0">
      <selection activeCell="O36" sqref="O36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416" t="s">
        <v>29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103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SY-471027-VT-DD-01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'[1]shipper master'!C49</f>
        <v xml:space="preserve"> SYVI-011201-VT-DD-01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May,26 2022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:   ( 084 ) 097 22 00 798  ATTN : MR. TUAN</v>
      </c>
      <c r="B11" s="5"/>
      <c r="C11" s="5"/>
      <c r="D11" s="38"/>
      <c r="E11" s="417" t="str">
        <f>'shipper master'!C27</f>
        <v xml:space="preserve"> SY-471027-VT-DD-01</v>
      </c>
      <c r="F11" s="418"/>
      <c r="G11" s="418"/>
      <c r="H11" s="418"/>
      <c r="I11" s="418"/>
      <c r="J11" s="419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205" t="s">
        <v>160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417">
        <f>'shipper master'!C30</f>
        <v>0</v>
      </c>
      <c r="F13" s="418"/>
      <c r="G13" s="418"/>
      <c r="H13" s="418"/>
      <c r="I13" s="418"/>
      <c r="J13" s="419"/>
      <c r="K13" s="36" t="str">
        <f>'shipper master'!C54</f>
        <v xml:space="preserve"> MADE IN JAPAN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417">
        <f>'shipper master'!C29</f>
        <v>0</v>
      </c>
      <c r="F15" s="418"/>
      <c r="G15" s="418"/>
      <c r="H15" s="418"/>
      <c r="I15" s="418"/>
      <c r="J15" s="419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420"/>
      <c r="F17" s="421"/>
      <c r="G17" s="421"/>
      <c r="H17" s="421"/>
      <c r="I17" s="421"/>
      <c r="J17" s="422"/>
      <c r="K17" s="34"/>
      <c r="L17" s="5"/>
    </row>
    <row r="18" spans="1:12" ht="13.1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1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1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1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149999999999999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216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217"/>
      <c r="K27" s="218"/>
      <c r="L27" s="219"/>
    </row>
    <row r="28" spans="1:12" s="1" customFormat="1" ht="13.4" customHeight="1">
      <c r="A28" s="19"/>
      <c r="B28" s="153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220">
        <f>NARITA!E13+'NARITA (2)'!E20</f>
        <v>465</v>
      </c>
      <c r="K28" s="221" t="str">
        <f>NARITA!F13</f>
        <v>M.</v>
      </c>
      <c r="L28" s="222">
        <f>NARITA!H13+'NARITA (2)'!H20</f>
        <v>694500</v>
      </c>
    </row>
    <row r="29" spans="1:12" s="1" customFormat="1" ht="13.4" customHeight="1">
      <c r="A29" s="19"/>
      <c r="B29" s="153"/>
      <c r="C29" s="3"/>
      <c r="D29" s="7"/>
      <c r="E29" s="3"/>
      <c r="F29" s="3"/>
      <c r="G29" s="3"/>
      <c r="H29" s="3"/>
      <c r="I29" s="3"/>
      <c r="J29" s="223">
        <f>'NARITA (2)'!E21</f>
        <v>442</v>
      </c>
      <c r="K29" s="221" t="str">
        <f>NARITA!F14</f>
        <v>PCS.</v>
      </c>
      <c r="L29" s="239">
        <f>'NARITA (2)'!H21</f>
        <v>62500</v>
      </c>
    </row>
    <row r="30" spans="1:12" s="1" customFormat="1" ht="13.4" customHeight="1">
      <c r="A30" s="19"/>
      <c r="B30" s="153"/>
      <c r="C30" s="3"/>
      <c r="D30" s="7"/>
      <c r="E30" s="3"/>
      <c r="F30" s="3"/>
      <c r="G30" s="3"/>
      <c r="H30" s="3"/>
      <c r="I30" s="3"/>
      <c r="J30" s="224"/>
      <c r="K30" s="225"/>
      <c r="L30" s="226"/>
    </row>
    <row r="31" spans="1:12" s="1" customFormat="1" ht="13.4" customHeight="1">
      <c r="A31" s="27"/>
      <c r="B31" s="9"/>
      <c r="C31" s="8"/>
      <c r="D31" s="9"/>
      <c r="E31" s="8"/>
      <c r="F31" s="8"/>
      <c r="G31" s="8"/>
      <c r="H31" s="8"/>
      <c r="I31" s="8"/>
      <c r="J31" s="227"/>
      <c r="K31" s="228"/>
      <c r="L31" s="229"/>
    </row>
    <row r="32" spans="1:12" s="1" customFormat="1" ht="17.25" customHeight="1" thickBot="1">
      <c r="A32" s="20"/>
      <c r="B32" s="21" t="s">
        <v>27</v>
      </c>
      <c r="C32" s="346">
        <f>J28</f>
        <v>465</v>
      </c>
      <c r="D32" s="346" t="s">
        <v>120</v>
      </c>
      <c r="E32" s="423">
        <f>J29</f>
        <v>442</v>
      </c>
      <c r="F32" s="423"/>
      <c r="G32" s="423"/>
      <c r="H32" s="230">
        <f>H29</f>
        <v>0</v>
      </c>
      <c r="I32" s="231" t="s">
        <v>64</v>
      </c>
      <c r="J32" s="230">
        <f>J30</f>
        <v>0</v>
      </c>
      <c r="K32" s="231" t="s">
        <v>154</v>
      </c>
      <c r="L32" s="232">
        <f>SUM(L27:L30)</f>
        <v>757000</v>
      </c>
    </row>
    <row r="33" spans="1:12" s="1" customFormat="1" ht="13.4" customHeight="1" thickTop="1">
      <c r="A33" s="22"/>
      <c r="B33" s="23"/>
      <c r="C33" s="3"/>
      <c r="D33" s="57"/>
      <c r="E33" s="3"/>
      <c r="F33" s="57"/>
      <c r="G33" s="3"/>
      <c r="H33" s="3"/>
      <c r="I33" s="3"/>
      <c r="J33" s="19"/>
      <c r="K33" s="46"/>
      <c r="L33" s="22"/>
    </row>
    <row r="34" spans="1:12" s="1" customFormat="1" ht="13.4" customHeight="1">
      <c r="A34" s="3"/>
      <c r="B34" s="7"/>
      <c r="C34" s="3"/>
      <c r="D34" s="3"/>
      <c r="E34" s="3"/>
      <c r="F34" s="3"/>
      <c r="G34" s="3"/>
      <c r="H34" s="3"/>
      <c r="I34" s="3"/>
      <c r="J34" s="58"/>
      <c r="K34" s="46"/>
      <c r="L34" s="56"/>
    </row>
    <row r="35" spans="1:12" s="1" customFormat="1" ht="13.4" customHeight="1">
      <c r="A35" s="3" t="str">
        <f>'shipper master'!C63</f>
        <v>" THESE GOODS WILL BE RETURN TO JAPAN</v>
      </c>
      <c r="B35" s="91"/>
      <c r="C35" s="91"/>
      <c r="D35" s="91"/>
      <c r="E35" s="91"/>
      <c r="F35" s="3"/>
      <c r="G35" s="3"/>
      <c r="H35" s="3" t="s">
        <v>98</v>
      </c>
      <c r="I35" s="3"/>
      <c r="J35" s="58" t="s">
        <v>115</v>
      </c>
      <c r="K35" s="46"/>
      <c r="L35" s="3"/>
    </row>
    <row r="36" spans="1:12" s="1" customFormat="1" ht="13.4" customHeight="1">
      <c r="A36" s="415" t="str">
        <f>'shipper master'!C64</f>
        <v xml:space="preserve">  AFTER MANUFACTURED AT VIET NAM "</v>
      </c>
      <c r="B36" s="415"/>
      <c r="C36" s="415"/>
      <c r="D36" s="7"/>
      <c r="E36" s="3"/>
      <c r="F36" s="3"/>
      <c r="G36" s="3"/>
      <c r="H36" s="3" t="s">
        <v>99</v>
      </c>
      <c r="I36" s="3"/>
      <c r="J36" s="58" t="s">
        <v>118</v>
      </c>
      <c r="K36" s="46"/>
      <c r="L36" s="56"/>
    </row>
    <row r="37" spans="1:12" s="1" customFormat="1" ht="13.4" customHeight="1">
      <c r="A37" s="3"/>
      <c r="B37" s="7"/>
      <c r="C37" s="7">
        <f>'shipper master'!C58</f>
        <v>0</v>
      </c>
      <c r="D37" s="7"/>
      <c r="E37" s="3"/>
      <c r="F37" s="3"/>
      <c r="G37" s="3"/>
      <c r="H37" s="3"/>
      <c r="I37" s="3"/>
      <c r="J37" s="19"/>
      <c r="K37" s="46"/>
      <c r="L37" s="3"/>
    </row>
    <row r="38" spans="1:12" s="1" customFormat="1" ht="13.4" customHeight="1">
      <c r="A38" s="7" t="str">
        <f>'shipper master'!C60</f>
        <v>COUNTRY OF ORIGIN : JAPAN</v>
      </c>
      <c r="B38" s="7"/>
      <c r="C38" s="7"/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/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154" t="s">
        <v>138</v>
      </c>
      <c r="B40" s="114"/>
      <c r="C40" s="366" t="s">
        <v>187</v>
      </c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54" t="s">
        <v>139</v>
      </c>
      <c r="B41" s="114"/>
      <c r="C41" s="215"/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45"/>
      <c r="B42" s="17"/>
      <c r="C42" s="69"/>
      <c r="D42" s="17"/>
      <c r="E42" s="67"/>
      <c r="F42" s="67"/>
      <c r="G42" s="67"/>
      <c r="H42" s="3"/>
      <c r="I42" s="3"/>
      <c r="J42" s="19"/>
      <c r="K42" s="46"/>
      <c r="L42" s="3"/>
    </row>
    <row r="43" spans="1:12" ht="18" customHeight="1">
      <c r="A43" s="45"/>
      <c r="B43" s="5"/>
      <c r="C43" s="5"/>
      <c r="D43" s="5"/>
      <c r="E43" s="5"/>
      <c r="F43" s="5"/>
      <c r="G43" s="14"/>
      <c r="H43" s="5"/>
      <c r="I43" s="5"/>
      <c r="J43" s="14"/>
      <c r="K43" s="47"/>
      <c r="L43" s="5"/>
    </row>
    <row r="44" spans="1:12" ht="13.4" customHeight="1">
      <c r="A44" s="5"/>
      <c r="B44" s="48"/>
      <c r="C44" s="5"/>
      <c r="D44" s="5"/>
      <c r="E44" s="5"/>
      <c r="F44" s="5"/>
      <c r="G44" s="5"/>
      <c r="H44" s="5"/>
      <c r="I44" s="5"/>
      <c r="J44" s="2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5"/>
      <c r="C46" s="5"/>
      <c r="D46" s="5"/>
      <c r="E46" s="5"/>
      <c r="F46" s="5"/>
      <c r="G46" s="37"/>
      <c r="H46" s="37"/>
      <c r="I46" s="37"/>
      <c r="J46" s="49"/>
      <c r="K46" s="50"/>
      <c r="L46" s="37"/>
    </row>
    <row r="47" spans="1:12" ht="13.4" customHeight="1">
      <c r="A47" s="5"/>
      <c r="B47" s="5"/>
      <c r="C47" s="5"/>
      <c r="D47" s="5"/>
      <c r="E47" s="5"/>
      <c r="F47" s="5"/>
      <c r="G47" s="5"/>
      <c r="H47" s="5"/>
      <c r="I47" s="5"/>
      <c r="J47" s="24"/>
      <c r="K47" s="47"/>
      <c r="L47" s="5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51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J74" s="25"/>
      <c r="K74" s="11"/>
    </row>
    <row r="75" spans="1:12">
      <c r="J75" s="25"/>
      <c r="K75" s="11"/>
    </row>
    <row r="76" spans="1:12"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</sheetData>
  <mergeCells count="7">
    <mergeCell ref="A36:C36"/>
    <mergeCell ref="A1:L1"/>
    <mergeCell ref="E15:J15"/>
    <mergeCell ref="E11:J11"/>
    <mergeCell ref="E17:J17"/>
    <mergeCell ref="E13:J13"/>
    <mergeCell ref="E32:G32"/>
  </mergeCells>
  <phoneticPr fontId="9"/>
  <pageMargins left="0.39370078740157483" right="0.19685039370078741" top="0.59055118110236227" bottom="0.39370078740157483" header="0.51181102362204722" footer="0.51181102362204722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M30" sqref="M30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'[1]shipper master'!C49</f>
        <v xml:space="preserve"> SYVI-011201-VT-DD-01</v>
      </c>
      <c r="H2" s="85"/>
      <c r="I2" s="82" t="str">
        <f>'[1]shipper master'!C49</f>
        <v xml:space="preserve"> SYVI-011201-VT-DD-01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100</v>
      </c>
      <c r="C6" s="82">
        <v>1</v>
      </c>
      <c r="D6" s="84"/>
      <c r="H6" s="85"/>
      <c r="I6" s="82" t="s">
        <v>100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'[1]shipper master'!C49</f>
        <v xml:space="preserve"> SYVI-011201-VT-DD-01</v>
      </c>
      <c r="H13" s="85"/>
      <c r="I13" s="82" t="str">
        <f>'[1]shipper master'!C49</f>
        <v xml:space="preserve"> SYVI-011201-VT-DD-01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100</v>
      </c>
      <c r="C17" s="82">
        <v>3</v>
      </c>
      <c r="H17" s="85"/>
      <c r="I17" s="82" t="s">
        <v>100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9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7"/>
  <sheetViews>
    <sheetView zoomScale="90" zoomScaleNormal="90" zoomScaleSheetLayoutView="80" workbookViewId="0">
      <selection activeCell="C14" sqref="C14"/>
    </sheetView>
  </sheetViews>
  <sheetFormatPr defaultRowHeight="15"/>
  <cols>
    <col min="1" max="1" width="7.90625" customWidth="1"/>
    <col min="2" max="2" width="23.26953125" style="169" customWidth="1"/>
    <col min="3" max="3" width="21.36328125" style="94" customWidth="1"/>
    <col min="4" max="4" width="37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36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109"/>
      <c r="I1" s="45"/>
      <c r="J1" s="45"/>
      <c r="K1" s="26"/>
      <c r="L1" s="96"/>
      <c r="M1" s="26"/>
      <c r="N1" s="26"/>
    </row>
    <row r="2" spans="1:14" ht="18" thickBot="1">
      <c r="A2" s="424" t="s">
        <v>136</v>
      </c>
      <c r="B2" s="424"/>
      <c r="C2" s="424"/>
      <c r="D2" s="424"/>
      <c r="E2" s="424"/>
      <c r="F2" s="424"/>
      <c r="G2" s="424"/>
      <c r="H2" s="424"/>
      <c r="I2" s="67"/>
      <c r="J2" s="3"/>
      <c r="K2" s="70"/>
      <c r="L2" s="104"/>
      <c r="M2" s="105"/>
      <c r="N2" s="105"/>
    </row>
    <row r="3" spans="1:14" ht="18" thickBot="1">
      <c r="A3" s="147"/>
      <c r="B3" s="170"/>
      <c r="C3" s="147"/>
      <c r="D3" s="147"/>
      <c r="E3" s="147"/>
      <c r="F3" s="147"/>
      <c r="G3" s="147"/>
      <c r="H3" s="147"/>
      <c r="I3" s="67"/>
      <c r="J3" s="3"/>
      <c r="K3" s="70"/>
      <c r="L3" s="104"/>
      <c r="M3" s="105"/>
      <c r="N3" s="105"/>
    </row>
    <row r="4" spans="1:14" ht="21.75" customHeight="1" thickBot="1">
      <c r="A4" s="234" t="s">
        <v>60</v>
      </c>
      <c r="B4" s="171" t="s">
        <v>133</v>
      </c>
      <c r="C4" s="155" t="s">
        <v>122</v>
      </c>
      <c r="D4" s="156" t="s">
        <v>123</v>
      </c>
      <c r="E4" s="155" t="s">
        <v>124</v>
      </c>
      <c r="F4" s="425" t="s">
        <v>125</v>
      </c>
      <c r="G4" s="426"/>
      <c r="H4" s="157" t="s">
        <v>126</v>
      </c>
      <c r="I4" s="140" t="s">
        <v>127</v>
      </c>
      <c r="J4" s="134" t="s">
        <v>128</v>
      </c>
      <c r="K4" s="135" t="s">
        <v>129</v>
      </c>
      <c r="L4" s="141" t="s">
        <v>134</v>
      </c>
      <c r="M4" s="142" t="s">
        <v>130</v>
      </c>
      <c r="N4" s="143" t="s">
        <v>131</v>
      </c>
    </row>
    <row r="5" spans="1:14">
      <c r="A5" s="158"/>
      <c r="B5" s="172"/>
      <c r="C5" s="102"/>
      <c r="D5" s="159"/>
      <c r="E5" s="110"/>
      <c r="F5" s="102"/>
      <c r="G5" s="101"/>
      <c r="H5" s="100"/>
      <c r="I5" s="118"/>
      <c r="J5" s="119"/>
      <c r="K5" s="120"/>
      <c r="L5" s="121"/>
      <c r="M5" s="120"/>
      <c r="N5" s="122"/>
    </row>
    <row r="6" spans="1:14">
      <c r="A6" s="149"/>
      <c r="B6" s="145" t="s">
        <v>135</v>
      </c>
      <c r="C6" s="102"/>
      <c r="D6" s="110" t="str">
        <f>'[2]shipper master'!C36</f>
        <v>FABRIC &amp; PARTS FOR WEAR</v>
      </c>
      <c r="E6" s="150"/>
      <c r="F6" s="151"/>
      <c r="G6" s="111" t="str">
        <f>'[2]shipper master'!C48</f>
        <v>F.O.B. TOKYO IN YEN</v>
      </c>
      <c r="H6" s="100"/>
      <c r="I6" s="99"/>
      <c r="J6" s="95"/>
      <c r="K6" s="95"/>
      <c r="L6" s="97"/>
      <c r="M6" s="95"/>
      <c r="N6" s="107"/>
    </row>
    <row r="7" spans="1:14" ht="15.5" thickBot="1">
      <c r="A7" s="186"/>
      <c r="B7" s="187"/>
      <c r="C7" s="188"/>
      <c r="D7" s="189" t="s">
        <v>141</v>
      </c>
      <c r="E7" s="189"/>
      <c r="F7" s="188"/>
      <c r="G7" s="190"/>
      <c r="H7" s="106"/>
      <c r="I7" s="191"/>
      <c r="J7" s="192"/>
      <c r="K7" s="137"/>
      <c r="L7" s="138"/>
      <c r="M7" s="139"/>
      <c r="N7" s="107"/>
    </row>
    <row r="8" spans="1:14" ht="15.5" customHeight="1">
      <c r="A8" s="183"/>
      <c r="B8" s="334"/>
      <c r="C8" s="335"/>
      <c r="D8" s="336" t="s">
        <v>180</v>
      </c>
      <c r="E8" s="193"/>
      <c r="F8" s="176"/>
      <c r="G8" s="194"/>
      <c r="H8" s="193"/>
      <c r="I8" s="177"/>
      <c r="J8" s="211"/>
      <c r="K8" s="181"/>
      <c r="L8" s="133"/>
      <c r="M8" s="128"/>
      <c r="N8" s="107"/>
    </row>
    <row r="9" spans="1:14">
      <c r="A9" s="368" t="s">
        <v>188</v>
      </c>
      <c r="B9" s="144" t="s">
        <v>161</v>
      </c>
      <c r="C9" s="328" t="s">
        <v>164</v>
      </c>
      <c r="D9" s="174" t="s">
        <v>148</v>
      </c>
      <c r="E9" s="195">
        <v>215</v>
      </c>
      <c r="F9" s="167" t="s">
        <v>120</v>
      </c>
      <c r="G9" s="197">
        <v>1400</v>
      </c>
      <c r="H9" s="115">
        <f>E9*G9</f>
        <v>301000</v>
      </c>
      <c r="I9" s="238"/>
      <c r="J9" s="243">
        <v>45226</v>
      </c>
      <c r="K9" s="130"/>
      <c r="L9" s="129"/>
      <c r="M9" s="126"/>
      <c r="N9" s="108"/>
    </row>
    <row r="10" spans="1:14">
      <c r="A10" s="237"/>
      <c r="B10" s="378" t="s">
        <v>162</v>
      </c>
      <c r="C10" s="328" t="s">
        <v>165</v>
      </c>
      <c r="D10" s="174" t="s">
        <v>155</v>
      </c>
      <c r="E10" s="195">
        <v>150</v>
      </c>
      <c r="F10" s="167" t="s">
        <v>120</v>
      </c>
      <c r="G10" s="197">
        <v>1690</v>
      </c>
      <c r="H10" s="115">
        <f>E10*G10</f>
        <v>253500</v>
      </c>
      <c r="I10" s="238"/>
      <c r="J10" s="108"/>
      <c r="K10" s="130"/>
      <c r="L10" s="129"/>
      <c r="M10" s="126"/>
      <c r="N10" s="108"/>
    </row>
    <row r="11" spans="1:14" ht="17" thickBot="1">
      <c r="A11" s="180"/>
      <c r="B11" s="377" t="s">
        <v>163</v>
      </c>
      <c r="C11" s="330" t="s">
        <v>166</v>
      </c>
      <c r="D11" s="127" t="s">
        <v>167</v>
      </c>
      <c r="E11" s="353">
        <v>100</v>
      </c>
      <c r="F11" s="338" t="s">
        <v>120</v>
      </c>
      <c r="G11" s="434">
        <v>1400</v>
      </c>
      <c r="H11" s="261">
        <f>E11*G11</f>
        <v>140000</v>
      </c>
      <c r="I11" s="184"/>
      <c r="J11" s="185"/>
      <c r="K11" s="130"/>
      <c r="L11" s="129"/>
      <c r="M11" s="126"/>
      <c r="N11" s="108"/>
    </row>
    <row r="12" spans="1:14" ht="15.5" customHeight="1" thickBot="1">
      <c r="A12" s="175"/>
      <c r="B12" s="146"/>
      <c r="C12" s="146"/>
      <c r="D12" s="132"/>
      <c r="E12" s="131"/>
      <c r="F12" s="89"/>
      <c r="G12" s="136"/>
      <c r="H12" s="173"/>
      <c r="I12" s="182"/>
      <c r="J12" s="212"/>
      <c r="K12" s="260"/>
      <c r="L12" s="129"/>
      <c r="M12" s="125"/>
      <c r="N12" s="108"/>
    </row>
    <row r="13" spans="1:14">
      <c r="A13" s="435"/>
      <c r="B13" s="436" t="s">
        <v>132</v>
      </c>
      <c r="C13" s="437" t="s">
        <v>179</v>
      </c>
      <c r="D13" s="438"/>
      <c r="E13" s="439">
        <f>SUMIF($F$9:$F$12,"M.",$E$9:$E$12)</f>
        <v>465</v>
      </c>
      <c r="F13" s="440" t="s">
        <v>120</v>
      </c>
      <c r="G13" s="441"/>
      <c r="H13" s="442">
        <f>SUMIF($F$9:$F$12,"M.",$H$9:$H$12)</f>
        <v>694500</v>
      </c>
      <c r="I13" s="441"/>
      <c r="J13" s="443"/>
      <c r="K13" s="176"/>
      <c r="L13" s="165"/>
      <c r="M13" s="100"/>
      <c r="N13" s="345"/>
    </row>
    <row r="14" spans="1:14">
      <c r="A14" s="101"/>
      <c r="B14" s="144"/>
      <c r="C14" s="100"/>
      <c r="D14" s="162"/>
      <c r="E14" s="160">
        <f>SUMIF($F$9:$F$12,"PCS.",$E$9:$E$12)</f>
        <v>0</v>
      </c>
      <c r="F14" s="161" t="s">
        <v>121</v>
      </c>
      <c r="G14" s="115"/>
      <c r="H14" s="160">
        <f>SUMIF($F$9:$F$12,"PCS.",$H$9:$H$12)</f>
        <v>0</v>
      </c>
      <c r="I14" s="101"/>
      <c r="J14" s="213"/>
      <c r="K14" s="100"/>
      <c r="L14" s="165"/>
      <c r="M14" s="100"/>
      <c r="N14" s="345"/>
    </row>
    <row r="15" spans="1:14">
      <c r="A15" s="129"/>
      <c r="B15" s="144"/>
      <c r="C15" s="100"/>
      <c r="D15" s="163"/>
      <c r="E15" s="214"/>
      <c r="F15" s="161"/>
      <c r="G15" s="115"/>
      <c r="H15" s="164">
        <f>SUM(H13:H14)</f>
        <v>694500</v>
      </c>
      <c r="I15" s="101"/>
      <c r="J15" s="213"/>
      <c r="K15" s="100"/>
      <c r="L15" s="165"/>
      <c r="M15" s="100"/>
      <c r="N15" s="345"/>
    </row>
    <row r="16" spans="1:14">
      <c r="E16" s="112"/>
      <c r="F16" s="112"/>
      <c r="G16" s="112"/>
      <c r="H16" s="113"/>
      <c r="K16" s="113"/>
      <c r="L16" s="112"/>
    </row>
    <row r="19" spans="3:10">
      <c r="C19" s="112"/>
      <c r="D19" s="112"/>
      <c r="I19" s="112"/>
      <c r="J19" s="112"/>
    </row>
    <row r="20" spans="3:10">
      <c r="C20" s="112"/>
      <c r="D20" s="112"/>
      <c r="I20" s="112"/>
      <c r="J20" s="112"/>
    </row>
    <row r="67" spans="1:1" ht="20">
      <c r="A67" s="148" t="s">
        <v>137</v>
      </c>
    </row>
  </sheetData>
  <mergeCells count="2">
    <mergeCell ref="A2:H2"/>
    <mergeCell ref="F4:G4"/>
  </mergeCells>
  <phoneticPr fontId="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B5E-F261-415E-BF71-BB58A51E273E}">
  <dimension ref="A1:O120"/>
  <sheetViews>
    <sheetView zoomScale="90" zoomScaleNormal="90" zoomScaleSheetLayoutView="80" workbookViewId="0">
      <selection activeCell="E25" sqref="E25"/>
    </sheetView>
  </sheetViews>
  <sheetFormatPr defaultRowHeight="15"/>
  <cols>
    <col min="1" max="1" width="7.90625" customWidth="1"/>
    <col min="2" max="2" width="23.26953125" style="169" customWidth="1"/>
    <col min="3" max="3" width="21.36328125" style="94" customWidth="1"/>
    <col min="4" max="4" width="43.08984375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17.6328125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45"/>
      <c r="I1" s="45"/>
      <c r="J1" s="45"/>
      <c r="K1" s="26"/>
      <c r="L1" s="96"/>
      <c r="M1" s="26"/>
      <c r="N1" s="26"/>
    </row>
    <row r="2" spans="1:14" ht="18" thickBot="1">
      <c r="A2" s="424" t="s">
        <v>136</v>
      </c>
      <c r="B2" s="424"/>
      <c r="C2" s="424"/>
      <c r="D2" s="424"/>
      <c r="E2" s="424"/>
      <c r="F2" s="424"/>
      <c r="G2" s="424"/>
      <c r="H2" s="424"/>
      <c r="I2" s="67"/>
      <c r="J2" s="3"/>
      <c r="K2" s="70"/>
      <c r="L2" s="104"/>
      <c r="M2" s="105"/>
      <c r="N2" s="105"/>
    </row>
    <row r="3" spans="1:14" ht="18" thickBot="1">
      <c r="A3" s="147"/>
      <c r="B3" s="170"/>
      <c r="C3" s="147"/>
      <c r="D3" s="147"/>
      <c r="E3" s="147"/>
      <c r="F3" s="147"/>
      <c r="G3" s="147"/>
      <c r="H3" s="147"/>
      <c r="I3" s="67"/>
      <c r="J3" s="3"/>
      <c r="K3" s="70"/>
      <c r="L3" s="104"/>
      <c r="M3" s="105"/>
      <c r="N3" s="105"/>
    </row>
    <row r="4" spans="1:14" ht="21.75" customHeight="1" thickBot="1">
      <c r="A4" s="244" t="s">
        <v>60</v>
      </c>
      <c r="B4" s="171" t="s">
        <v>133</v>
      </c>
      <c r="C4" s="155" t="s">
        <v>122</v>
      </c>
      <c r="D4" s="156" t="s">
        <v>123</v>
      </c>
      <c r="E4" s="155" t="s">
        <v>124</v>
      </c>
      <c r="F4" s="427" t="s">
        <v>125</v>
      </c>
      <c r="G4" s="428"/>
      <c r="H4" s="157" t="s">
        <v>126</v>
      </c>
      <c r="I4" s="140" t="s">
        <v>127</v>
      </c>
      <c r="J4" s="134" t="s">
        <v>128</v>
      </c>
      <c r="K4" s="135" t="s">
        <v>129</v>
      </c>
      <c r="L4" s="141" t="s">
        <v>134</v>
      </c>
      <c r="M4" s="361" t="s">
        <v>130</v>
      </c>
      <c r="N4" s="354" t="s">
        <v>131</v>
      </c>
    </row>
    <row r="5" spans="1:14">
      <c r="A5" s="245"/>
      <c r="B5" s="172"/>
      <c r="C5" s="102"/>
      <c r="D5" s="159"/>
      <c r="E5" s="110"/>
      <c r="F5" s="102"/>
      <c r="G5" s="101"/>
      <c r="H5" s="100"/>
      <c r="I5" s="118"/>
      <c r="J5" s="119"/>
      <c r="K5" s="120"/>
      <c r="L5" s="121"/>
      <c r="M5" s="362"/>
      <c r="N5" s="355"/>
    </row>
    <row r="6" spans="1:14">
      <c r="A6" s="246"/>
      <c r="B6" s="247" t="s">
        <v>135</v>
      </c>
      <c r="C6" s="188"/>
      <c r="D6" s="189" t="str">
        <f>'[2]shipper master'!C36</f>
        <v>FABRIC &amp; PARTS FOR WEAR</v>
      </c>
      <c r="E6" s="248"/>
      <c r="F6" s="249"/>
      <c r="G6" s="190" t="str">
        <f>'[2]shipper master'!C48</f>
        <v>F.O.B. TOKYO IN YEN</v>
      </c>
      <c r="H6" s="106"/>
      <c r="I6" s="250"/>
      <c r="J6" s="251"/>
      <c r="K6" s="95"/>
      <c r="L6" s="97"/>
      <c r="M6" s="363"/>
      <c r="N6" s="356"/>
    </row>
    <row r="7" spans="1:14">
      <c r="A7" s="246"/>
      <c r="B7" s="187"/>
      <c r="C7" s="188"/>
      <c r="D7" s="189" t="s">
        <v>141</v>
      </c>
      <c r="E7" s="189"/>
      <c r="F7" s="188"/>
      <c r="G7" s="190"/>
      <c r="H7" s="106"/>
      <c r="I7" s="252"/>
      <c r="J7" s="106"/>
      <c r="K7" s="253"/>
      <c r="L7" s="138"/>
      <c r="M7" s="364"/>
      <c r="N7" s="356"/>
    </row>
    <row r="8" spans="1:14" ht="15.5" thickBot="1">
      <c r="A8" s="254"/>
      <c r="B8" s="146"/>
      <c r="C8" s="146"/>
      <c r="D8" s="132"/>
      <c r="E8" s="131"/>
      <c r="F8" s="89"/>
      <c r="G8" s="136"/>
      <c r="H8" s="173"/>
      <c r="I8" s="255"/>
      <c r="J8" s="260"/>
      <c r="K8" s="130"/>
      <c r="L8" s="129"/>
      <c r="M8" s="126"/>
      <c r="N8" s="357"/>
    </row>
    <row r="9" spans="1:14" ht="15.5" thickBot="1">
      <c r="A9" s="386"/>
      <c r="B9" s="387"/>
      <c r="C9" s="388"/>
      <c r="D9" s="389"/>
      <c r="E9" s="266"/>
      <c r="F9" s="390"/>
      <c r="G9" s="391"/>
      <c r="H9" s="391"/>
      <c r="I9" s="392"/>
      <c r="J9" s="393"/>
      <c r="K9" s="130"/>
      <c r="L9" s="129"/>
      <c r="M9" s="242"/>
      <c r="N9" s="358"/>
    </row>
    <row r="10" spans="1:14" ht="16" customHeight="1" thickBot="1">
      <c r="A10" s="432">
        <v>2</v>
      </c>
      <c r="B10" s="256"/>
      <c r="C10" s="257"/>
      <c r="D10" s="460" t="s">
        <v>180</v>
      </c>
      <c r="E10" s="259"/>
      <c r="F10" s="259"/>
      <c r="G10" s="257"/>
      <c r="H10" s="452"/>
      <c r="I10" s="446"/>
      <c r="J10" s="411"/>
      <c r="K10" s="130"/>
      <c r="L10" s="129"/>
      <c r="M10" s="242"/>
      <c r="N10" s="358"/>
    </row>
    <row r="11" spans="1:14" ht="16.5">
      <c r="A11" s="433"/>
      <c r="B11" s="337" t="s">
        <v>157</v>
      </c>
      <c r="C11" s="343"/>
      <c r="D11" s="324" t="s">
        <v>170</v>
      </c>
      <c r="E11" s="89">
        <v>100</v>
      </c>
      <c r="F11" s="167" t="s">
        <v>121</v>
      </c>
      <c r="G11" s="347">
        <v>70</v>
      </c>
      <c r="H11" s="459">
        <f>E11*G11</f>
        <v>7000</v>
      </c>
      <c r="I11" s="447"/>
      <c r="J11" s="382"/>
      <c r="K11" s="130"/>
      <c r="L11" s="129"/>
      <c r="M11" s="125"/>
      <c r="N11" s="357"/>
    </row>
    <row r="12" spans="1:14" ht="16.5" customHeight="1">
      <c r="A12" s="433"/>
      <c r="B12" s="331" t="s">
        <v>169</v>
      </c>
      <c r="C12" s="328"/>
      <c r="D12" s="324" t="s">
        <v>168</v>
      </c>
      <c r="E12" s="106">
        <v>100</v>
      </c>
      <c r="F12" s="161" t="s">
        <v>121</v>
      </c>
      <c r="G12" s="347">
        <v>20</v>
      </c>
      <c r="H12" s="453">
        <f>E12*G12</f>
        <v>2000</v>
      </c>
      <c r="I12" s="447"/>
      <c r="J12" s="382"/>
      <c r="K12" s="130"/>
      <c r="L12" s="129"/>
      <c r="M12" s="125"/>
      <c r="N12" s="357"/>
    </row>
    <row r="13" spans="1:14">
      <c r="A13" s="433"/>
      <c r="B13" s="333" t="s">
        <v>171</v>
      </c>
      <c r="C13" s="328" t="s">
        <v>174</v>
      </c>
      <c r="D13" s="408"/>
      <c r="E13" s="100">
        <v>1</v>
      </c>
      <c r="F13" s="161" t="s">
        <v>121</v>
      </c>
      <c r="G13" s="409">
        <v>1500</v>
      </c>
      <c r="H13" s="454">
        <f t="shared" ref="H13" si="0">E13*G13</f>
        <v>1500</v>
      </c>
      <c r="I13" s="448"/>
      <c r="J13" s="381"/>
      <c r="K13" s="130"/>
      <c r="L13" s="129"/>
      <c r="M13" s="125"/>
      <c r="N13" s="357"/>
    </row>
    <row r="14" spans="1:14">
      <c r="A14" s="433"/>
      <c r="B14" s="333" t="s">
        <v>172</v>
      </c>
      <c r="C14" s="328" t="s">
        <v>175</v>
      </c>
      <c r="D14" s="408"/>
      <c r="E14" s="100">
        <v>1</v>
      </c>
      <c r="F14" s="161" t="s">
        <v>121</v>
      </c>
      <c r="G14" s="409">
        <v>1500</v>
      </c>
      <c r="H14" s="454">
        <f t="shared" ref="H14" si="1">E14*G14</f>
        <v>1500</v>
      </c>
      <c r="I14" s="448"/>
      <c r="J14" s="381"/>
      <c r="K14" s="130"/>
      <c r="L14" s="129"/>
      <c r="M14" s="125"/>
      <c r="N14" s="357"/>
    </row>
    <row r="15" spans="1:14">
      <c r="A15" s="433"/>
      <c r="B15" s="333" t="s">
        <v>158</v>
      </c>
      <c r="C15" s="328"/>
      <c r="D15" s="408"/>
      <c r="E15" s="100">
        <v>5</v>
      </c>
      <c r="F15" s="161" t="s">
        <v>121</v>
      </c>
      <c r="G15" s="409">
        <v>700</v>
      </c>
      <c r="H15" s="454">
        <f>E15*G15</f>
        <v>3500</v>
      </c>
      <c r="I15" s="449"/>
      <c r="J15" s="108"/>
      <c r="K15" s="130"/>
      <c r="L15" s="129"/>
      <c r="M15" s="242"/>
      <c r="N15" s="358"/>
    </row>
    <row r="16" spans="1:14" ht="16.5">
      <c r="A16" s="433"/>
      <c r="B16" s="331" t="s">
        <v>173</v>
      </c>
      <c r="C16" s="329"/>
      <c r="D16" s="408" t="s">
        <v>176</v>
      </c>
      <c r="E16" s="106">
        <v>235</v>
      </c>
      <c r="F16" s="365" t="s">
        <v>121</v>
      </c>
      <c r="G16" s="379">
        <v>200</v>
      </c>
      <c r="H16" s="453">
        <f>E16*G16</f>
        <v>47000</v>
      </c>
      <c r="I16" s="450"/>
      <c r="J16" s="383"/>
      <c r="K16" s="130"/>
      <c r="L16" s="129"/>
      <c r="M16" s="125"/>
      <c r="N16" s="357"/>
    </row>
    <row r="17" spans="1:14">
      <c r="A17" s="433"/>
      <c r="B17" s="331" t="s">
        <v>177</v>
      </c>
      <c r="C17" s="329" t="s">
        <v>175</v>
      </c>
      <c r="D17" s="445"/>
      <c r="E17" s="106">
        <v>340</v>
      </c>
      <c r="F17" s="365" t="s">
        <v>121</v>
      </c>
      <c r="G17" s="379">
        <v>20</v>
      </c>
      <c r="H17" s="453">
        <f>E17*G17</f>
        <v>6800</v>
      </c>
      <c r="I17" s="450"/>
      <c r="J17" s="383"/>
      <c r="K17" s="130"/>
      <c r="L17" s="129"/>
      <c r="M17" s="125"/>
      <c r="N17" s="357"/>
    </row>
    <row r="18" spans="1:14" ht="15.5" thickBot="1">
      <c r="A18" s="455"/>
      <c r="B18" s="332" t="s">
        <v>178</v>
      </c>
      <c r="C18" s="330"/>
      <c r="D18" s="444"/>
      <c r="E18" s="103">
        <v>340</v>
      </c>
      <c r="F18" s="338" t="s">
        <v>121</v>
      </c>
      <c r="G18" s="261">
        <v>20</v>
      </c>
      <c r="H18" s="456">
        <f>E18*G18</f>
        <v>6800</v>
      </c>
      <c r="I18" s="451"/>
      <c r="J18" s="380"/>
      <c r="K18" s="130"/>
      <c r="L18" s="129"/>
      <c r="M18" s="125"/>
      <c r="N18" s="357"/>
    </row>
    <row r="19" spans="1:14" ht="15.5" thickBot="1">
      <c r="A19" s="410"/>
      <c r="B19" s="373"/>
      <c r="C19" s="374"/>
      <c r="D19" s="375"/>
      <c r="E19" s="371"/>
      <c r="F19" s="203"/>
      <c r="G19" s="369"/>
      <c r="H19" s="369"/>
      <c r="I19" s="370"/>
      <c r="J19" s="376"/>
      <c r="K19" s="130"/>
      <c r="L19" s="129"/>
      <c r="M19" s="125"/>
      <c r="N19" s="357"/>
    </row>
    <row r="20" spans="1:14">
      <c r="A20" s="166"/>
      <c r="B20" s="152" t="s">
        <v>132</v>
      </c>
      <c r="C20" s="233" t="s">
        <v>179</v>
      </c>
      <c r="D20" s="117"/>
      <c r="E20" s="262">
        <f>SUMIF($F$9:$F$16,"M.",$E$9:$E$16)</f>
        <v>0</v>
      </c>
      <c r="F20" s="167" t="s">
        <v>120</v>
      </c>
      <c r="G20" s="124"/>
      <c r="H20" s="325">
        <f>SUMIF($F$9:$F$16,"M.",$H$9:$H$16)</f>
        <v>0</v>
      </c>
      <c r="I20" s="124"/>
      <c r="J20" s="339"/>
      <c r="K20" s="242"/>
      <c r="L20" s="168"/>
      <c r="M20" s="123"/>
      <c r="N20" s="359"/>
    </row>
    <row r="21" spans="1:14">
      <c r="A21" s="101"/>
      <c r="B21" s="144"/>
      <c r="C21" s="100"/>
      <c r="D21" s="162"/>
      <c r="E21" s="160">
        <f>SUMIF($F$9:$F$16,"PCS.",$E$9:$E$16)</f>
        <v>442</v>
      </c>
      <c r="F21" s="161" t="s">
        <v>121</v>
      </c>
      <c r="G21" s="115"/>
      <c r="H21" s="326">
        <f>SUMIF($F$9:$F$16,"PCS.",$H$9:$H$16)</f>
        <v>62500</v>
      </c>
      <c r="I21" s="101"/>
      <c r="J21" s="327"/>
      <c r="K21" s="125"/>
      <c r="L21" s="165"/>
      <c r="M21" s="100"/>
      <c r="N21" s="360"/>
    </row>
    <row r="22" spans="1:14" ht="15.5" thickBot="1">
      <c r="A22" s="129"/>
      <c r="B22" s="144"/>
      <c r="C22" s="100"/>
      <c r="D22" s="163"/>
      <c r="E22" s="340">
        <f>E20</f>
        <v>0</v>
      </c>
      <c r="F22" s="348">
        <f>E21</f>
        <v>442</v>
      </c>
      <c r="G22" s="385"/>
      <c r="H22" s="164">
        <f>SUM(H20:H21)</f>
        <v>62500</v>
      </c>
      <c r="I22" s="101"/>
      <c r="J22" s="327"/>
      <c r="K22" s="125"/>
      <c r="L22" s="165"/>
      <c r="M22" s="100"/>
      <c r="N22" s="360"/>
    </row>
    <row r="23" spans="1:14" ht="13.9" customHeight="1" thickBot="1">
      <c r="A23" s="344"/>
      <c r="B23" s="264" t="s">
        <v>132</v>
      </c>
      <c r="C23" s="263"/>
      <c r="D23" s="263"/>
      <c r="E23" s="264"/>
      <c r="F23" s="265"/>
      <c r="G23" s="266" t="s">
        <v>146</v>
      </c>
      <c r="H23" s="267">
        <f>SUM(H9:H16)</f>
        <v>62500</v>
      </c>
      <c r="I23" s="268"/>
      <c r="J23" s="269"/>
      <c r="K23" s="130"/>
      <c r="L23" s="129"/>
      <c r="M23" s="125"/>
      <c r="N23" s="357"/>
    </row>
    <row r="24" spans="1:14">
      <c r="A24" s="206"/>
      <c r="B24" s="26"/>
      <c r="C24" s="270"/>
      <c r="D24" s="3"/>
      <c r="E24" s="271"/>
      <c r="F24" s="209"/>
      <c r="G24" s="272"/>
      <c r="H24" s="273"/>
      <c r="I24" s="71"/>
      <c r="J24" s="70"/>
      <c r="K24"/>
      <c r="L24"/>
      <c r="M24" s="70"/>
      <c r="N24" s="70"/>
    </row>
    <row r="25" spans="1:14">
      <c r="A25" s="206"/>
      <c r="B25" s="26"/>
      <c r="C25" s="270"/>
      <c r="D25" s="3"/>
      <c r="E25" s="271"/>
      <c r="F25" s="209"/>
      <c r="G25" s="272"/>
      <c r="H25" s="273"/>
      <c r="I25" s="71"/>
      <c r="J25" s="70"/>
      <c r="K25"/>
      <c r="L25"/>
      <c r="M25" s="70"/>
      <c r="N25" s="70"/>
    </row>
    <row r="26" spans="1:14">
      <c r="A26" s="206"/>
      <c r="B26" s="26"/>
      <c r="C26" s="270"/>
      <c r="D26" s="3"/>
      <c r="E26" s="271"/>
      <c r="F26" s="209"/>
      <c r="G26" s="272"/>
      <c r="H26" s="273"/>
      <c r="I26" s="71"/>
      <c r="J26" s="70"/>
      <c r="K26"/>
      <c r="L26"/>
      <c r="M26" s="70"/>
      <c r="N26" s="70"/>
    </row>
    <row r="27" spans="1:14">
      <c r="A27" s="206"/>
      <c r="B27" s="26"/>
      <c r="C27" s="270"/>
      <c r="D27" s="3"/>
      <c r="E27" s="271"/>
      <c r="F27" s="70"/>
      <c r="G27" s="272"/>
      <c r="H27" s="273"/>
      <c r="I27" s="71"/>
      <c r="J27" s="70"/>
      <c r="K27"/>
      <c r="L27"/>
      <c r="M27" s="70"/>
      <c r="N27" s="70"/>
    </row>
    <row r="28" spans="1:14">
      <c r="A28" s="206"/>
      <c r="B28" s="274"/>
      <c r="C28" s="70"/>
      <c r="D28" s="3"/>
      <c r="E28" s="275"/>
      <c r="F28" s="276"/>
      <c r="G28" s="277"/>
      <c r="H28" s="273"/>
      <c r="I28" s="71"/>
      <c r="J28" s="70"/>
      <c r="K28"/>
      <c r="L28"/>
      <c r="M28" s="70"/>
      <c r="N28" s="70"/>
    </row>
    <row r="29" spans="1:14">
      <c r="A29" s="206"/>
      <c r="B29" s="26"/>
      <c r="C29" s="270"/>
      <c r="D29" s="3"/>
      <c r="E29" s="271"/>
      <c r="F29" s="209"/>
      <c r="G29" s="272"/>
      <c r="H29" s="273"/>
      <c r="I29" s="71"/>
      <c r="J29" s="70"/>
      <c r="K29"/>
      <c r="L29"/>
      <c r="M29" s="70"/>
      <c r="N29" s="70"/>
    </row>
    <row r="30" spans="1:14" s="279" customFormat="1">
      <c r="A30" s="206"/>
      <c r="B30" s="274"/>
      <c r="C30" s="70"/>
      <c r="D30" s="3"/>
      <c r="E30" s="275"/>
      <c r="F30" s="276"/>
      <c r="G30" s="277"/>
      <c r="H30" s="273"/>
      <c r="I30" s="278"/>
      <c r="J30"/>
      <c r="K30"/>
      <c r="L30"/>
      <c r="M30" s="70"/>
      <c r="N30" s="70"/>
    </row>
    <row r="31" spans="1:14" s="279" customFormat="1">
      <c r="A31" s="206"/>
      <c r="B31" s="274"/>
      <c r="C31" s="70"/>
      <c r="D31" s="3"/>
      <c r="E31" s="275"/>
      <c r="F31" s="276"/>
      <c r="G31" s="277"/>
      <c r="H31" s="273"/>
      <c r="I31" s="278"/>
      <c r="J31"/>
      <c r="K31"/>
      <c r="L31"/>
      <c r="M31" s="70"/>
      <c r="N31" s="70"/>
    </row>
    <row r="32" spans="1:14">
      <c r="A32" s="206"/>
      <c r="B32" s="274"/>
      <c r="C32" s="70"/>
      <c r="D32" s="3"/>
      <c r="E32" s="275"/>
      <c r="F32" s="276"/>
      <c r="G32" s="277"/>
      <c r="H32" s="273"/>
      <c r="I32" s="278"/>
      <c r="K32"/>
      <c r="L32"/>
      <c r="M32" s="70"/>
      <c r="N32" s="70"/>
    </row>
    <row r="33" spans="1:14" ht="13.9" customHeight="1">
      <c r="A33" s="280"/>
      <c r="B33" s="281"/>
      <c r="C33" s="282"/>
      <c r="D33" s="283"/>
      <c r="E33" s="284"/>
      <c r="F33" s="284"/>
      <c r="G33" s="282"/>
      <c r="H33" s="1"/>
      <c r="I33" s="71"/>
      <c r="J33" s="285"/>
      <c r="K33"/>
      <c r="L33"/>
      <c r="M33" s="70"/>
      <c r="N33" s="70"/>
    </row>
    <row r="34" spans="1:14">
      <c r="A34" s="206"/>
      <c r="B34" s="26"/>
      <c r="C34" s="270"/>
      <c r="D34" s="3"/>
      <c r="E34" s="271"/>
      <c r="F34" s="209"/>
      <c r="G34" s="272"/>
      <c r="H34" s="273"/>
      <c r="I34" s="71"/>
      <c r="J34" s="70"/>
      <c r="K34"/>
      <c r="L34"/>
      <c r="M34" s="70"/>
      <c r="N34" s="70"/>
    </row>
    <row r="35" spans="1:14">
      <c r="A35" s="206"/>
      <c r="B35" s="26"/>
      <c r="C35" s="270"/>
      <c r="D35" s="3"/>
      <c r="E35" s="271"/>
      <c r="F35" s="209"/>
      <c r="G35" s="272"/>
      <c r="H35" s="273"/>
      <c r="I35" s="71"/>
      <c r="J35" s="70"/>
      <c r="K35"/>
      <c r="L35"/>
      <c r="M35" s="70"/>
      <c r="N35" s="70"/>
    </row>
    <row r="36" spans="1:14">
      <c r="A36" s="206"/>
      <c r="B36" s="26"/>
      <c r="C36" s="270"/>
      <c r="D36" s="3"/>
      <c r="E36" s="271"/>
      <c r="F36" s="209"/>
      <c r="G36" s="272"/>
      <c r="H36" s="273"/>
      <c r="I36" s="71"/>
      <c r="J36" s="70"/>
      <c r="K36"/>
      <c r="L36"/>
      <c r="M36" s="70"/>
      <c r="N36" s="70"/>
    </row>
    <row r="37" spans="1:14">
      <c r="A37" s="19"/>
      <c r="B37" s="286"/>
      <c r="C37" s="70"/>
      <c r="D37" s="3"/>
      <c r="E37" s="275"/>
      <c r="F37" s="276"/>
      <c r="G37" s="277"/>
      <c r="H37" s="273"/>
      <c r="I37" s="71"/>
      <c r="J37" s="70"/>
      <c r="K37"/>
      <c r="L37"/>
      <c r="M37" s="70"/>
      <c r="N37" s="70"/>
    </row>
    <row r="38" spans="1:14">
      <c r="A38" s="206"/>
      <c r="B38" s="26"/>
      <c r="C38" s="270"/>
      <c r="D38" s="3"/>
      <c r="E38" s="271"/>
      <c r="F38" s="276"/>
      <c r="G38" s="277"/>
      <c r="H38" s="273"/>
      <c r="I38" s="71"/>
      <c r="J38" s="70"/>
      <c r="K38"/>
      <c r="L38"/>
      <c r="M38" s="70"/>
      <c r="N38" s="70"/>
    </row>
    <row r="39" spans="1:14">
      <c r="A39" s="206"/>
      <c r="B39" s="26"/>
      <c r="C39" s="270"/>
      <c r="D39" s="3"/>
      <c r="E39" s="271"/>
      <c r="F39" s="276"/>
      <c r="G39" s="277"/>
      <c r="H39" s="273"/>
      <c r="I39" s="71"/>
      <c r="J39" s="70"/>
      <c r="K39"/>
      <c r="L39"/>
      <c r="M39" s="70"/>
      <c r="N39" s="70"/>
    </row>
    <row r="40" spans="1:14">
      <c r="A40" s="287"/>
      <c r="B40" s="288"/>
      <c r="C40" s="289"/>
      <c r="D40" s="290"/>
      <c r="E40" s="291"/>
      <c r="F40" s="292"/>
      <c r="G40" s="293"/>
      <c r="H40" s="294"/>
      <c r="K40"/>
      <c r="L40"/>
      <c r="M40"/>
      <c r="N40"/>
    </row>
    <row r="41" spans="1:14">
      <c r="A41" s="206"/>
      <c r="B41" s="26"/>
      <c r="C41" s="270"/>
      <c r="D41" s="3"/>
      <c r="E41" s="271"/>
      <c r="F41" s="209"/>
      <c r="G41" s="272"/>
      <c r="H41" s="273"/>
      <c r="I41" s="71"/>
      <c r="J41" s="70"/>
      <c r="K41"/>
      <c r="L41"/>
      <c r="M41" s="70"/>
      <c r="N41" s="70"/>
    </row>
    <row r="42" spans="1:14">
      <c r="A42" s="206"/>
      <c r="B42" s="26"/>
      <c r="C42" s="270"/>
      <c r="D42" s="3"/>
      <c r="E42" s="271"/>
      <c r="F42" s="70"/>
      <c r="G42" s="272"/>
      <c r="H42" s="273"/>
      <c r="I42" s="71"/>
      <c r="J42" s="70"/>
      <c r="K42"/>
      <c r="L42"/>
      <c r="M42" s="70"/>
      <c r="N42" s="70"/>
    </row>
    <row r="43" spans="1:14">
      <c r="A43" s="206"/>
      <c r="B43" s="274"/>
      <c r="C43" s="70"/>
      <c r="D43" s="3"/>
      <c r="E43" s="275"/>
      <c r="F43" s="276"/>
      <c r="G43" s="277"/>
      <c r="H43" s="273"/>
      <c r="I43" s="71"/>
      <c r="J43" s="70"/>
      <c r="K43"/>
      <c r="L43"/>
      <c r="M43" s="70"/>
      <c r="N43" s="70"/>
    </row>
    <row r="44" spans="1:14">
      <c r="A44" s="206"/>
      <c r="B44" s="26"/>
      <c r="C44" s="270"/>
      <c r="D44" s="3"/>
      <c r="E44" s="271"/>
      <c r="F44" s="209"/>
      <c r="G44" s="272"/>
      <c r="H44" s="273"/>
      <c r="I44" s="71"/>
      <c r="J44" s="70"/>
      <c r="K44"/>
      <c r="L44"/>
      <c r="M44" s="70"/>
      <c r="N44" s="70"/>
    </row>
    <row r="45" spans="1:14" s="279" customFormat="1">
      <c r="A45" s="206"/>
      <c r="B45" s="274"/>
      <c r="C45" s="70"/>
      <c r="D45" s="3"/>
      <c r="E45" s="275"/>
      <c r="F45" s="276"/>
      <c r="G45" s="277"/>
      <c r="H45" s="273"/>
      <c r="I45" s="278"/>
      <c r="J45"/>
      <c r="K45"/>
      <c r="L45"/>
      <c r="M45" s="70"/>
      <c r="N45" s="70"/>
    </row>
    <row r="46" spans="1:14">
      <c r="A46" s="206"/>
      <c r="B46" s="26"/>
      <c r="C46" s="270"/>
      <c r="D46" s="3"/>
      <c r="E46" s="271"/>
      <c r="F46" s="209"/>
      <c r="G46" s="272"/>
      <c r="H46" s="273"/>
      <c r="I46" s="71"/>
      <c r="J46" s="70"/>
      <c r="K46"/>
      <c r="L46"/>
      <c r="M46" s="70"/>
      <c r="N46" s="70"/>
    </row>
    <row r="47" spans="1:14" ht="13.9" customHeight="1">
      <c r="A47" s="280"/>
      <c r="B47" s="281"/>
      <c r="C47" s="282"/>
      <c r="D47" s="283"/>
      <c r="E47" s="295"/>
      <c r="F47" s="295"/>
      <c r="G47" s="296"/>
      <c r="H47" s="297"/>
      <c r="I47" s="71"/>
      <c r="J47" s="285"/>
      <c r="K47"/>
      <c r="L47"/>
      <c r="M47" s="70"/>
      <c r="N47" s="70"/>
    </row>
    <row r="48" spans="1:14" ht="13.9" customHeight="1">
      <c r="A48" s="280"/>
      <c r="B48" s="274"/>
      <c r="C48" s="70"/>
      <c r="D48" s="298"/>
      <c r="E48" s="299"/>
      <c r="F48" s="300"/>
      <c r="G48" s="301"/>
      <c r="H48" s="302"/>
      <c r="I48" s="71"/>
      <c r="J48" s="285"/>
      <c r="K48"/>
      <c r="L48"/>
      <c r="M48" s="70"/>
      <c r="N48" s="70"/>
    </row>
    <row r="49" spans="1:14" ht="13.9" customHeight="1">
      <c r="A49" s="280"/>
      <c r="B49" s="274"/>
      <c r="C49" s="70"/>
      <c r="D49" s="298"/>
      <c r="E49" s="299"/>
      <c r="F49" s="300"/>
      <c r="G49" s="301"/>
      <c r="H49" s="302"/>
      <c r="I49" s="71"/>
      <c r="J49" s="285"/>
      <c r="K49"/>
      <c r="L49"/>
      <c r="M49" s="70"/>
      <c r="N49" s="70"/>
    </row>
    <row r="50" spans="1:14">
      <c r="A50" s="206"/>
      <c r="B50" s="274"/>
      <c r="C50" s="70"/>
      <c r="D50" s="298"/>
      <c r="E50" s="299"/>
      <c r="F50" s="300"/>
      <c r="G50" s="301"/>
      <c r="H50" s="302"/>
      <c r="I50" s="278"/>
      <c r="K50"/>
      <c r="L50"/>
      <c r="M50" s="70"/>
      <c r="N50" s="70"/>
    </row>
    <row r="51" spans="1:14" ht="13.9" customHeight="1">
      <c r="A51" s="280"/>
      <c r="B51" s="281"/>
      <c r="C51" s="282"/>
      <c r="D51" s="283"/>
      <c r="E51" s="295"/>
      <c r="F51" s="295"/>
      <c r="G51" s="296"/>
      <c r="H51" s="297"/>
      <c r="I51" s="71"/>
      <c r="J51" s="285"/>
      <c r="K51"/>
      <c r="L51"/>
      <c r="M51" s="70"/>
      <c r="N51" s="70"/>
    </row>
    <row r="52" spans="1:14">
      <c r="A52" s="206"/>
      <c r="B52" s="26"/>
      <c r="C52" s="270"/>
      <c r="D52" s="298"/>
      <c r="E52" s="303"/>
      <c r="F52" s="304"/>
      <c r="G52" s="305"/>
      <c r="H52" s="302"/>
      <c r="I52" s="71"/>
      <c r="J52" s="70"/>
      <c r="K52"/>
      <c r="L52"/>
      <c r="M52" s="70"/>
      <c r="N52" s="70"/>
    </row>
    <row r="53" spans="1:14">
      <c r="A53" s="206"/>
      <c r="B53" s="26"/>
      <c r="C53" s="270"/>
      <c r="D53" s="298"/>
      <c r="E53" s="303"/>
      <c r="F53" s="304"/>
      <c r="G53" s="305"/>
      <c r="H53" s="302"/>
      <c r="I53" s="71"/>
      <c r="J53" s="70"/>
      <c r="K53"/>
      <c r="L53"/>
      <c r="M53" s="70"/>
      <c r="N53" s="70"/>
    </row>
    <row r="54" spans="1:14">
      <c r="A54" s="206"/>
      <c r="B54" s="26"/>
      <c r="C54" s="270"/>
      <c r="D54" s="298"/>
      <c r="E54" s="303"/>
      <c r="F54" s="304"/>
      <c r="G54" s="305"/>
      <c r="H54" s="302"/>
      <c r="I54" s="71"/>
      <c r="J54" s="70"/>
      <c r="K54"/>
      <c r="L54"/>
      <c r="M54" s="70"/>
      <c r="N54" s="70"/>
    </row>
    <row r="55" spans="1:14">
      <c r="A55" s="19"/>
      <c r="B55" s="286"/>
      <c r="C55" s="70"/>
      <c r="D55" s="298"/>
      <c r="E55" s="299"/>
      <c r="F55" s="300"/>
      <c r="G55" s="301"/>
      <c r="H55" s="302"/>
      <c r="I55" s="71"/>
      <c r="J55" s="70"/>
      <c r="K55"/>
      <c r="L55"/>
      <c r="M55" s="70"/>
      <c r="N55" s="70"/>
    </row>
    <row r="56" spans="1:14">
      <c r="A56" s="206"/>
      <c r="B56" s="26"/>
      <c r="C56" s="270"/>
      <c r="D56" s="298"/>
      <c r="E56" s="303"/>
      <c r="F56" s="300"/>
      <c r="G56" s="301"/>
      <c r="H56" s="302"/>
      <c r="I56" s="71"/>
      <c r="J56" s="70"/>
      <c r="K56"/>
      <c r="L56"/>
      <c r="M56" s="70"/>
      <c r="N56" s="70"/>
    </row>
    <row r="57" spans="1:14">
      <c r="A57" s="206"/>
      <c r="B57" s="26"/>
      <c r="C57" s="270"/>
      <c r="D57" s="298"/>
      <c r="E57" s="303"/>
      <c r="F57" s="306"/>
      <c r="G57" s="305"/>
      <c r="H57" s="302"/>
      <c r="I57" s="71"/>
      <c r="J57" s="70"/>
      <c r="K57"/>
      <c r="L57"/>
      <c r="M57" s="70"/>
      <c r="N57" s="70"/>
    </row>
    <row r="58" spans="1:14">
      <c r="A58" s="206"/>
      <c r="B58" s="274"/>
      <c r="C58" s="70"/>
      <c r="D58" s="298"/>
      <c r="E58" s="299"/>
      <c r="F58" s="300"/>
      <c r="G58" s="301"/>
      <c r="H58" s="302"/>
      <c r="I58" s="71"/>
      <c r="J58" s="70"/>
      <c r="K58"/>
      <c r="L58"/>
      <c r="M58" s="70"/>
      <c r="N58" s="70"/>
    </row>
    <row r="59" spans="1:14">
      <c r="A59" s="206"/>
      <c r="B59" s="26"/>
      <c r="C59" s="270"/>
      <c r="D59" s="298"/>
      <c r="E59" s="303"/>
      <c r="F59" s="300"/>
      <c r="G59" s="305"/>
      <c r="H59" s="302"/>
      <c r="I59" s="71"/>
      <c r="J59" s="70"/>
      <c r="K59"/>
      <c r="L59"/>
      <c r="M59" s="70"/>
      <c r="N59" s="70"/>
    </row>
    <row r="60" spans="1:14">
      <c r="A60" s="206"/>
      <c r="B60" s="26"/>
      <c r="C60" s="270"/>
      <c r="D60" s="298"/>
      <c r="E60" s="303"/>
      <c r="F60" s="300"/>
      <c r="G60" s="305"/>
      <c r="H60" s="302"/>
      <c r="I60" s="71"/>
      <c r="J60" s="70"/>
      <c r="K60"/>
      <c r="L60"/>
      <c r="M60" s="70"/>
      <c r="N60" s="70"/>
    </row>
    <row r="61" spans="1:14">
      <c r="A61" s="206"/>
      <c r="B61" s="281"/>
      <c r="C61" s="281"/>
      <c r="D61" s="283"/>
      <c r="E61" s="307"/>
      <c r="F61" s="295"/>
      <c r="G61" s="296"/>
      <c r="H61" s="297"/>
      <c r="I61" s="71"/>
      <c r="J61" s="285"/>
      <c r="K61"/>
      <c r="L61"/>
      <c r="M61" s="70"/>
      <c r="N61" s="70"/>
    </row>
    <row r="62" spans="1:14">
      <c r="A62" s="308"/>
      <c r="B62" s="70"/>
      <c r="C62" s="70"/>
      <c r="D62" s="298"/>
      <c r="E62" s="299"/>
      <c r="F62" s="300"/>
      <c r="G62" s="305"/>
      <c r="H62" s="302"/>
      <c r="I62" s="71"/>
      <c r="J62" s="285"/>
      <c r="K62"/>
      <c r="L62"/>
      <c r="M62" s="70"/>
      <c r="N62" s="70"/>
    </row>
    <row r="63" spans="1:14">
      <c r="A63" s="309"/>
      <c r="B63" s="281"/>
      <c r="C63" s="281"/>
      <c r="D63" s="283"/>
      <c r="E63" s="299"/>
      <c r="F63" s="306"/>
      <c r="G63" s="305"/>
      <c r="H63" s="302"/>
      <c r="K63"/>
      <c r="L63"/>
      <c r="M63" s="70"/>
      <c r="N63" s="70"/>
    </row>
    <row r="64" spans="1:14">
      <c r="A64" s="310"/>
      <c r="B64" s="70"/>
      <c r="C64" s="70"/>
      <c r="D64" s="311"/>
      <c r="E64" s="299"/>
      <c r="F64" s="306"/>
      <c r="G64" s="305"/>
      <c r="H64" s="302"/>
      <c r="I64" s="312"/>
      <c r="J64" s="313"/>
      <c r="K64"/>
      <c r="L64"/>
      <c r="M64" s="70"/>
      <c r="N64" s="70"/>
    </row>
    <row r="65" spans="1:14">
      <c r="A65" s="26"/>
      <c r="B65" s="26"/>
      <c r="C65" s="70"/>
      <c r="D65" s="311"/>
      <c r="E65" s="303"/>
      <c r="F65" s="306"/>
      <c r="G65" s="305"/>
      <c r="H65" s="302"/>
      <c r="K65"/>
      <c r="L65"/>
      <c r="M65" s="70"/>
      <c r="N65" s="70"/>
    </row>
    <row r="66" spans="1:14">
      <c r="A66" s="314"/>
      <c r="B66" s="153"/>
      <c r="C66" s="114"/>
      <c r="D66" s="298"/>
      <c r="E66" s="315"/>
      <c r="F66" s="304"/>
      <c r="G66" s="302"/>
      <c r="H66" s="315"/>
      <c r="I66" s="273"/>
      <c r="J66" s="3"/>
      <c r="K66" s="70"/>
      <c r="L66" s="43"/>
      <c r="M66" s="70"/>
    </row>
    <row r="67" spans="1:14">
      <c r="A67" s="3"/>
      <c r="B67" s="153"/>
      <c r="C67" s="70"/>
      <c r="D67" s="236"/>
      <c r="E67" s="315"/>
      <c r="F67" s="304"/>
      <c r="G67" s="302"/>
      <c r="H67" s="315"/>
      <c r="I67" s="3"/>
      <c r="J67" s="3"/>
      <c r="K67" s="70"/>
      <c r="L67" s="43"/>
      <c r="M67" s="70"/>
    </row>
    <row r="68" spans="1:14">
      <c r="A68" s="279"/>
      <c r="B68" s="316"/>
      <c r="C68" s="241"/>
      <c r="D68" s="317"/>
      <c r="E68" s="318"/>
      <c r="F68" s="319"/>
      <c r="G68" s="320"/>
      <c r="H68" s="321"/>
      <c r="I68" s="8"/>
      <c r="J68" s="8"/>
      <c r="K68" s="241"/>
      <c r="L68" s="322"/>
      <c r="M68" s="241"/>
      <c r="N68" s="323"/>
    </row>
    <row r="69" spans="1:14">
      <c r="E69" s="112"/>
      <c r="F69" s="112"/>
      <c r="G69" s="112"/>
      <c r="H69" s="113"/>
    </row>
    <row r="72" spans="1:14">
      <c r="C72" s="112"/>
      <c r="D72" s="112"/>
      <c r="I72" s="112"/>
      <c r="J72" s="112"/>
      <c r="K72" s="113"/>
      <c r="L72" s="112"/>
    </row>
    <row r="73" spans="1:14">
      <c r="C73" s="112"/>
      <c r="D73" s="112"/>
      <c r="I73" s="112"/>
      <c r="J73" s="112"/>
      <c r="K73" s="113"/>
      <c r="L73" s="112"/>
    </row>
    <row r="120" spans="1:15" s="169" customFormat="1" ht="20">
      <c r="A120" s="148" t="s">
        <v>137</v>
      </c>
      <c r="C120" s="94"/>
      <c r="D120"/>
      <c r="E120"/>
      <c r="F120" s="94"/>
      <c r="G120"/>
      <c r="H120" s="94"/>
      <c r="I120"/>
      <c r="J120"/>
      <c r="K120" s="94"/>
      <c r="L120" s="98"/>
      <c r="M120" s="94"/>
      <c r="N120" s="94"/>
      <c r="O120"/>
    </row>
  </sheetData>
  <mergeCells count="3">
    <mergeCell ref="A2:H2"/>
    <mergeCell ref="F4:G4"/>
    <mergeCell ref="A10:A18"/>
  </mergeCells>
  <phoneticPr fontId="3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C9EB-EF5F-42A1-801D-07526CEE80C0}">
  <sheetPr>
    <tabColor rgb="FF0070C0"/>
  </sheetPr>
  <dimension ref="A1:M29"/>
  <sheetViews>
    <sheetView zoomScale="90" zoomScaleNormal="90" zoomScaleSheetLayoutView="20" zoomScalePageLayoutView="30" workbookViewId="0">
      <selection activeCell="A20" sqref="A20"/>
    </sheetView>
  </sheetViews>
  <sheetFormatPr defaultRowHeight="15"/>
  <cols>
    <col min="1" max="1" width="7.90625" customWidth="1"/>
    <col min="2" max="2" width="20.7265625" style="169" customWidth="1"/>
    <col min="3" max="3" width="21.36328125" style="94" customWidth="1"/>
    <col min="4" max="4" width="39.7265625" customWidth="1"/>
    <col min="5" max="5" width="7.90625" customWidth="1"/>
    <col min="6" max="6" width="9.36328125" style="94" customWidth="1"/>
    <col min="7" max="7" width="29.6328125" style="94" customWidth="1"/>
  </cols>
  <sheetData>
    <row r="1" spans="1:13">
      <c r="A1" s="109"/>
      <c r="G1" s="26"/>
    </row>
    <row r="2" spans="1:13" ht="17.5">
      <c r="A2" s="424" t="s">
        <v>144</v>
      </c>
      <c r="B2" s="424"/>
      <c r="C2" s="424"/>
      <c r="D2" s="424"/>
      <c r="E2" s="424"/>
      <c r="F2" s="424"/>
      <c r="G2" s="70"/>
    </row>
    <row r="3" spans="1:13" ht="18" thickBot="1">
      <c r="A3" s="147"/>
      <c r="B3" s="170"/>
      <c r="C3" s="147"/>
      <c r="D3" s="147"/>
      <c r="E3" s="147"/>
      <c r="F3" s="147"/>
      <c r="G3" s="70"/>
    </row>
    <row r="4" spans="1:13" s="431" customFormat="1" ht="15.4" customHeight="1" thickBot="1">
      <c r="A4" s="429"/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0"/>
      <c r="M4" s="430"/>
    </row>
    <row r="5" spans="1:13" ht="21.75" customHeight="1" thickBot="1">
      <c r="A5" s="198" t="s">
        <v>60</v>
      </c>
      <c r="B5" s="171" t="s">
        <v>133</v>
      </c>
      <c r="C5" s="155" t="s">
        <v>122</v>
      </c>
      <c r="D5" s="156" t="s">
        <v>123</v>
      </c>
      <c r="E5" s="155" t="s">
        <v>124</v>
      </c>
      <c r="F5" s="196"/>
      <c r="G5" s="204" t="s">
        <v>142</v>
      </c>
    </row>
    <row r="6" spans="1:13" ht="15.5" thickBot="1">
      <c r="A6" s="183"/>
      <c r="B6" s="463"/>
      <c r="C6" s="257"/>
      <c r="D6" s="258" t="s">
        <v>181</v>
      </c>
      <c r="E6" s="464"/>
      <c r="F6" s="259"/>
      <c r="G6" s="199"/>
    </row>
    <row r="7" spans="1:13">
      <c r="A7" s="368" t="s">
        <v>188</v>
      </c>
      <c r="B7" s="152" t="s">
        <v>161</v>
      </c>
      <c r="C7" s="343" t="s">
        <v>164</v>
      </c>
      <c r="D7" s="461" t="s">
        <v>148</v>
      </c>
      <c r="E7" s="462">
        <v>215</v>
      </c>
      <c r="F7" s="167" t="s">
        <v>120</v>
      </c>
      <c r="G7" s="202" t="s">
        <v>143</v>
      </c>
    </row>
    <row r="8" spans="1:13">
      <c r="A8" s="237"/>
      <c r="B8" s="378" t="s">
        <v>162</v>
      </c>
      <c r="C8" s="328" t="s">
        <v>165</v>
      </c>
      <c r="D8" s="174" t="s">
        <v>155</v>
      </c>
      <c r="E8" s="195">
        <v>150</v>
      </c>
      <c r="F8" s="167" t="s">
        <v>120</v>
      </c>
      <c r="G8" s="200" t="s">
        <v>92</v>
      </c>
    </row>
    <row r="9" spans="1:13" ht="16.5">
      <c r="A9" s="178"/>
      <c r="B9" s="384" t="s">
        <v>163</v>
      </c>
      <c r="C9" s="328" t="s">
        <v>166</v>
      </c>
      <c r="D9" s="116" t="s">
        <v>167</v>
      </c>
      <c r="E9" s="367">
        <v>100</v>
      </c>
      <c r="F9" s="161" t="s">
        <v>120</v>
      </c>
      <c r="G9" s="200"/>
    </row>
    <row r="10" spans="1:13" ht="15.5" thickBot="1">
      <c r="A10" s="341"/>
      <c r="B10" s="371"/>
      <c r="C10" s="210"/>
      <c r="D10" s="372"/>
      <c r="E10" s="342"/>
      <c r="F10" s="203"/>
      <c r="G10" s="412"/>
    </row>
    <row r="11" spans="1:13" ht="15.5" thickBot="1">
      <c r="A11" s="206"/>
      <c r="B11" s="70"/>
      <c r="C11" s="7"/>
      <c r="D11" s="207"/>
      <c r="E11" s="208"/>
      <c r="F11" s="209"/>
      <c r="G11"/>
    </row>
    <row r="12" spans="1:13" ht="21.75" customHeight="1" thickBot="1">
      <c r="A12" s="350" t="s">
        <v>60</v>
      </c>
      <c r="B12" s="351" t="s">
        <v>133</v>
      </c>
      <c r="C12" s="134" t="s">
        <v>122</v>
      </c>
      <c r="D12" s="135" t="s">
        <v>123</v>
      </c>
      <c r="E12" s="134" t="s">
        <v>124</v>
      </c>
      <c r="F12" s="352"/>
      <c r="G12" s="204" t="s">
        <v>142</v>
      </c>
    </row>
    <row r="13" spans="1:13" ht="16" thickTop="1" thickBot="1">
      <c r="A13" s="457"/>
      <c r="B13" s="256"/>
      <c r="C13" s="257"/>
      <c r="D13" s="258" t="s">
        <v>181</v>
      </c>
      <c r="E13" s="259"/>
      <c r="F13" s="259"/>
      <c r="G13" s="199"/>
    </row>
    <row r="14" spans="1:13" ht="15" customHeight="1">
      <c r="A14" s="458"/>
      <c r="B14" s="331" t="s">
        <v>157</v>
      </c>
      <c r="C14" s="328"/>
      <c r="D14" s="324" t="s">
        <v>170</v>
      </c>
      <c r="E14" s="106">
        <v>100</v>
      </c>
      <c r="F14" s="161" t="s">
        <v>121</v>
      </c>
      <c r="G14" s="200"/>
    </row>
    <row r="15" spans="1:13">
      <c r="A15" s="458"/>
      <c r="B15" s="331" t="s">
        <v>169</v>
      </c>
      <c r="C15" s="328"/>
      <c r="D15" s="324" t="s">
        <v>168</v>
      </c>
      <c r="E15" s="106">
        <v>100</v>
      </c>
      <c r="F15" s="161" t="s">
        <v>121</v>
      </c>
      <c r="G15" s="200" t="s">
        <v>143</v>
      </c>
    </row>
    <row r="16" spans="1:13">
      <c r="A16" s="458"/>
      <c r="B16" s="333" t="s">
        <v>171</v>
      </c>
      <c r="C16" s="328" t="s">
        <v>174</v>
      </c>
      <c r="D16" s="408"/>
      <c r="E16" s="100">
        <v>1</v>
      </c>
      <c r="F16" s="161" t="s">
        <v>121</v>
      </c>
      <c r="G16" s="200" t="s">
        <v>92</v>
      </c>
    </row>
    <row r="17" spans="1:7">
      <c r="A17" s="414" t="s">
        <v>194</v>
      </c>
      <c r="B17" s="333" t="s">
        <v>172</v>
      </c>
      <c r="C17" s="328" t="s">
        <v>175</v>
      </c>
      <c r="D17" s="408"/>
      <c r="E17" s="100">
        <v>1</v>
      </c>
      <c r="F17" s="161" t="s">
        <v>121</v>
      </c>
      <c r="G17" s="179"/>
    </row>
    <row r="18" spans="1:7" ht="16" customHeight="1">
      <c r="A18" s="458"/>
      <c r="B18" s="333" t="s">
        <v>158</v>
      </c>
      <c r="C18" s="328"/>
      <c r="D18" s="408"/>
      <c r="E18" s="100">
        <v>5</v>
      </c>
      <c r="F18" s="161" t="s">
        <v>121</v>
      </c>
      <c r="G18" s="202"/>
    </row>
    <row r="19" spans="1:7" ht="17" customHeight="1">
      <c r="A19" s="458"/>
      <c r="B19" s="331" t="s">
        <v>173</v>
      </c>
      <c r="C19" s="329"/>
      <c r="D19" s="408" t="s">
        <v>176</v>
      </c>
      <c r="E19" s="106">
        <v>235</v>
      </c>
      <c r="F19" s="365" t="s">
        <v>121</v>
      </c>
      <c r="G19" s="349"/>
    </row>
    <row r="20" spans="1:7">
      <c r="A20" s="458"/>
      <c r="B20" s="331" t="s">
        <v>177</v>
      </c>
      <c r="C20" s="329" t="s">
        <v>175</v>
      </c>
      <c r="D20" s="445"/>
      <c r="E20" s="106">
        <v>340</v>
      </c>
      <c r="F20" s="365" t="s">
        <v>121</v>
      </c>
      <c r="G20" s="202"/>
    </row>
    <row r="21" spans="1:7">
      <c r="A21" s="458"/>
      <c r="B21" s="333" t="s">
        <v>178</v>
      </c>
      <c r="C21" s="328"/>
      <c r="D21" s="408"/>
      <c r="E21" s="100">
        <v>340</v>
      </c>
      <c r="F21" s="161" t="s">
        <v>121</v>
      </c>
      <c r="G21" s="202"/>
    </row>
    <row r="22" spans="1:7" ht="15.5" thickBot="1">
      <c r="A22" s="341"/>
      <c r="B22" s="371"/>
      <c r="C22" s="210"/>
      <c r="D22" s="372"/>
      <c r="E22" s="342"/>
      <c r="F22" s="203"/>
      <c r="G22" s="201"/>
    </row>
    <row r="29" spans="1:7" ht="20">
      <c r="A29" s="148" t="s">
        <v>137</v>
      </c>
    </row>
  </sheetData>
  <mergeCells count="2">
    <mergeCell ref="A4:XFD4"/>
    <mergeCell ref="A2:F2"/>
  </mergeCells>
  <phoneticPr fontId="9"/>
  <pageMargins left="0.51181102362204722" right="0" top="0.74803149606299213" bottom="0.74803149606299213" header="0.31496062992125984" footer="0.31496062992125984"/>
  <pageSetup paperSize="9" orientation="landscape" r:id="rId1"/>
  <headerFooter>
    <oddFooter>&amp;C&amp;"Century Gothic,太字"&amp;10&amp;  -   P A G E  3- &amp;P  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53D-7052-4E31-805D-8DE2A225304C}">
  <sheetPr>
    <tabColor rgb="FFFF0000"/>
    <pageSetUpPr fitToPage="1"/>
  </sheetPr>
  <dimension ref="A1:G17"/>
  <sheetViews>
    <sheetView view="pageBreakPreview" zoomScale="60" zoomScaleNormal="90" workbookViewId="0">
      <selection activeCell="G5" sqref="G5"/>
    </sheetView>
  </sheetViews>
  <sheetFormatPr defaultRowHeight="31.5"/>
  <cols>
    <col min="1" max="1" width="7.90625" customWidth="1"/>
    <col min="2" max="2" width="40.90625" style="394" customWidth="1"/>
    <col min="3" max="3" width="21.36328125" style="395" customWidth="1"/>
    <col min="4" max="4" width="42.26953125" style="395" customWidth="1"/>
    <col min="5" max="5" width="34.7265625" style="396" customWidth="1"/>
    <col min="6" max="6" width="34.7265625" style="397" customWidth="1"/>
    <col min="7" max="7" width="34.7265625" style="398" customWidth="1"/>
    <col min="8" max="14" width="34.7265625" customWidth="1"/>
  </cols>
  <sheetData>
    <row r="1" spans="1:7" ht="32" thickBot="1">
      <c r="A1" s="45"/>
    </row>
    <row r="2" spans="1:7" ht="194.5" customHeight="1" thickBot="1">
      <c r="A2" s="399"/>
      <c r="B2" s="400" t="s">
        <v>182</v>
      </c>
      <c r="C2" s="401" t="s">
        <v>183</v>
      </c>
      <c r="D2" s="401" t="s">
        <v>156</v>
      </c>
      <c r="E2" s="402"/>
      <c r="F2" s="403" t="s">
        <v>159</v>
      </c>
      <c r="G2" s="413" t="s">
        <v>189</v>
      </c>
    </row>
    <row r="3" spans="1:7" ht="194.5" customHeight="1" thickBot="1">
      <c r="A3" s="404"/>
      <c r="B3" s="465" t="s">
        <v>184</v>
      </c>
      <c r="C3" s="466" t="s">
        <v>185</v>
      </c>
      <c r="D3" s="466" t="s">
        <v>186</v>
      </c>
      <c r="E3" s="467"/>
      <c r="F3" s="468" t="s">
        <v>159</v>
      </c>
      <c r="G3" s="413" t="s">
        <v>189</v>
      </c>
    </row>
    <row r="17" spans="1:7" s="169" customFormat="1">
      <c r="A17" s="148" t="s">
        <v>137</v>
      </c>
      <c r="B17" s="394"/>
      <c r="C17" s="395"/>
      <c r="D17" s="395"/>
      <c r="E17" s="405"/>
      <c r="F17" s="406"/>
      <c r="G17" s="407"/>
    </row>
  </sheetData>
  <phoneticPr fontId="9"/>
  <pageMargins left="0.51181102362204722" right="0" top="0.74803149606299213" bottom="0.74803149606299213" header="0.31496062992125984" footer="0.31496062992125984"/>
  <pageSetup paperSize="9" scale="44" fitToHeight="0" orientation="portrait" r:id="rId1"/>
  <headerFooter>
    <oddFooter>&amp;C&amp;"Century Gothic,太字"&amp;10&amp;  -   P A G E  3- &amp;P  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shipper master</vt:lpstr>
      <vt:lpstr>invoice</vt:lpstr>
      <vt:lpstr>case mark (2)</vt:lpstr>
      <vt:lpstr>NARITA</vt:lpstr>
      <vt:lpstr>NARITA (2)</vt:lpstr>
      <vt:lpstr>LABEL①</vt:lpstr>
      <vt:lpstr>サンプル製品カタログ</vt:lpstr>
      <vt:lpstr>NARITA!Print_Area</vt:lpstr>
      <vt:lpstr>'NARITA (2)'!Print_Area</vt:lpstr>
      <vt:lpstr>サンプル製品カタログ!Print_Area</vt:lpstr>
      <vt:lpstr>LABEL①!Print_Titles</vt:lpstr>
      <vt:lpstr>NARITA!Print_Titles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2022-10-04T07:50:11Z</cp:lastPrinted>
  <dcterms:created xsi:type="dcterms:W3CDTF">2002-07-31T13:14:08Z</dcterms:created>
  <dcterms:modified xsi:type="dcterms:W3CDTF">2023-10-27T03:51:44Z</dcterms:modified>
</cp:coreProperties>
</file>