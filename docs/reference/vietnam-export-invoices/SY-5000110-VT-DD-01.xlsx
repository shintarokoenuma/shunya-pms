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B1B93701-6D16-4BC4-BD99-4704631AEAD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54" r:id="rId2"/>
    <sheet name="invoice" sheetId="21" r:id="rId3"/>
    <sheet name="NARITA " sheetId="60" r:id="rId4"/>
    <sheet name="NARITA (2)" sheetId="61" r:id="rId5"/>
    <sheet name="サンプル製品カタログ" sheetId="63" r:id="rId6"/>
    <sheet name="LABEL" sheetId="62" r:id="rId7"/>
  </sheets>
  <externalReferences>
    <externalReference r:id="rId8"/>
    <externalReference r:id="rId9"/>
    <externalReference r:id="rId10"/>
  </externalReferences>
  <definedNames>
    <definedName name="pricetable" localSheetId="1">#REF!</definedName>
    <definedName name="pricetable" localSheetId="6">#REF!</definedName>
    <definedName name="pricetable" localSheetId="3">#REF!</definedName>
    <definedName name="pricetable" localSheetId="4">#REF!</definedName>
    <definedName name="pricetable" localSheetId="5">#REF!</definedName>
    <definedName name="pricetable">#REF!</definedName>
    <definedName name="_xlnm.Print_Area" localSheetId="6">LABEL!$A$1:$D$88</definedName>
    <definedName name="_xlnm.Print_Area" localSheetId="3">'NARITA '!$A$2:$P$65</definedName>
    <definedName name="_xlnm.Print_Area" localSheetId="4">'NARITA (2)'!$A$1:$N$19</definedName>
    <definedName name="_xlnm.Print_Area" localSheetId="5">サンプル製品カタログ!$A$2:$I$3</definedName>
    <definedName name="_xlnm.Print_Titles" localSheetId="6">LABEL!$1:$4</definedName>
    <definedName name="_xlnm.Print_Titles" localSheetId="3">'NARITA '!$1:$6</definedName>
    <definedName name="_xlnm.Print_Titles" localSheetId="4">'NARITA (2)'!$1:$6</definedName>
    <definedName name="_xlnm.Print_Titles" localSheetId="5">サンプル製品カタログ!$2:$2</definedName>
  </definedNames>
  <calcPr calcId="191029"/>
</workbook>
</file>

<file path=xl/calcChain.xml><?xml version="1.0" encoding="utf-8"?>
<calcChain xmlns="http://schemas.openxmlformats.org/spreadsheetml/2006/main">
  <c r="H65" i="60" l="1"/>
  <c r="H63" i="60"/>
  <c r="E63" i="60"/>
  <c r="H57" i="60"/>
  <c r="J28" i="21" l="1"/>
  <c r="H16" i="61"/>
  <c r="E17" i="61"/>
  <c r="H11" i="61" l="1"/>
  <c r="H12" i="61"/>
  <c r="H13" i="61"/>
  <c r="H14" i="61"/>
  <c r="E16" i="61"/>
  <c r="E62" i="60" l="1"/>
  <c r="J27" i="21" s="1"/>
  <c r="C33" i="21" s="1"/>
  <c r="H53" i="60"/>
  <c r="H52" i="60"/>
  <c r="H51" i="60"/>
  <c r="H47" i="60"/>
  <c r="H46" i="60"/>
  <c r="H45" i="60"/>
  <c r="H41" i="60"/>
  <c r="H35" i="60"/>
  <c r="H40" i="60"/>
  <c r="H39" i="60"/>
  <c r="H34" i="60"/>
  <c r="H21" i="60"/>
  <c r="H27" i="60" l="1"/>
  <c r="H15" i="60"/>
  <c r="H9" i="60"/>
  <c r="J29" i="21"/>
  <c r="H10" i="61" l="1"/>
  <c r="H18" i="61" l="1"/>
  <c r="L32" i="21" s="1"/>
  <c r="L28" i="21"/>
  <c r="H17" i="61"/>
  <c r="L30" i="21" s="1"/>
  <c r="H33" i="60"/>
  <c r="H62" i="60" s="1"/>
  <c r="K30" i="21"/>
  <c r="K29" i="21"/>
  <c r="K28" i="21"/>
  <c r="K27" i="21"/>
  <c r="E18" i="61"/>
  <c r="J32" i="21" s="1"/>
  <c r="J30" i="21"/>
  <c r="E33" i="21" s="1"/>
  <c r="G6" i="61"/>
  <c r="J31" i="21"/>
  <c r="G6" i="60"/>
  <c r="D6" i="60"/>
  <c r="D6" i="61" s="1"/>
  <c r="L31" i="21" l="1"/>
  <c r="L29" i="21"/>
  <c r="L27" i="21"/>
  <c r="J33" i="21"/>
  <c r="H19" i="61"/>
  <c r="L33" i="21" l="1"/>
  <c r="C45" i="17" s="1"/>
  <c r="K9" i="2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3" i="21" l="1"/>
  <c r="A10" i="21" l="1"/>
  <c r="B28" i="21"/>
  <c r="E7" i="21"/>
  <c r="A37" i="21"/>
  <c r="A36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8" i="21"/>
  <c r="A39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<sst xmlns="http://schemas.openxmlformats.org/spreadsheetml/2006/main" count="504" uniqueCount="271">
  <si>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</si>
  <si>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</si>
  <si>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</si>
  <si>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</si>
  <si>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</si>
  <si>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</si>
  <si>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</si>
  <si>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</si>
  <si>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</si>
  <si>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</si>
  <si>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</si>
  <si>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</si>
  <si>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</si>
  <si>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</si>
  <si>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</si>
  <si>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</si>
  <si>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</si>
  <si>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</si>
  <si>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</si>
  <si>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</si>
  <si>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</si>
  <si>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</si>
  <si>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</si>
  <si>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</si>
  <si>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</si>
  <si>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</si>
  <si>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</si>
  <si>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</si>
  <si>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</si>
  <si>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</si>
  <si>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</si>
  <si>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</si>
  <si>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</si>
  <si>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</si>
  <si>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</si>
  <si>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</si>
  <si>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</si>
  <si>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</si>
  <si>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</si>
  <si>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</si>
  <si>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</si>
  <si>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</si>
  <si>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</si>
  <si>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</si>
  <si>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</si>
  <si>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</si>
  <si>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</si>
  <si>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</si>
  <si>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</si>
  <si>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</si>
  <si>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</si>
  <si>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</si>
  <si>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</si>
  <si>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</si>
  <si>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</si>
  <si>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</si>
  <si>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</si>
  <si>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</si>
  <si>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</si>
  <si>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</si>
  <si>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</si>
  <si>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</si>
  <si>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</si>
  <si>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</si>
  <si>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PCS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</si>
  <si>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</si>
  <si>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</si>
  <si>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</si>
  <si>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</si>
  <si>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</si>
  <si>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</si>
  <si>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</si>
  <si>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</si>
  <si>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</si>
  <si>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</si>
  <si>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</si>
  <si>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</si>
  <si>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</si>
  <si>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</si>
  <si>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</si>
  <si>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</si>
  <si>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</si>
  <si>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</si>
  <si>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</si>
  <si>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</si>
  <si>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</si>
  <si>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</si>
  <si>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</si>
  <si>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</si>
  <si>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</si>
  <si>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</si>
  <si>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</si>
  <si>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</si>
  <si>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</si>
  <si>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</si>
  <si>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</si>
  <si>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</si>
  <si>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</si>
  <si>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</si>
  <si>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</si>
  <si>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</si>
  <si>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</si>
  <si>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</si>
  <si>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</si>
  <si>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</si>
  <si>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</si>
  <si>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</si>
  <si>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</si>
  <si>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</si>
  <si>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</si>
  <si>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</si>
  <si>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</si>
  <si>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</si>
  <si>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</si>
  <si>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</si>
  <si>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</si>
  <si>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</si>
  <si>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</si>
  <si>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</si>
  <si>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</si>
  <si>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</si>
  <si>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</si>
  <si>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</si>
  <si>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</si>
  <si>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</si>
  <si>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</si>
  <si>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</si>
  <si>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</si>
  <si>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</si>
  <si>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</si>
  <si>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</si>
  <si>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</si>
  <si>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</si>
  <si>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</si>
  <si>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</si>
  <si>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</si>
  <si>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</si>
  <si>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</si>
  <si>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TOTAL</t>
    <phoneticPr fontId="40"/>
  </si>
  <si>
    <t>WOVEN FABRIC</t>
    <phoneticPr fontId="11"/>
  </si>
  <si>
    <t>No.10 , D17 Street , Sai Gon South Residential Area</t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</si>
  <si>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</si>
  <si>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</si>
  <si>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</si>
  <si>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</si>
  <si>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WOVEN FABRIC</t>
  </si>
  <si>
    <t>SET.</t>
    <phoneticPr fontId="11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</si>
  <si>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</si>
  <si>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</si>
  <si>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</si>
  <si>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t>KNIT FABRIC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</si>
  <si>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</si>
  <si>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</si>
  <si>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搬入内容</t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</si>
  <si>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1"/>
  </si>
  <si>
    <t>SETS.</t>
    <phoneticPr fontId="11"/>
  </si>
  <si>
    <t>LABEL SHEET -</t>
    <phoneticPr fontId="11"/>
  </si>
  <si>
    <t>A400F</t>
    <phoneticPr fontId="40"/>
  </si>
  <si>
    <t>LACE USED CLOTH</t>
    <phoneticPr fontId="11"/>
  </si>
  <si>
    <t>レース クロシャ編み</t>
    <rPh sb="7" eb="8">
      <t>ア</t>
    </rPh>
    <phoneticPr fontId="11"/>
  </si>
  <si>
    <t>短繊維</t>
    <rPh sb="0" eb="2">
      <t>タンセンイ</t>
    </rPh>
    <phoneticPr fontId="11"/>
  </si>
  <si>
    <r>
      <t>cotton</t>
    </r>
    <r>
      <rPr>
        <b/>
        <sz val="10"/>
        <color theme="1"/>
        <rFont val="ＭＳ Ｐゴシック"/>
        <family val="2"/>
        <charset val="128"/>
      </rPr>
      <t xml:space="preserve"> 100%</t>
    </r>
    <phoneticPr fontId="11"/>
  </si>
  <si>
    <r>
      <t>WIDTH:90CM (180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</si>
  <si>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STYLE: cc24ss-35, cc24ss-36</t>
    <phoneticPr fontId="11"/>
  </si>
  <si>
    <t>C/#BLACK</t>
    <phoneticPr fontId="11"/>
  </si>
  <si>
    <t>KGS</t>
    <phoneticPr fontId="11"/>
  </si>
  <si>
    <t>1</t>
    <phoneticPr fontId="11"/>
  </si>
  <si>
    <t>STYLE: COTDJK-010, COTDPT-033</t>
    <phoneticPr fontId="11"/>
  </si>
  <si>
    <t>SBY205</t>
    <phoneticPr fontId="11"/>
  </si>
  <si>
    <t>C/#10-3 Black</t>
    <phoneticPr fontId="11"/>
  </si>
  <si>
    <t>入庫No.22058756</t>
    <rPh sb="0" eb="2">
      <t>ニュウコ</t>
    </rPh>
    <phoneticPr fontId="11"/>
  </si>
  <si>
    <t>WOVEN  FABRIC</t>
    <phoneticPr fontId="11"/>
  </si>
  <si>
    <t>平織り　ブランケットネル生地</t>
    <rPh sb="0" eb="1">
      <t>ヒラオサキソメ</t>
    </rPh>
    <rPh sb="12" eb="14">
      <t>キジ</t>
    </rPh>
    <phoneticPr fontId="11"/>
  </si>
  <si>
    <r>
      <t>WIDTH:146CM (432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</si>
  <si>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短繊維　先染単色</t>
    <rPh sb="0" eb="2">
      <t>タンセンイ</t>
    </rPh>
    <rPh sb="3" eb="5">
      <t>サキソメ</t>
    </rPh>
    <rPh sb="5" eb="7">
      <t>タンショク</t>
    </rPh>
    <phoneticPr fontId="11"/>
  </si>
  <si>
    <t>NH0867</t>
    <phoneticPr fontId="11"/>
  </si>
  <si>
    <t>WOVEN  FABRIC</t>
  </si>
  <si>
    <t>平織　ポプリン生地</t>
    <rPh sb="0" eb="1">
      <t>ヒラオリ</t>
    </rPh>
    <rPh sb="6" eb="8">
      <t>キジ</t>
    </rPh>
    <phoneticPr fontId="11"/>
  </si>
  <si>
    <t>C/#48 KHAKI</t>
    <phoneticPr fontId="11"/>
  </si>
  <si>
    <t>STYLE: cc-ecr07</t>
    <phoneticPr fontId="11"/>
  </si>
  <si>
    <t>cotton 100%</t>
  </si>
  <si>
    <r>
      <t>WIDTH:110CM (215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2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</si>
  <si>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t>STYLE</t>
    </r>
    <r>
      <rPr>
        <b/>
        <sz val="10"/>
        <color theme="1"/>
        <rFont val="Yu Gothic"/>
        <family val="3"/>
        <charset val="128"/>
      </rPr>
      <t>、</t>
    </r>
    <r>
      <rPr>
        <b/>
        <sz val="10"/>
        <color theme="1"/>
        <rFont val="Century Gothic"/>
        <family val="3"/>
      </rPr>
      <t>ccer-18</t>
    </r>
    <phoneticPr fontId="11"/>
  </si>
  <si>
    <t>DA6513</t>
    <phoneticPr fontId="11"/>
  </si>
  <si>
    <t>C/#W9 black</t>
    <phoneticPr fontId="11"/>
  </si>
  <si>
    <t>polyester 100%</t>
    <phoneticPr fontId="11"/>
  </si>
  <si>
    <t>後染め綾織　ツイル生地</t>
    <rPh sb="2" eb="3">
      <t>ヒラ</t>
    </rPh>
    <rPh sb="3" eb="4">
      <t>アヤ</t>
    </rPh>
    <rPh sb="9" eb="11">
      <t>キジ</t>
    </rPh>
    <phoneticPr fontId="11"/>
  </si>
  <si>
    <r>
      <t>WIDTH:148M (174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</si>
  <si>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長繊維、テクスチャード加工無し</t>
    <rPh sb="0" eb="2">
      <t>チョウセンイ</t>
    </rPh>
    <rPh sb="10" eb="12">
      <t>カコウ</t>
    </rPh>
    <rPh sb="12" eb="13">
      <t>ナ</t>
    </rPh>
    <phoneticPr fontId="11"/>
  </si>
  <si>
    <t>27P0000016</t>
    <phoneticPr fontId="11"/>
  </si>
  <si>
    <t>天竺生地　丸編み</t>
    <rPh sb="0" eb="3">
      <t>テンジクキジ</t>
    </rPh>
    <rPh sb="5" eb="7">
      <t>マルア</t>
    </rPh>
    <phoneticPr fontId="11"/>
  </si>
  <si>
    <t>後染め</t>
    <rPh sb="0" eb="1">
      <t>アトゾ</t>
    </rPh>
    <phoneticPr fontId="11"/>
  </si>
  <si>
    <t>C/#102 WHITE</t>
    <phoneticPr fontId="11"/>
  </si>
  <si>
    <t>C/#575 CHARCOAL</t>
    <phoneticPr fontId="11"/>
  </si>
  <si>
    <t>STYLE: 23SY-65</t>
    <phoneticPr fontId="11"/>
  </si>
  <si>
    <r>
      <t>WIDTH:170CM (234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</si>
  <si>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入庫No.22058787</t>
    <rPh sb="0" eb="2">
      <t>ニュウコ</t>
    </rPh>
    <phoneticPr fontId="11"/>
  </si>
  <si>
    <t>入庫No.22058633</t>
    <phoneticPr fontId="11"/>
  </si>
  <si>
    <t>入庫No.22058634</t>
    <phoneticPr fontId="11"/>
  </si>
  <si>
    <t>入庫No.22058789</t>
    <rPh sb="0" eb="2">
      <t>ニュウコ</t>
    </rPh>
    <phoneticPr fontId="11"/>
  </si>
  <si>
    <t>27P0003300</t>
    <phoneticPr fontId="11"/>
  </si>
  <si>
    <t>フライス生地　丸編み</t>
    <rPh sb="4" eb="6">
      <t>キジ</t>
    </rPh>
    <rPh sb="7" eb="9">
      <t>マルア</t>
    </rPh>
    <phoneticPr fontId="11"/>
  </si>
  <si>
    <r>
      <t>WIDTH:108CM (331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</si>
  <si>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c/#700 GRAY</t>
  </si>
  <si>
    <t>c/#700 GRAY</t>
    <phoneticPr fontId="11"/>
  </si>
  <si>
    <t>入庫No.22060045</t>
    <rPh sb="0" eb="2">
      <t>ニュウコ</t>
    </rPh>
    <phoneticPr fontId="11"/>
  </si>
  <si>
    <t>1/9</t>
    <phoneticPr fontId="11"/>
  </si>
  <si>
    <t>007S0053010</t>
    <phoneticPr fontId="11"/>
  </si>
  <si>
    <t>裏毛生地　丸編み</t>
    <rPh sb="0" eb="1">
      <t>ウラケ</t>
    </rPh>
    <rPh sb="1" eb="3">
      <t>キジ</t>
    </rPh>
    <rPh sb="4" eb="6">
      <t>マルア</t>
    </rPh>
    <phoneticPr fontId="11"/>
  </si>
  <si>
    <t>C/#711 CHARCOAL</t>
    <phoneticPr fontId="11"/>
  </si>
  <si>
    <t>c/#330 SAX</t>
    <phoneticPr fontId="11"/>
  </si>
  <si>
    <t>007S0052070</t>
    <phoneticPr fontId="11"/>
  </si>
  <si>
    <t>テレコ生地　丸編み</t>
    <rPh sb="2" eb="4">
      <t>キジ</t>
    </rPh>
    <rPh sb="4" eb="6">
      <t>マルア</t>
    </rPh>
    <phoneticPr fontId="11"/>
  </si>
  <si>
    <r>
      <t>WIDTH:120CM (400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</si>
  <si>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t>WIDTH:180CM (310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</si>
  <si>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1/4着</t>
    <rPh sb="3" eb="4">
      <t>チャク</t>
    </rPh>
    <phoneticPr fontId="11"/>
  </si>
  <si>
    <t>12/15着</t>
    <rPh sb="5" eb="6">
      <t>チャク</t>
    </rPh>
    <phoneticPr fontId="11"/>
  </si>
  <si>
    <t>12/21着</t>
    <rPh sb="5" eb="6">
      <t>チャク</t>
    </rPh>
    <phoneticPr fontId="11"/>
  </si>
  <si>
    <t>STYLE: 21SY-60</t>
    <phoneticPr fontId="11"/>
  </si>
  <si>
    <t>January , 11 2024</t>
    <phoneticPr fontId="11"/>
  </si>
  <si>
    <t>JAN,11, 2024</t>
    <phoneticPr fontId="11"/>
  </si>
  <si>
    <t xml:space="preserve"> SY-5000110-VT-DD-01</t>
    <phoneticPr fontId="11"/>
  </si>
  <si>
    <t>AM514</t>
    <phoneticPr fontId="40"/>
  </si>
  <si>
    <t>3MGKB　Ｃ　ＤＡ</t>
    <phoneticPr fontId="40"/>
  </si>
  <si>
    <t>COTTON 100% PIECE-DYED SLEEK    W/102CM 材質綿100</t>
    <rPh sb="40" eb="42">
      <t>ザイシツ</t>
    </rPh>
    <rPh sb="42" eb="43">
      <t>メン</t>
    </rPh>
    <phoneticPr fontId="40"/>
  </si>
  <si>
    <t>ＢＵＴＴＯＮＳ　材質ユリア樹脂</t>
    <rPh sb="8" eb="10">
      <t>ザイシツ</t>
    </rPh>
    <phoneticPr fontId="40"/>
  </si>
  <si>
    <t>ZIPPER　20ｃｍ　材質：銅合金</t>
  </si>
  <si>
    <t>ZIPPER　20ｃｍ　材質：銅合金</t>
    <phoneticPr fontId="40"/>
  </si>
  <si>
    <t>ＴＡＰＥ　50ｍｍ　材質綿100</t>
    <rPh sb="10" eb="12">
      <t>ザイシツ</t>
    </rPh>
    <rPh sb="12" eb="13">
      <t>メン</t>
    </rPh>
    <phoneticPr fontId="40"/>
  </si>
  <si>
    <t>CORD　材質アクリル100</t>
    <rPh sb="5" eb="7">
      <t>ザイシツ</t>
    </rPh>
    <phoneticPr fontId="40"/>
  </si>
  <si>
    <t>7　KHAKI</t>
    <phoneticPr fontId="40"/>
  </si>
  <si>
    <t>65　KHAKI</t>
    <phoneticPr fontId="40"/>
  </si>
  <si>
    <t>223　KHAKI</t>
    <phoneticPr fontId="40"/>
  </si>
  <si>
    <t>9　KHAKI</t>
    <phoneticPr fontId="40"/>
  </si>
  <si>
    <t>98　KHAKI</t>
    <phoneticPr fontId="40"/>
  </si>
  <si>
    <t>1CARTONS</t>
    <phoneticPr fontId="11"/>
  </si>
  <si>
    <t>ITEM</t>
    <phoneticPr fontId="11"/>
  </si>
  <si>
    <t>NAME</t>
    <phoneticPr fontId="11"/>
  </si>
  <si>
    <t>color</t>
    <phoneticPr fontId="11"/>
  </si>
  <si>
    <t>lady's or men's</t>
    <phoneticPr fontId="11"/>
  </si>
  <si>
    <t>WOVEN or  KNIT</t>
    <phoneticPr fontId="11"/>
  </si>
  <si>
    <t>picture</t>
    <phoneticPr fontId="11"/>
  </si>
  <si>
    <t>Composition</t>
    <phoneticPr fontId="11"/>
  </si>
  <si>
    <t>packingNo.</t>
    <phoneticPr fontId="11"/>
  </si>
  <si>
    <t>men's</t>
    <phoneticPr fontId="11"/>
  </si>
  <si>
    <t xml:space="preserve">FRONT COTTON 100% </t>
    <phoneticPr fontId="11"/>
  </si>
  <si>
    <t>men's cotton  parker</t>
    <phoneticPr fontId="11"/>
  </si>
  <si>
    <t>C/#Yellow</t>
    <phoneticPr fontId="11"/>
  </si>
  <si>
    <t>men's cotton  parker SAMPLE CLOTHES</t>
    <phoneticPr fontId="11"/>
  </si>
  <si>
    <t>AM514</t>
  </si>
  <si>
    <t>A400F</t>
  </si>
  <si>
    <t>3MGKB C DA</t>
    <phoneticPr fontId="11"/>
  </si>
  <si>
    <t>STYLE: cc-ecr07</t>
  </si>
  <si>
    <t>38</t>
    <phoneticPr fontId="11"/>
  </si>
  <si>
    <t>'men's cotton  parker</t>
  </si>
  <si>
    <t>39</t>
    <phoneticPr fontId="11"/>
  </si>
  <si>
    <t>39CARTONS</t>
    <phoneticPr fontId="11"/>
  </si>
  <si>
    <t xml:space="preserve"> C/NO. 1-39</t>
    <phoneticPr fontId="11"/>
  </si>
  <si>
    <t>39PACKAGES</t>
    <phoneticPr fontId="11"/>
  </si>
  <si>
    <t>1/12</t>
    <phoneticPr fontId="11"/>
  </si>
  <si>
    <t>c/#Yellow</t>
    <phoneticPr fontId="11"/>
  </si>
  <si>
    <t>入庫NO.22060095</t>
    <rPh sb="0" eb="2">
      <t>ニュウコ</t>
    </rPh>
    <phoneticPr fontId="11"/>
  </si>
  <si>
    <t>2</t>
    <phoneticPr fontId="11"/>
  </si>
  <si>
    <t>3</t>
    <phoneticPr fontId="11"/>
  </si>
  <si>
    <t>4-7</t>
    <phoneticPr fontId="11"/>
  </si>
  <si>
    <t>8-16</t>
    <phoneticPr fontId="11"/>
  </si>
  <si>
    <t>17</t>
    <phoneticPr fontId="11"/>
  </si>
  <si>
    <t>18-31</t>
    <phoneticPr fontId="11"/>
  </si>
  <si>
    <t>32-37</t>
    <phoneticPr fontId="11"/>
  </si>
  <si>
    <t>38CARTONS</t>
    <phoneticPr fontId="11"/>
  </si>
  <si>
    <t xml:space="preserve">1345.6M  282PCS.   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</si>
</sst>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76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ＭＳ Ｐゴシック"/>
      <family val="2"/>
      <charset val="128"/>
    </font>
    <font>
      <b/>
      <sz val="10"/>
      <color theme="1"/>
      <name val="Microsoft YaHei"/>
      <family val="3"/>
      <charset val="134"/>
    </font>
    <font>
      <sz val="12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2"/>
      <color rgb="FFFF0000"/>
      <name val="Century Gothic"/>
      <family val="2"/>
    </font>
    <font>
      <b/>
      <sz val="12"/>
      <color rgb="FFFF0000"/>
      <name val="ＭＳ Ｐゴシック"/>
      <family val="2"/>
      <charset val="128"/>
    </font>
    <font>
      <u/>
      <sz val="12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theme="1"/>
      <name val="Microsoft YaHei"/>
      <family val="2"/>
      <charset val="134"/>
    </font>
    <font>
      <b/>
      <sz val="10"/>
      <color theme="1"/>
      <name val="Century Gothic"/>
      <family val="3"/>
    </font>
    <font>
      <b/>
      <sz val="10"/>
      <name val="ＭＳ Ｐゴシック"/>
      <family val="3"/>
      <charset val="128"/>
      <scheme val="major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24"/>
      <name val="ＭＳ Ｐゴシック"/>
      <family val="2"/>
      <charset val="128"/>
    </font>
    <font>
      <b/>
      <sz val="11"/>
      <color rgb="FFFF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8" tint="0.59999389629810485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21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8" xfId="0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179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5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6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1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7" fillId="0" borderId="0" xfId="0" applyFont="1">
      <alignment vertical="center"/>
    </xf>
    <xf numFmtId="0" fontId="27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37" fillId="0" borderId="16" xfId="0" applyFont="1" applyBorder="1">
      <alignment vertical="center"/>
    </xf>
    <xf numFmtId="0" fontId="37" fillId="0" borderId="17" xfId="0" applyFont="1" applyBorder="1">
      <alignment vertical="center"/>
    </xf>
    <xf numFmtId="0" fontId="37" fillId="0" borderId="18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8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>
      <alignment vertical="center"/>
    </xf>
    <xf numFmtId="0" fontId="14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180" fontId="9" fillId="0" borderId="21" xfId="0" applyNumberFormat="1" applyFont="1" applyBorder="1">
      <alignment vertical="center"/>
    </xf>
    <xf numFmtId="0" fontId="9" fillId="0" borderId="19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 shrinkToFit="1"/>
    </xf>
    <xf numFmtId="182" fontId="9" fillId="0" borderId="10" xfId="0" applyNumberFormat="1" applyFont="1" applyBorder="1" applyAlignment="1">
      <alignment vertical="center" shrinkToFit="1"/>
    </xf>
    <xf numFmtId="0" fontId="23" fillId="0" borderId="33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43" fillId="0" borderId="3" xfId="0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49" fontId="9" fillId="0" borderId="19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23" fillId="0" borderId="3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41" fillId="0" borderId="21" xfId="0" applyFont="1" applyBorder="1">
      <alignment vertical="center"/>
    </xf>
    <xf numFmtId="176" fontId="9" fillId="0" borderId="21" xfId="2" applyFont="1" applyFill="1" applyBorder="1" applyAlignment="1">
      <alignment horizontal="right"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shrinkToFit="1"/>
    </xf>
    <xf numFmtId="0" fontId="9" fillId="4" borderId="21" xfId="0" applyFont="1" applyFill="1" applyBorder="1">
      <alignment vertical="center"/>
    </xf>
    <xf numFmtId="0" fontId="9" fillId="0" borderId="21" xfId="0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43" fillId="0" borderId="3" xfId="0" applyNumberFormat="1" applyFont="1" applyBorder="1" applyAlignment="1">
      <alignment horizontal="left" vertical="center"/>
    </xf>
    <xf numFmtId="49" fontId="23" fillId="0" borderId="38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180" fontId="9" fillId="0" borderId="10" xfId="0" applyNumberFormat="1" applyFont="1" applyBorder="1">
      <alignment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26" fontId="14" fillId="0" borderId="14" xfId="0" applyNumberFormat="1" applyFont="1" applyBorder="1">
      <alignment vertical="center"/>
    </xf>
    <xf numFmtId="0" fontId="23" fillId="0" borderId="46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8" fillId="3" borderId="8" xfId="0" applyFont="1" applyFill="1" applyBorder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4" fontId="36" fillId="0" borderId="10" xfId="2" applyNumberFormat="1" applyFont="1" applyFill="1" applyBorder="1" applyAlignment="1">
      <alignment horizontal="right" vertical="center"/>
    </xf>
    <xf numFmtId="0" fontId="36" fillId="0" borderId="10" xfId="2" applyNumberFormat="1" applyFont="1" applyFill="1" applyBorder="1" applyAlignment="1">
      <alignment horizontal="left" vertical="center"/>
    </xf>
    <xf numFmtId="180" fontId="36" fillId="0" borderId="8" xfId="2" applyNumberFormat="1" applyFont="1" applyFill="1" applyBorder="1" applyAlignment="1">
      <alignment horizontal="right" vertical="center"/>
    </xf>
    <xf numFmtId="176" fontId="36" fillId="0" borderId="10" xfId="2" applyFont="1" applyFill="1" applyBorder="1" applyAlignment="1">
      <alignment horizontal="right" vertical="center"/>
    </xf>
    <xf numFmtId="181" fontId="36" fillId="0" borderId="2" xfId="2" applyNumberFormat="1" applyFont="1" applyFill="1" applyBorder="1" applyAlignment="1"/>
    <xf numFmtId="183" fontId="36" fillId="0" borderId="5" xfId="2" applyNumberFormat="1" applyFont="1" applyFill="1" applyBorder="1" applyAlignment="1">
      <alignment horizontal="left" vertical="center"/>
    </xf>
    <xf numFmtId="177" fontId="36" fillId="0" borderId="5" xfId="0" applyNumberFormat="1" applyFont="1" applyBorder="1" applyAlignment="1">
      <alignment horizontal="left" vertical="center"/>
    </xf>
    <xf numFmtId="181" fontId="36" fillId="0" borderId="5" xfId="0" applyNumberFormat="1" applyFont="1" applyBorder="1" applyAlignment="1">
      <alignment horizontal="right" vertical="center"/>
    </xf>
    <xf numFmtId="0" fontId="38" fillId="3" borderId="19" xfId="0" applyFont="1" applyFill="1" applyBorder="1" applyAlignment="1">
      <alignment horizontal="left" vertical="center"/>
    </xf>
    <xf numFmtId="0" fontId="23" fillId="3" borderId="38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80" fontId="36" fillId="5" borderId="8" xfId="2" applyNumberFormat="1" applyFont="1" applyFill="1" applyBorder="1" applyAlignment="1">
      <alignment horizontal="right" vertical="center"/>
    </xf>
    <xf numFmtId="180" fontId="31" fillId="5" borderId="0" xfId="0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38" fillId="0" borderId="14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 shrinkToFit="1"/>
    </xf>
    <xf numFmtId="180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>
      <alignment vertical="center"/>
    </xf>
    <xf numFmtId="49" fontId="36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80" fontId="9" fillId="0" borderId="0" xfId="0" applyNumberFormat="1" applyFont="1" applyAlignment="1">
      <alignment horizontal="right" vertical="center"/>
    </xf>
    <xf numFmtId="0" fontId="0" fillId="0" borderId="1" xfId="0" applyBorder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56" fontId="9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8" fillId="5" borderId="0" xfId="0" applyFont="1" applyFill="1">
      <alignment vertical="center"/>
    </xf>
    <xf numFmtId="0" fontId="9" fillId="5" borderId="0" xfId="0" applyFont="1" applyFill="1">
      <alignment vertical="center"/>
    </xf>
    <xf numFmtId="3" fontId="9" fillId="5" borderId="0" xfId="0" applyNumberFormat="1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/>
    </xf>
    <xf numFmtId="180" fontId="9" fillId="5" borderId="0" xfId="0" applyNumberFormat="1" applyFont="1" applyFill="1">
      <alignment vertical="center"/>
    </xf>
    <xf numFmtId="3" fontId="9" fillId="5" borderId="0" xfId="0" applyNumberFormat="1" applyFont="1" applyFill="1" applyAlignment="1">
      <alignment horizontal="center" vertical="center" shrinkToFit="1"/>
    </xf>
    <xf numFmtId="1" fontId="9" fillId="5" borderId="0" xfId="0" applyNumberFormat="1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 shrinkToFit="1"/>
    </xf>
    <xf numFmtId="0" fontId="9" fillId="5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36" fillId="5" borderId="0" xfId="0" applyFont="1" applyFill="1">
      <alignment vertical="center"/>
    </xf>
    <xf numFmtId="0" fontId="51" fillId="0" borderId="0" xfId="0" applyFont="1" applyAlignment="1">
      <alignment horizontal="center" vertical="center"/>
    </xf>
    <xf numFmtId="176" fontId="9" fillId="5" borderId="0" xfId="2" applyFont="1" applyFill="1" applyBorder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/>
    </xf>
    <xf numFmtId="0" fontId="9" fillId="6" borderId="1" xfId="0" applyFont="1" applyFill="1" applyBorder="1">
      <alignment vertical="center"/>
    </xf>
    <xf numFmtId="1" fontId="9" fillId="5" borderId="1" xfId="0" applyNumberFormat="1" applyFont="1" applyFill="1" applyBorder="1" applyAlignment="1">
      <alignment horizontal="center" vertical="center"/>
    </xf>
    <xf numFmtId="180" fontId="9" fillId="5" borderId="1" xfId="0" applyNumberFormat="1" applyFont="1" applyFill="1" applyBorder="1">
      <alignment vertical="center"/>
    </xf>
    <xf numFmtId="180" fontId="9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1" fontId="9" fillId="0" borderId="21" xfId="2" applyNumberFormat="1" applyFont="1" applyFill="1" applyBorder="1" applyAlignment="1">
      <alignment horizontal="right" vertical="center"/>
    </xf>
    <xf numFmtId="1" fontId="9" fillId="0" borderId="23" xfId="0" applyNumberFormat="1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0" fontId="23" fillId="0" borderId="49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9" fontId="38" fillId="3" borderId="0" xfId="0" applyNumberFormat="1" applyFont="1" applyFill="1" applyAlignment="1">
      <alignment horizontal="left" vertical="center"/>
    </xf>
    <xf numFmtId="0" fontId="14" fillId="0" borderId="41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9" fillId="0" borderId="24" xfId="0" applyFont="1" applyBorder="1" applyAlignment="1">
      <alignment horizontal="center" vertical="center"/>
    </xf>
    <xf numFmtId="1" fontId="36" fillId="0" borderId="10" xfId="2" applyNumberFormat="1" applyFont="1" applyFill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180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49" fontId="9" fillId="0" borderId="1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57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38" fillId="0" borderId="15" xfId="0" applyFont="1" applyBorder="1" applyAlignment="1">
      <alignment horizontal="center"/>
    </xf>
    <xf numFmtId="3" fontId="9" fillId="0" borderId="10" xfId="0" applyNumberFormat="1" applyFont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77" fontId="36" fillId="0" borderId="1" xfId="0" applyNumberFormat="1" applyFont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left" vertical="center"/>
    </xf>
    <xf numFmtId="0" fontId="42" fillId="0" borderId="14" xfId="0" applyFont="1" applyBorder="1">
      <alignment vertical="center"/>
    </xf>
    <xf numFmtId="0" fontId="9" fillId="0" borderId="13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14" fillId="0" borderId="21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49" fontId="38" fillId="0" borderId="21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52" fillId="0" borderId="13" xfId="0" applyFont="1" applyBorder="1" applyAlignment="1">
      <alignment horizontal="left" vertical="center"/>
    </xf>
    <xf numFmtId="49" fontId="36" fillId="0" borderId="21" xfId="0" applyNumberFormat="1" applyFont="1" applyBorder="1" applyAlignment="1">
      <alignment horizontal="left" vertical="center"/>
    </xf>
    <xf numFmtId="0" fontId="36" fillId="0" borderId="21" xfId="0" applyFont="1" applyBorder="1" applyAlignment="1">
      <alignment horizontal="left" vertical="center"/>
    </xf>
    <xf numFmtId="0" fontId="36" fillId="0" borderId="21" xfId="0" applyFont="1" applyBorder="1" applyAlignment="1">
      <alignment vertical="center" wrapText="1"/>
    </xf>
    <xf numFmtId="182" fontId="36" fillId="0" borderId="21" xfId="0" applyNumberFormat="1" applyFont="1" applyBorder="1" applyAlignment="1">
      <alignment vertical="center" shrinkToFit="1"/>
    </xf>
    <xf numFmtId="49" fontId="53" fillId="0" borderId="21" xfId="0" quotePrefix="1" applyNumberFormat="1" applyFont="1" applyBorder="1" applyAlignment="1">
      <alignment horizontal="left" vertical="center"/>
    </xf>
    <xf numFmtId="0" fontId="36" fillId="0" borderId="23" xfId="0" applyFont="1" applyBorder="1" applyAlignment="1">
      <alignment horizontal="left" vertical="center"/>
    </xf>
    <xf numFmtId="182" fontId="36" fillId="0" borderId="23" xfId="0" applyNumberFormat="1" applyFont="1" applyBorder="1" applyAlignment="1">
      <alignment vertical="center" shrinkToFit="1"/>
    </xf>
    <xf numFmtId="0" fontId="32" fillId="0" borderId="34" xfId="0" applyFont="1" applyBorder="1" applyAlignment="1">
      <alignment horizontal="center" vertical="center"/>
    </xf>
    <xf numFmtId="0" fontId="9" fillId="0" borderId="31" xfId="0" applyFont="1" applyBorder="1">
      <alignment vertical="center"/>
    </xf>
    <xf numFmtId="0" fontId="9" fillId="0" borderId="29" xfId="0" applyFont="1" applyBorder="1">
      <alignment vertical="center"/>
    </xf>
    <xf numFmtId="0" fontId="8" fillId="0" borderId="14" xfId="0" applyFont="1" applyBorder="1">
      <alignment vertical="center"/>
    </xf>
    <xf numFmtId="0" fontId="9" fillId="0" borderId="51" xfId="0" applyFont="1" applyBorder="1">
      <alignment vertical="center"/>
    </xf>
    <xf numFmtId="0" fontId="12" fillId="0" borderId="14" xfId="0" applyFont="1" applyBorder="1">
      <alignment vertical="center"/>
    </xf>
    <xf numFmtId="0" fontId="38" fillId="5" borderId="54" xfId="0" applyFont="1" applyFill="1" applyBorder="1" applyAlignment="1">
      <alignment horizontal="center"/>
    </xf>
    <xf numFmtId="0" fontId="0" fillId="0" borderId="14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>
      <alignment vertical="center"/>
    </xf>
    <xf numFmtId="0" fontId="42" fillId="0" borderId="0" xfId="0" applyFont="1">
      <alignment vertical="center"/>
    </xf>
    <xf numFmtId="49" fontId="9" fillId="0" borderId="28" xfId="0" applyNumberFormat="1" applyFont="1" applyBorder="1">
      <alignment vertical="center"/>
    </xf>
    <xf numFmtId="0" fontId="38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50" fillId="0" borderId="0" xfId="0" applyFont="1">
      <alignment vertical="center"/>
    </xf>
    <xf numFmtId="0" fontId="9" fillId="5" borderId="1" xfId="0" applyFont="1" applyFill="1" applyBorder="1" applyAlignment="1">
      <alignment horizontal="left" vertical="center"/>
    </xf>
    <xf numFmtId="49" fontId="53" fillId="0" borderId="22" xfId="0" quotePrefix="1" applyNumberFormat="1" applyFont="1" applyBorder="1" applyAlignment="1">
      <alignment horizontal="left" vertical="center"/>
    </xf>
    <xf numFmtId="49" fontId="46" fillId="0" borderId="69" xfId="0" quotePrefix="1" applyNumberFormat="1" applyFont="1" applyBorder="1" applyAlignment="1">
      <alignment horizontal="left" vertical="center"/>
    </xf>
    <xf numFmtId="0" fontId="36" fillId="0" borderId="13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182" fontId="36" fillId="0" borderId="21" xfId="0" applyNumberFormat="1" applyFont="1" applyBorder="1" applyAlignment="1">
      <alignment horizontal="center" vertical="center" shrinkToFit="1"/>
    </xf>
    <xf numFmtId="182" fontId="36" fillId="0" borderId="23" xfId="0" applyNumberFormat="1" applyFont="1" applyBorder="1" applyAlignment="1">
      <alignment horizontal="center" vertical="center" shrinkToFit="1"/>
    </xf>
    <xf numFmtId="0" fontId="0" fillId="0" borderId="30" xfId="0" applyBorder="1">
      <alignment vertical="center"/>
    </xf>
    <xf numFmtId="0" fontId="9" fillId="0" borderId="74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9" xfId="0" applyBorder="1">
      <alignment vertical="center"/>
    </xf>
    <xf numFmtId="49" fontId="57" fillId="5" borderId="21" xfId="0" applyNumberFormat="1" applyFont="1" applyFill="1" applyBorder="1" applyAlignment="1">
      <alignment horizontal="center" vertical="center"/>
    </xf>
    <xf numFmtId="0" fontId="57" fillId="5" borderId="21" xfId="0" applyFont="1" applyFill="1" applyBorder="1" applyAlignment="1">
      <alignment horizontal="left" vertical="center"/>
    </xf>
    <xf numFmtId="180" fontId="57" fillId="5" borderId="21" xfId="0" applyNumberFormat="1" applyFont="1" applyFill="1" applyBorder="1" applyAlignment="1">
      <alignment horizontal="right" vertical="center" shrinkToFit="1"/>
    </xf>
    <xf numFmtId="49" fontId="57" fillId="5" borderId="23" xfId="0" applyNumberFormat="1" applyFont="1" applyFill="1" applyBorder="1" applyAlignment="1">
      <alignment horizontal="center" vertical="center"/>
    </xf>
    <xf numFmtId="0" fontId="57" fillId="5" borderId="23" xfId="0" applyFont="1" applyFill="1" applyBorder="1" applyAlignment="1">
      <alignment horizontal="left" vertical="center"/>
    </xf>
    <xf numFmtId="180" fontId="57" fillId="5" borderId="23" xfId="0" applyNumberFormat="1" applyFont="1" applyFill="1" applyBorder="1" applyAlignment="1">
      <alignment horizontal="right" vertical="center" shrinkToFit="1"/>
    </xf>
    <xf numFmtId="49" fontId="38" fillId="0" borderId="57" xfId="0" applyNumberFormat="1" applyFont="1" applyBorder="1">
      <alignment vertical="center"/>
    </xf>
    <xf numFmtId="49" fontId="46" fillId="0" borderId="23" xfId="0" quotePrefix="1" applyNumberFormat="1" applyFont="1" applyBorder="1" applyAlignment="1">
      <alignment horizontal="left" vertical="center"/>
    </xf>
    <xf numFmtId="0" fontId="9" fillId="0" borderId="0" xfId="9" applyFont="1" applyAlignment="1">
      <alignment horizontal="center"/>
    </xf>
    <xf numFmtId="49" fontId="49" fillId="0" borderId="0" xfId="9" applyNumberFormat="1" applyFont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47" fillId="0" borderId="0" xfId="9" applyFont="1">
      <alignment vertical="center"/>
    </xf>
    <xf numFmtId="3" fontId="9" fillId="0" borderId="0" xfId="9" applyNumberFormat="1" applyFont="1" applyAlignment="1">
      <alignment horizontal="center" vertical="center"/>
    </xf>
    <xf numFmtId="0" fontId="9" fillId="0" borderId="0" xfId="9" applyFont="1" applyAlignment="1">
      <alignment horizontal="center" vertical="center"/>
    </xf>
    <xf numFmtId="180" fontId="9" fillId="0" borderId="0" xfId="9" applyNumberFormat="1" applyFont="1" applyAlignment="1">
      <alignment horizontal="right" vertical="center"/>
    </xf>
    <xf numFmtId="180" fontId="9" fillId="0" borderId="0" xfId="9" applyNumberFormat="1" applyFont="1">
      <alignment vertical="center"/>
    </xf>
    <xf numFmtId="0" fontId="9" fillId="0" borderId="38" xfId="0" applyFont="1" applyBorder="1" applyAlignment="1">
      <alignment horizontal="center" vertical="center"/>
    </xf>
    <xf numFmtId="3" fontId="57" fillId="5" borderId="21" xfId="0" applyNumberFormat="1" applyFont="1" applyFill="1" applyBorder="1" applyAlignment="1">
      <alignment horizontal="right" vertical="center"/>
    </xf>
    <xf numFmtId="3" fontId="57" fillId="5" borderId="23" xfId="0" applyNumberFormat="1" applyFont="1" applyFill="1" applyBorder="1" applyAlignment="1">
      <alignment horizontal="right" vertical="center" shrinkToFit="1"/>
    </xf>
    <xf numFmtId="49" fontId="9" fillId="0" borderId="24" xfId="0" applyNumberFormat="1" applyFont="1" applyBorder="1" applyAlignment="1">
      <alignment horizontal="center" vertical="center"/>
    </xf>
    <xf numFmtId="182" fontId="36" fillId="0" borderId="10" xfId="0" applyNumberFormat="1" applyFont="1" applyBorder="1" applyAlignment="1">
      <alignment vertical="center" shrinkToFit="1"/>
    </xf>
    <xf numFmtId="49" fontId="36" fillId="0" borderId="15" xfId="0" applyNumberFormat="1" applyFont="1" applyBorder="1" applyAlignment="1">
      <alignment horizontal="left" vertical="center"/>
    </xf>
    <xf numFmtId="178" fontId="9" fillId="0" borderId="24" xfId="0" applyNumberFormat="1" applyFont="1" applyBorder="1" applyAlignment="1">
      <alignment horizontal="center" vertical="center"/>
    </xf>
    <xf numFmtId="0" fontId="52" fillId="0" borderId="70" xfId="0" applyFont="1" applyBorder="1" applyAlignment="1">
      <alignment horizontal="left" vertical="center"/>
    </xf>
    <xf numFmtId="49" fontId="43" fillId="0" borderId="0" xfId="0" applyNumberFormat="1" applyFont="1">
      <alignment vertical="center"/>
    </xf>
    <xf numFmtId="0" fontId="36" fillId="0" borderId="10" xfId="0" applyFont="1" applyBorder="1" applyAlignment="1">
      <alignment horizontal="left" vertical="center"/>
    </xf>
    <xf numFmtId="182" fontId="36" fillId="0" borderId="10" xfId="0" applyNumberFormat="1" applyFont="1" applyBorder="1" applyAlignment="1">
      <alignment horizontal="center" vertical="center" shrinkToFit="1"/>
    </xf>
    <xf numFmtId="49" fontId="46" fillId="0" borderId="15" xfId="0" quotePrefix="1" applyNumberFormat="1" applyFont="1" applyBorder="1" applyAlignment="1">
      <alignment horizontal="left" vertical="center"/>
    </xf>
    <xf numFmtId="0" fontId="47" fillId="0" borderId="21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181" fontId="36" fillId="0" borderId="23" xfId="0" applyNumberFormat="1" applyFont="1" applyBorder="1" applyAlignment="1">
      <alignment horizontal="center" vertical="center"/>
    </xf>
    <xf numFmtId="180" fontId="9" fillId="0" borderId="23" xfId="0" applyNumberFormat="1" applyFont="1" applyBorder="1" applyAlignment="1">
      <alignment horizontal="center" vertical="center"/>
    </xf>
    <xf numFmtId="26" fontId="14" fillId="0" borderId="21" xfId="0" applyNumberFormat="1" applyFont="1" applyBorder="1" applyAlignment="1">
      <alignment horizontal="center" vertical="center"/>
    </xf>
    <xf numFmtId="26" fontId="14" fillId="0" borderId="14" xfId="0" applyNumberFormat="1" applyFont="1" applyBorder="1" applyAlignment="1">
      <alignment horizontal="center" vertical="center"/>
    </xf>
    <xf numFmtId="181" fontId="36" fillId="0" borderId="13" xfId="0" applyNumberFormat="1" applyFont="1" applyBorder="1" applyAlignment="1">
      <alignment horizontal="center" vertical="center"/>
    </xf>
    <xf numFmtId="181" fontId="36" fillId="0" borderId="21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/>
    </xf>
    <xf numFmtId="180" fontId="9" fillId="0" borderId="8" xfId="0" applyNumberFormat="1" applyFont="1" applyBorder="1" applyAlignment="1">
      <alignment horizontal="center" vertical="center"/>
    </xf>
    <xf numFmtId="181" fontId="36" fillId="0" borderId="10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84" fontId="9" fillId="5" borderId="19" xfId="2" applyNumberFormat="1" applyFont="1" applyFill="1" applyBorder="1" applyAlignment="1">
      <alignment horizontal="center" vertical="center"/>
    </xf>
    <xf numFmtId="176" fontId="9" fillId="0" borderId="19" xfId="2" applyFont="1" applyFill="1" applyBorder="1" applyAlignment="1">
      <alignment horizontal="center" vertical="center"/>
    </xf>
    <xf numFmtId="176" fontId="9" fillId="0" borderId="21" xfId="2" applyFont="1" applyFill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13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 applyAlignment="1">
      <alignment horizontal="center"/>
    </xf>
    <xf numFmtId="0" fontId="38" fillId="0" borderId="24" xfId="0" applyFont="1" applyBorder="1" applyAlignment="1">
      <alignment horizontal="left" vertical="center"/>
    </xf>
    <xf numFmtId="182" fontId="9" fillId="0" borderId="65" xfId="0" applyNumberFormat="1" applyFont="1" applyBorder="1" applyAlignment="1">
      <alignment horizontal="center" vertical="center" shrinkToFit="1"/>
    </xf>
    <xf numFmtId="0" fontId="9" fillId="0" borderId="65" xfId="0" applyFont="1" applyBorder="1" applyAlignment="1">
      <alignment horizontal="center" vertical="center"/>
    </xf>
    <xf numFmtId="180" fontId="9" fillId="0" borderId="65" xfId="0" applyNumberFormat="1" applyFont="1" applyBorder="1" applyAlignment="1">
      <alignment horizontal="center" vertical="center" shrinkToFit="1"/>
    </xf>
    <xf numFmtId="180" fontId="9" fillId="0" borderId="65" xfId="0" applyNumberFormat="1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49" fontId="59" fillId="0" borderId="56" xfId="0" applyNumberFormat="1" applyFont="1" applyBorder="1">
      <alignment vertical="center"/>
    </xf>
    <xf numFmtId="49" fontId="59" fillId="0" borderId="0" xfId="0" applyNumberFormat="1" applyFont="1">
      <alignment vertical="center"/>
    </xf>
    <xf numFmtId="0" fontId="9" fillId="0" borderId="58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80" fontId="9" fillId="0" borderId="3" xfId="0" applyNumberFormat="1" applyFont="1" applyBorder="1" applyAlignment="1">
      <alignment horizontal="right" vertical="center"/>
    </xf>
    <xf numFmtId="0" fontId="12" fillId="0" borderId="24" xfId="0" applyFont="1" applyBorder="1">
      <alignment vertical="center"/>
    </xf>
    <xf numFmtId="56" fontId="12" fillId="0" borderId="67" xfId="0" applyNumberFormat="1" applyFont="1" applyBorder="1" applyAlignment="1">
      <alignment horizontal="center" vertical="center"/>
    </xf>
    <xf numFmtId="0" fontId="9" fillId="0" borderId="39" xfId="0" applyFont="1" applyBorder="1" applyAlignment="1"/>
    <xf numFmtId="49" fontId="9" fillId="0" borderId="13" xfId="0" applyNumberFormat="1" applyFont="1" applyBorder="1" applyAlignment="1">
      <alignment horizontal="left" vertical="center"/>
    </xf>
    <xf numFmtId="0" fontId="38" fillId="3" borderId="13" xfId="0" applyFont="1" applyFill="1" applyBorder="1" applyAlignment="1">
      <alignment horizontal="left" vertical="center"/>
    </xf>
    <xf numFmtId="184" fontId="9" fillId="0" borderId="13" xfId="2" applyNumberFormat="1" applyFont="1" applyFill="1" applyBorder="1" applyAlignment="1">
      <alignment horizontal="right" vertical="center"/>
    </xf>
    <xf numFmtId="180" fontId="9" fillId="0" borderId="13" xfId="0" applyNumberFormat="1" applyFont="1" applyBorder="1">
      <alignment vertical="center"/>
    </xf>
    <xf numFmtId="181" fontId="9" fillId="0" borderId="13" xfId="2" applyNumberFormat="1" applyFont="1" applyFill="1" applyBorder="1" applyAlignment="1">
      <alignment horizontal="right" vertical="center"/>
    </xf>
    <xf numFmtId="49" fontId="9" fillId="0" borderId="40" xfId="0" applyNumberFormat="1" applyFont="1" applyBorder="1">
      <alignment vertical="center"/>
    </xf>
    <xf numFmtId="0" fontId="0" fillId="0" borderId="76" xfId="0" applyBorder="1" applyAlignment="1">
      <alignment horizontal="center" vertical="center"/>
    </xf>
    <xf numFmtId="0" fontId="9" fillId="0" borderId="41" xfId="0" applyFont="1" applyBorder="1">
      <alignment vertical="center"/>
    </xf>
    <xf numFmtId="0" fontId="9" fillId="0" borderId="42" xfId="0" applyFont="1" applyBorder="1">
      <alignment vertical="center"/>
    </xf>
    <xf numFmtId="0" fontId="9" fillId="0" borderId="23" xfId="0" applyFont="1" applyBorder="1" applyAlignment="1">
      <alignment vertical="center" shrinkToFit="1"/>
    </xf>
    <xf numFmtId="176" fontId="9" fillId="0" borderId="23" xfId="2" applyFont="1" applyFill="1" applyBorder="1" applyAlignment="1">
      <alignment horizontal="right" vertical="center"/>
    </xf>
    <xf numFmtId="180" fontId="9" fillId="0" borderId="23" xfId="0" applyNumberFormat="1" applyFont="1" applyBorder="1">
      <alignment vertical="center"/>
    </xf>
    <xf numFmtId="181" fontId="9" fillId="0" borderId="23" xfId="2" applyNumberFormat="1" applyFont="1" applyFill="1" applyBorder="1" applyAlignment="1">
      <alignment horizontal="right" vertical="center"/>
    </xf>
    <xf numFmtId="49" fontId="9" fillId="0" borderId="43" xfId="0" applyNumberFormat="1" applyFont="1" applyBorder="1">
      <alignment vertical="center"/>
    </xf>
    <xf numFmtId="0" fontId="0" fillId="0" borderId="77" xfId="0" applyBorder="1" applyAlignment="1">
      <alignment horizontal="center" vertical="center"/>
    </xf>
    <xf numFmtId="182" fontId="9" fillId="0" borderId="65" xfId="0" applyNumberFormat="1" applyFont="1" applyBorder="1" applyAlignment="1">
      <alignment vertical="center" shrinkToFit="1"/>
    </xf>
    <xf numFmtId="49" fontId="38" fillId="0" borderId="55" xfId="0" applyNumberFormat="1" applyFont="1" applyBorder="1">
      <alignment vertical="center"/>
    </xf>
    <xf numFmtId="49" fontId="38" fillId="0" borderId="75" xfId="0" applyNumberFormat="1" applyFont="1" applyBorder="1">
      <alignment vertical="center"/>
    </xf>
    <xf numFmtId="180" fontId="57" fillId="5" borderId="21" xfId="0" applyNumberFormat="1" applyFont="1" applyFill="1" applyBorder="1" applyAlignment="1">
      <alignment horizontal="right" vertical="center"/>
    </xf>
    <xf numFmtId="49" fontId="61" fillId="0" borderId="13" xfId="0" applyNumberFormat="1" applyFont="1" applyBorder="1" applyAlignment="1">
      <alignment horizontal="center" vertical="center"/>
    </xf>
    <xf numFmtId="180" fontId="57" fillId="0" borderId="13" xfId="0" applyNumberFormat="1" applyFont="1" applyBorder="1" applyAlignment="1">
      <alignment horizontal="left" vertical="center" shrinkToFit="1"/>
    </xf>
    <xf numFmtId="49" fontId="59" fillId="0" borderId="21" xfId="0" applyNumberFormat="1" applyFont="1" applyBorder="1">
      <alignment vertical="center"/>
    </xf>
    <xf numFmtId="180" fontId="57" fillId="0" borderId="13" xfId="0" applyNumberFormat="1" applyFont="1" applyBorder="1" applyAlignment="1">
      <alignment horizontal="left" vertical="center"/>
    </xf>
    <xf numFmtId="49" fontId="59" fillId="0" borderId="13" xfId="0" applyNumberFormat="1" applyFont="1" applyBorder="1">
      <alignment vertical="center"/>
    </xf>
    <xf numFmtId="0" fontId="9" fillId="0" borderId="40" xfId="0" applyFont="1" applyBorder="1">
      <alignment vertical="center"/>
    </xf>
    <xf numFmtId="0" fontId="9" fillId="0" borderId="28" xfId="0" applyFont="1" applyBorder="1">
      <alignment vertical="center"/>
    </xf>
    <xf numFmtId="180" fontId="57" fillId="5" borderId="23" xfId="0" applyNumberFormat="1" applyFont="1" applyFill="1" applyBorder="1" applyAlignment="1">
      <alignment horizontal="right" vertical="center"/>
    </xf>
    <xf numFmtId="49" fontId="38" fillId="0" borderId="15" xfId="0" applyNumberFormat="1" applyFont="1" applyBorder="1">
      <alignment vertical="center"/>
    </xf>
    <xf numFmtId="0" fontId="36" fillId="0" borderId="13" xfId="0" applyFont="1" applyBorder="1" applyAlignment="1">
      <alignment horizontal="left" vertical="center"/>
    </xf>
    <xf numFmtId="49" fontId="36" fillId="0" borderId="30" xfId="0" quotePrefix="1" applyNumberFormat="1" applyFont="1" applyBorder="1" applyAlignment="1">
      <alignment horizontal="left" vertical="center"/>
    </xf>
    <xf numFmtId="0" fontId="36" fillId="0" borderId="14" xfId="0" quotePrefix="1" applyFont="1" applyBorder="1" applyAlignment="1">
      <alignment vertical="center" wrapText="1"/>
    </xf>
    <xf numFmtId="0" fontId="9" fillId="0" borderId="78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0" fontId="36" fillId="0" borderId="0" xfId="0" applyFont="1">
      <alignment vertical="center"/>
    </xf>
    <xf numFmtId="0" fontId="23" fillId="0" borderId="55" xfId="0" applyFont="1" applyBorder="1">
      <alignment vertical="center"/>
    </xf>
    <xf numFmtId="0" fontId="23" fillId="0" borderId="75" xfId="0" applyFont="1" applyBorder="1">
      <alignment vertical="center"/>
    </xf>
    <xf numFmtId="49" fontId="36" fillId="0" borderId="22" xfId="0" applyNumberFormat="1" applyFont="1" applyBorder="1" applyAlignment="1">
      <alignment horizontal="left" vertical="center"/>
    </xf>
    <xf numFmtId="49" fontId="38" fillId="0" borderId="46" xfId="0" applyNumberFormat="1" applyFont="1" applyBorder="1" applyAlignment="1">
      <alignment horizontal="center" vertical="center"/>
    </xf>
    <xf numFmtId="49" fontId="38" fillId="0" borderId="54" xfId="0" applyNumberFormat="1" applyFont="1" applyBorder="1" applyAlignment="1">
      <alignment horizontal="center" vertical="center"/>
    </xf>
    <xf numFmtId="49" fontId="38" fillId="0" borderId="58" xfId="0" applyNumberFormat="1" applyFont="1" applyBorder="1" applyAlignment="1">
      <alignment horizontal="center" vertical="center"/>
    </xf>
    <xf numFmtId="49" fontId="46" fillId="0" borderId="10" xfId="0" quotePrefix="1" applyNumberFormat="1" applyFont="1" applyBorder="1" applyAlignment="1">
      <alignment horizontal="left" vertical="center"/>
    </xf>
    <xf numFmtId="181" fontId="36" fillId="0" borderId="13" xfId="0" applyNumberFormat="1" applyFont="1" applyBorder="1" applyAlignment="1">
      <alignment horizontal="right" vertical="center"/>
    </xf>
    <xf numFmtId="0" fontId="0" fillId="0" borderId="13" xfId="0" applyBorder="1">
      <alignment vertical="center"/>
    </xf>
    <xf numFmtId="0" fontId="0" fillId="0" borderId="40" xfId="0" applyBorder="1">
      <alignment vertical="center"/>
    </xf>
    <xf numFmtId="181" fontId="36" fillId="0" borderId="21" xfId="0" applyNumberFormat="1" applyFont="1" applyBorder="1" applyAlignment="1">
      <alignment horizontal="right" vertical="center"/>
    </xf>
    <xf numFmtId="180" fontId="9" fillId="0" borderId="21" xfId="0" applyNumberFormat="1" applyFont="1" applyBorder="1" applyAlignment="1">
      <alignment horizontal="right" vertical="center"/>
    </xf>
    <xf numFmtId="0" fontId="0" fillId="0" borderId="21" xfId="0" applyBorder="1">
      <alignment vertical="center"/>
    </xf>
    <xf numFmtId="181" fontId="36" fillId="0" borderId="23" xfId="0" applyNumberFormat="1" applyFont="1" applyBorder="1" applyAlignment="1">
      <alignment horizontal="right" vertical="center"/>
    </xf>
    <xf numFmtId="180" fontId="9" fillId="0" borderId="23" xfId="0" applyNumberFormat="1" applyFont="1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43" xfId="0" applyBorder="1">
      <alignment vertical="center"/>
    </xf>
    <xf numFmtId="49" fontId="38" fillId="0" borderId="56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65" fillId="0" borderId="24" xfId="0" applyFont="1" applyBorder="1" applyAlignment="1">
      <alignment horizontal="center" vertical="center"/>
    </xf>
    <xf numFmtId="49" fontId="65" fillId="0" borderId="13" xfId="0" applyNumberFormat="1" applyFont="1" applyBorder="1" applyAlignment="1">
      <alignment horizontal="center" vertical="center"/>
    </xf>
    <xf numFmtId="185" fontId="65" fillId="0" borderId="21" xfId="0" applyNumberFormat="1" applyFont="1" applyBorder="1" applyAlignment="1">
      <alignment horizontal="center" vertical="center"/>
    </xf>
    <xf numFmtId="49" fontId="65" fillId="0" borderId="21" xfId="0" applyNumberFormat="1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5" fillId="0" borderId="23" xfId="0" applyFont="1" applyBorder="1" applyAlignment="1">
      <alignment horizontal="center" vertical="center"/>
    </xf>
    <xf numFmtId="49" fontId="65" fillId="0" borderId="23" xfId="0" applyNumberFormat="1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46" fillId="0" borderId="0" xfId="0" quotePrefix="1" applyNumberFormat="1" applyFont="1" applyAlignment="1">
      <alignment horizontal="left" vertical="center"/>
    </xf>
    <xf numFmtId="182" fontId="36" fillId="0" borderId="0" xfId="0" applyNumberFormat="1" applyFont="1" applyAlignment="1">
      <alignment vertical="center" shrinkToFit="1"/>
    </xf>
    <xf numFmtId="0" fontId="0" fillId="0" borderId="76" xfId="0" applyBorder="1">
      <alignment vertical="center"/>
    </xf>
    <xf numFmtId="0" fontId="0" fillId="0" borderId="48" xfId="0" applyBorder="1">
      <alignment vertical="center"/>
    </xf>
    <xf numFmtId="0" fontId="0" fillId="0" borderId="47" xfId="0" applyBorder="1">
      <alignment vertical="center"/>
    </xf>
    <xf numFmtId="49" fontId="38" fillId="0" borderId="68" xfId="0" applyNumberFormat="1" applyFont="1" applyBorder="1" applyAlignment="1">
      <alignment horizontal="center" vertical="center"/>
    </xf>
    <xf numFmtId="49" fontId="38" fillId="0" borderId="66" xfId="0" applyNumberFormat="1" applyFont="1" applyBorder="1">
      <alignment vertical="center"/>
    </xf>
    <xf numFmtId="49" fontId="38" fillId="0" borderId="66" xfId="0" applyNumberFormat="1" applyFont="1" applyBorder="1" applyAlignment="1">
      <alignment horizontal="center" vertical="center"/>
    </xf>
    <xf numFmtId="49" fontId="38" fillId="0" borderId="40" xfId="0" applyNumberFormat="1" applyFont="1" applyBorder="1">
      <alignment vertical="center"/>
    </xf>
    <xf numFmtId="49" fontId="57" fillId="0" borderId="19" xfId="0" applyNumberFormat="1" applyFont="1" applyBorder="1" applyAlignment="1">
      <alignment horizontal="center" vertical="center"/>
    </xf>
    <xf numFmtId="0" fontId="57" fillId="5" borderId="19" xfId="0" applyFont="1" applyFill="1" applyBorder="1" applyAlignment="1">
      <alignment horizontal="left" vertical="center"/>
    </xf>
    <xf numFmtId="3" fontId="57" fillId="0" borderId="19" xfId="0" applyNumberFormat="1" applyFont="1" applyBorder="1" applyAlignment="1">
      <alignment horizontal="right" vertical="center"/>
    </xf>
    <xf numFmtId="3" fontId="57" fillId="5" borderId="21" xfId="0" applyNumberFormat="1" applyFont="1" applyFill="1" applyBorder="1" applyAlignment="1">
      <alignment horizontal="right" vertical="center" shrinkToFit="1"/>
    </xf>
    <xf numFmtId="180" fontId="57" fillId="0" borderId="19" xfId="0" applyNumberFormat="1" applyFont="1" applyBorder="1" applyAlignment="1">
      <alignment horizontal="right" vertical="center" shrinkToFit="1"/>
    </xf>
    <xf numFmtId="49" fontId="66" fillId="0" borderId="0" xfId="0" applyNumberFormat="1" applyFont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0" fontId="67" fillId="0" borderId="0" xfId="0" applyFont="1">
      <alignment vertical="center"/>
    </xf>
    <xf numFmtId="0" fontId="67" fillId="0" borderId="0" xfId="0" applyFont="1" applyAlignment="1">
      <alignment vertical="center" wrapText="1"/>
    </xf>
    <xf numFmtId="0" fontId="69" fillId="0" borderId="0" xfId="0" applyFont="1" applyAlignment="1">
      <alignment horizontal="center" vertical="center"/>
    </xf>
    <xf numFmtId="49" fontId="70" fillId="0" borderId="0" xfId="0" applyNumberFormat="1" applyFont="1" applyAlignment="1">
      <alignment horizontal="center" vertical="center"/>
    </xf>
    <xf numFmtId="49" fontId="70" fillId="0" borderId="14" xfId="0" applyNumberFormat="1" applyFont="1" applyBorder="1" applyAlignment="1">
      <alignment horizontal="center" vertical="center" wrapText="1"/>
    </xf>
    <xf numFmtId="0" fontId="71" fillId="0" borderId="14" xfId="0" applyFont="1" applyBorder="1" applyAlignment="1">
      <alignment horizontal="center" vertical="center" wrapText="1"/>
    </xf>
    <xf numFmtId="0" fontId="71" fillId="0" borderId="14" xfId="0" applyFont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2" fillId="5" borderId="39" xfId="0" applyFont="1" applyFill="1" applyBorder="1" applyAlignment="1">
      <alignment horizontal="center" vertical="center"/>
    </xf>
    <xf numFmtId="49" fontId="73" fillId="0" borderId="13" xfId="0" quotePrefix="1" applyNumberFormat="1" applyFont="1" applyBorder="1" applyAlignment="1">
      <alignment horizontal="center" vertical="center" wrapText="1"/>
    </xf>
    <xf numFmtId="0" fontId="73" fillId="0" borderId="13" xfId="0" applyFont="1" applyBorder="1" applyAlignment="1">
      <alignment horizontal="center" vertical="center" wrapText="1"/>
    </xf>
    <xf numFmtId="0" fontId="73" fillId="0" borderId="13" xfId="0" quotePrefix="1" applyFont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0" fontId="71" fillId="0" borderId="13" xfId="0" applyFont="1" applyBorder="1" applyAlignment="1">
      <alignment horizontal="center" vertical="center" wrapText="1"/>
    </xf>
    <xf numFmtId="0" fontId="70" fillId="0" borderId="40" xfId="0" applyFont="1" applyBorder="1" applyAlignment="1">
      <alignment horizontal="center" vertical="center"/>
    </xf>
    <xf numFmtId="0" fontId="36" fillId="5" borderId="19" xfId="0" applyFont="1" applyFill="1" applyBorder="1" applyAlignment="1">
      <alignment horizontal="left" vertical="center"/>
    </xf>
    <xf numFmtId="49" fontId="59" fillId="0" borderId="70" xfId="0" applyNumberFormat="1" applyFont="1" applyBorder="1">
      <alignment vertical="center"/>
    </xf>
    <xf numFmtId="49" fontId="59" fillId="0" borderId="22" xfId="0" applyNumberFormat="1" applyFont="1" applyBorder="1">
      <alignment vertical="center"/>
    </xf>
    <xf numFmtId="0" fontId="61" fillId="0" borderId="39" xfId="0" applyFont="1" applyBorder="1" applyAlignment="1">
      <alignment horizontal="center" vertical="center"/>
    </xf>
    <xf numFmtId="3" fontId="57" fillId="0" borderId="33" xfId="0" applyNumberFormat="1" applyFont="1" applyBorder="1" applyAlignment="1">
      <alignment horizontal="left" vertical="center"/>
    </xf>
    <xf numFmtId="0" fontId="57" fillId="0" borderId="33" xfId="0" applyFont="1" applyBorder="1" applyAlignment="1">
      <alignment horizontal="left" vertical="center"/>
    </xf>
    <xf numFmtId="0" fontId="57" fillId="0" borderId="81" xfId="0" applyFont="1" applyBorder="1" applyAlignment="1">
      <alignment horizontal="center" vertical="center"/>
    </xf>
    <xf numFmtId="0" fontId="57" fillId="5" borderId="41" xfId="0" applyFont="1" applyFill="1" applyBorder="1" applyAlignment="1">
      <alignment horizontal="center" vertical="center"/>
    </xf>
    <xf numFmtId="49" fontId="58" fillId="5" borderId="41" xfId="0" applyNumberFormat="1" applyFont="1" applyFill="1" applyBorder="1" applyAlignment="1">
      <alignment horizontal="center" vertical="center"/>
    </xf>
    <xf numFmtId="0" fontId="57" fillId="5" borderId="42" xfId="0" applyFont="1" applyFill="1" applyBorder="1" applyAlignment="1">
      <alignment horizontal="center" vertical="center"/>
    </xf>
    <xf numFmtId="0" fontId="36" fillId="0" borderId="19" xfId="0" applyFont="1" applyBorder="1" applyAlignment="1">
      <alignment horizontal="left" vertical="center"/>
    </xf>
    <xf numFmtId="0" fontId="36" fillId="0" borderId="23" xfId="0" applyFont="1" applyBorder="1" applyAlignment="1">
      <alignment vertical="center" wrapText="1"/>
    </xf>
    <xf numFmtId="0" fontId="0" fillId="0" borderId="77" xfId="0" applyBorder="1">
      <alignment vertical="center"/>
    </xf>
    <xf numFmtId="0" fontId="36" fillId="0" borderId="21" xfId="0" quotePrefix="1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49" fontId="38" fillId="0" borderId="46" xfId="0" applyNumberFormat="1" applyFont="1" applyBorder="1" applyAlignment="1">
      <alignment horizontal="center" vertical="center"/>
    </xf>
    <xf numFmtId="49" fontId="38" fillId="0" borderId="54" xfId="0" applyNumberFormat="1" applyFont="1" applyBorder="1" applyAlignment="1">
      <alignment horizontal="center" vertical="center"/>
    </xf>
    <xf numFmtId="49" fontId="38" fillId="0" borderId="58" xfId="0" applyNumberFormat="1" applyFont="1" applyBorder="1" applyAlignment="1">
      <alignment horizontal="center" vertical="center"/>
    </xf>
    <xf numFmtId="185" fontId="65" fillId="0" borderId="14" xfId="0" applyNumberFormat="1" applyFont="1" applyBorder="1" applyAlignment="1">
      <alignment horizontal="center" vertical="center"/>
    </xf>
    <xf numFmtId="185" fontId="65" fillId="0" borderId="19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49" fontId="43" fillId="0" borderId="0" xfId="0" applyNumberFormat="1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75" fillId="0" borderId="79" xfId="0" applyFont="1" applyBorder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49" fontId="60" fillId="0" borderId="73" xfId="0" applyNumberFormat="1" applyFont="1" applyBorder="1" applyAlignment="1">
      <alignment horizontal="center" vertical="center"/>
    </xf>
    <xf numFmtId="49" fontId="60" fillId="0" borderId="57" xfId="0" applyNumberFormat="1" applyFont="1" applyBorder="1" applyAlignment="1">
      <alignment horizontal="center" vertical="center"/>
    </xf>
    <xf numFmtId="49" fontId="60" fillId="0" borderId="67" xfId="0" applyNumberFormat="1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8" fillId="0" borderId="58" xfId="0" applyFont="1" applyBorder="1" applyAlignment="1">
      <alignment horizontal="center" vertical="center"/>
    </xf>
    <xf numFmtId="49" fontId="38" fillId="0" borderId="82" xfId="0" applyNumberFormat="1" applyFont="1" applyBorder="1" applyAlignment="1">
      <alignment horizontal="center" vertical="center"/>
    </xf>
    <xf numFmtId="49" fontId="46" fillId="0" borderId="24" xfId="0" quotePrefix="1" applyNumberFormat="1" applyFont="1" applyBorder="1" applyAlignment="1">
      <alignment horizontal="left" vertical="center"/>
    </xf>
    <xf numFmtId="0" fontId="36" fillId="0" borderId="24" xfId="0" applyFont="1" applyBorder="1" applyAlignment="1">
      <alignment horizontal="left" vertical="center"/>
    </xf>
    <xf numFmtId="49" fontId="38" fillId="0" borderId="15" xfId="0" applyNumberFormat="1" applyFont="1" applyBorder="1" applyAlignment="1">
      <alignment horizontal="center" vertical="center"/>
    </xf>
    <xf numFmtId="49" fontId="60" fillId="0" borderId="38" xfId="0" applyNumberFormat="1" applyFont="1" applyBorder="1" applyAlignment="1">
      <alignment vertical="center"/>
    </xf>
    <xf numFmtId="49" fontId="60" fillId="0" borderId="10" xfId="0" applyNumberFormat="1" applyFont="1" applyBorder="1" applyAlignment="1">
      <alignment vertical="center"/>
    </xf>
    <xf numFmtId="49" fontId="60" fillId="0" borderId="24" xfId="0" applyNumberFormat="1" applyFont="1" applyBorder="1" applyAlignment="1">
      <alignment vertical="center"/>
    </xf>
    <xf numFmtId="1" fontId="9" fillId="0" borderId="24" xfId="0" applyNumberFormat="1" applyFont="1" applyBorder="1" applyAlignment="1">
      <alignment horizontal="center" vertical="center"/>
    </xf>
  </cellXfs>
  <cellStyles count="10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39</xdr:row>
      <xdr:rowOff>112395</xdr:rowOff>
    </xdr:from>
    <xdr:to>
      <xdr:col>11</xdr:col>
      <xdr:colOff>645795</xdr:colOff>
      <xdr:row>47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444501</xdr:colOff>
      <xdr:row>2</xdr:row>
      <xdr:rowOff>338667</xdr:rowOff>
    </xdr:from>
    <xdr:to>
      <xdr:col>6</xdr:col>
      <xdr:colOff>3096709</xdr:colOff>
      <xdr:row>2</xdr:row>
      <xdr:rowOff>2032000</xdr:rowOff>
    </xdr:to>
    <xdr:pic>
      <xdr:nvPicPr>
        <xdr:cNvPr id="6" name="画像 1">
          <a:extLst>
            <a:ext uri="{FF2B5EF4-FFF2-40B4-BE49-F238E27FC236}">
              <a16:creationId xmlns:a16="http://schemas.microsoft.com/office/drawing/2014/main" id="{33A60522-E9DA-44D5-8EF9-E45E8CB14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05501" y="1862667"/>
          <a:ext cx="2652208" cy="16933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C43" sqref="C43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91</v>
      </c>
    </row>
    <row r="3" spans="1:3">
      <c r="A3" s="70">
        <f>A2+1</f>
        <v>3</v>
      </c>
      <c r="B3" s="7" t="s">
        <v>4</v>
      </c>
      <c r="C3" s="2" t="s">
        <v>92</v>
      </c>
    </row>
    <row r="4" spans="1:3">
      <c r="A4" s="70">
        <f t="shared" ref="A4:A68" si="0">A3+1</f>
        <v>4</v>
      </c>
      <c r="B4" s="7" t="s">
        <v>3</v>
      </c>
      <c r="C4" s="2" t="s">
        <v>93</v>
      </c>
    </row>
    <row r="5" spans="1:3" s="71" customFormat="1">
      <c r="A5" s="70">
        <f t="shared" si="0"/>
        <v>5</v>
      </c>
      <c r="B5" s="7" t="s">
        <v>5</v>
      </c>
      <c r="C5" s="7" t="s">
        <v>94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106</v>
      </c>
      <c r="C9" s="7" t="s">
        <v>141</v>
      </c>
    </row>
    <row r="10" spans="1:3" s="71" customFormat="1">
      <c r="A10" s="70">
        <f t="shared" si="0"/>
        <v>10</v>
      </c>
      <c r="B10" s="72" t="s">
        <v>107</v>
      </c>
      <c r="C10" s="7" t="s">
        <v>140</v>
      </c>
    </row>
    <row r="11" spans="1:3" s="71" customFormat="1">
      <c r="A11" s="70">
        <f t="shared" si="0"/>
        <v>11</v>
      </c>
      <c r="B11" s="72" t="s">
        <v>108</v>
      </c>
      <c r="C11" s="2" t="s">
        <v>142</v>
      </c>
    </row>
    <row r="12" spans="1:3" s="71" customFormat="1">
      <c r="A12" s="70">
        <f t="shared" si="0"/>
        <v>12</v>
      </c>
      <c r="B12" s="72" t="s">
        <v>109</v>
      </c>
      <c r="C12" s="2" t="s">
        <v>143</v>
      </c>
    </row>
    <row r="13" spans="1:3" s="71" customFormat="1">
      <c r="A13" s="70">
        <f t="shared" si="0"/>
        <v>13</v>
      </c>
      <c r="B13" s="72" t="s">
        <v>33</v>
      </c>
      <c r="C13" s="3" t="s">
        <v>149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95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116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110</v>
      </c>
    </row>
    <row r="25" spans="1:3" s="71" customFormat="1">
      <c r="A25" s="70">
        <f t="shared" si="0"/>
        <v>25</v>
      </c>
      <c r="B25" s="72" t="s">
        <v>44</v>
      </c>
      <c r="C25" s="170" t="s">
        <v>219</v>
      </c>
    </row>
    <row r="26" spans="1:3">
      <c r="A26" s="70">
        <f t="shared" si="0"/>
        <v>26</v>
      </c>
      <c r="B26" s="72" t="s">
        <v>45</v>
      </c>
      <c r="C26" s="171" t="s">
        <v>221</v>
      </c>
    </row>
    <row r="27" spans="1:3">
      <c r="A27" s="70">
        <f t="shared" si="0"/>
        <v>27</v>
      </c>
      <c r="B27" s="72" t="s">
        <v>46</v>
      </c>
      <c r="C27" s="171" t="str">
        <f>C26</f>
        <v xml:space="preserve"> SY-5000110-VT-DD-01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96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90</v>
      </c>
    </row>
    <row r="36" spans="1:3">
      <c r="A36" s="70">
        <f t="shared" si="0"/>
        <v>36</v>
      </c>
      <c r="B36" s="72" t="s">
        <v>56</v>
      </c>
      <c r="C36" s="81" t="s">
        <v>148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</row>
    <row r="43" spans="1:3">
      <c r="A43" s="70">
        <f t="shared" si="0"/>
        <v>43</v>
      </c>
      <c r="B43" s="72" t="s">
        <v>65</v>
      </c>
      <c r="C43" s="2" t="s">
        <v>270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173">
        <f>invoice!L33</f>
        <v>1192830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90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SY-5000110-VT-DD-01</v>
      </c>
    </row>
    <row r="50" spans="1:3">
      <c r="A50" s="70">
        <f t="shared" si="0"/>
        <v>50</v>
      </c>
      <c r="B50" s="72" t="s">
        <v>70</v>
      </c>
      <c r="C50" s="7" t="s">
        <v>141</v>
      </c>
    </row>
    <row r="51" spans="1:3">
      <c r="A51" s="70">
        <f t="shared" si="0"/>
        <v>51</v>
      </c>
      <c r="B51" s="72" t="s">
        <v>71</v>
      </c>
      <c r="C51" s="7" t="s">
        <v>140</v>
      </c>
    </row>
    <row r="52" spans="1:3">
      <c r="A52" s="70">
        <f t="shared" si="0"/>
        <v>52</v>
      </c>
      <c r="B52" s="72" t="s">
        <v>72</v>
      </c>
      <c r="C52" s="2" t="s">
        <v>142</v>
      </c>
    </row>
    <row r="53" spans="1:3">
      <c r="A53" s="70">
        <f t="shared" si="0"/>
        <v>53</v>
      </c>
      <c r="B53" s="72" t="s">
        <v>73</v>
      </c>
      <c r="C53" s="2" t="s">
        <v>143</v>
      </c>
    </row>
    <row r="54" spans="1:3">
      <c r="A54" s="70">
        <f t="shared" si="0"/>
        <v>54</v>
      </c>
      <c r="B54" s="72" t="s">
        <v>74</v>
      </c>
      <c r="C54" s="3" t="s">
        <v>144</v>
      </c>
    </row>
    <row r="55" spans="1:3">
      <c r="A55" s="70">
        <f t="shared" si="0"/>
        <v>55</v>
      </c>
      <c r="B55" s="251" t="s">
        <v>75</v>
      </c>
      <c r="C55" s="171" t="s">
        <v>258</v>
      </c>
    </row>
    <row r="56" spans="1:3">
      <c r="A56" s="70">
        <f t="shared" si="0"/>
        <v>56</v>
      </c>
      <c r="B56" s="7" t="s">
        <v>76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77</v>
      </c>
      <c r="C60" s="2" t="s">
        <v>78</v>
      </c>
    </row>
    <row r="61" spans="1:3">
      <c r="A61" s="70">
        <f t="shared" si="0"/>
        <v>61</v>
      </c>
      <c r="B61" s="7" t="s">
        <v>79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111</v>
      </c>
      <c r="C63" s="90" t="s">
        <v>113</v>
      </c>
    </row>
    <row r="64" spans="1:3">
      <c r="A64" s="70">
        <f t="shared" si="0"/>
        <v>64</v>
      </c>
      <c r="B64" s="7"/>
      <c r="C64" s="90" t="s">
        <v>114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80</v>
      </c>
      <c r="C67" s="68"/>
    </row>
    <row r="68" spans="1:3">
      <c r="A68" s="70">
        <f t="shared" si="0"/>
        <v>68</v>
      </c>
      <c r="B68" s="72" t="s">
        <v>81</v>
      </c>
      <c r="C68" s="2" t="s">
        <v>105</v>
      </c>
    </row>
    <row r="69" spans="1:3">
      <c r="A69" s="70">
        <f t="shared" ref="A69:A86" si="1">A68+1</f>
        <v>69</v>
      </c>
      <c r="B69" s="7" t="s">
        <v>82</v>
      </c>
      <c r="C69" s="2" t="s">
        <v>103</v>
      </c>
    </row>
    <row r="70" spans="1:3">
      <c r="A70" s="70">
        <f t="shared" si="1"/>
        <v>70</v>
      </c>
      <c r="B70" s="7" t="s">
        <v>83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84</v>
      </c>
      <c r="C75" s="2" t="s">
        <v>101</v>
      </c>
    </row>
    <row r="76" spans="1:3">
      <c r="A76" s="70">
        <f t="shared" si="1"/>
        <v>76</v>
      </c>
      <c r="B76" s="7" t="s">
        <v>85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86</v>
      </c>
      <c r="C78" s="2" t="s">
        <v>104</v>
      </c>
    </row>
    <row r="79" spans="1:3">
      <c r="A79" s="70">
        <f t="shared" si="1"/>
        <v>79</v>
      </c>
      <c r="B79" s="7" t="s">
        <v>87</v>
      </c>
      <c r="C79" s="2" t="s">
        <v>104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88</v>
      </c>
      <c r="C81" s="77" t="s">
        <v>220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89</v>
      </c>
      <c r="C83" s="2" t="s">
        <v>100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I26" sqref="H26:I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'shipper master'!C49</f>
        <v xml:space="preserve"> SY-5000110-VT-DD-01</v>
      </c>
      <c r="H2" s="85"/>
      <c r="I2" s="82" t="str">
        <f>'shipper master'!C49</f>
        <v xml:space="preserve"> SY-5000110-VT-DD-01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99</v>
      </c>
      <c r="C6" s="82">
        <v>1</v>
      </c>
      <c r="D6" s="84"/>
      <c r="H6" s="85"/>
      <c r="I6" s="82" t="s">
        <v>99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'shipper master'!C49</f>
        <v xml:space="preserve"> SY-5000110-VT-DD-01</v>
      </c>
      <c r="H13" s="85"/>
      <c r="I13" s="82" t="str">
        <f>'shipper master'!C49</f>
        <v xml:space="preserve"> SY-5000110-VT-DD-01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99</v>
      </c>
      <c r="C17" s="82">
        <v>3</v>
      </c>
      <c r="H17" s="85"/>
      <c r="I17" s="82" t="s">
        <v>99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4"/>
  <sheetViews>
    <sheetView showZeros="0" topLeftCell="A19" zoomScale="115" zoomScaleNormal="115" workbookViewId="0">
      <selection activeCell="Q31" sqref="Q31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81" t="s">
        <v>29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102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SY-5000110-VT-DD-01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'shipper master'!C49</f>
        <v xml:space="preserve"> SY-5000110-VT-DD-01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January , 11 2024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8"/>
      <c r="E11" s="482" t="str">
        <f>'shipper master'!C27</f>
        <v xml:space="preserve"> SY-5000110-VT-DD-01</v>
      </c>
      <c r="F11" s="483"/>
      <c r="G11" s="483"/>
      <c r="H11" s="483"/>
      <c r="I11" s="483"/>
      <c r="J11" s="484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155" t="s">
        <v>257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82">
        <f>'shipper master'!C30</f>
        <v>0</v>
      </c>
      <c r="F13" s="483"/>
      <c r="G13" s="483"/>
      <c r="H13" s="483"/>
      <c r="I13" s="483"/>
      <c r="J13" s="484"/>
      <c r="K13" s="36" t="s">
        <v>147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82">
        <f>'shipper master'!C29</f>
        <v>0</v>
      </c>
      <c r="F15" s="483"/>
      <c r="G15" s="483"/>
      <c r="H15" s="483"/>
      <c r="I15" s="483"/>
      <c r="J15" s="484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85"/>
      <c r="F17" s="486"/>
      <c r="G17" s="486"/>
      <c r="H17" s="486"/>
      <c r="I17" s="486"/>
      <c r="J17" s="487"/>
      <c r="K17" s="34"/>
      <c r="L17" s="5"/>
    </row>
    <row r="18" spans="1:12" ht="13.2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2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2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25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159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160">
        <f>'NARITA '!E62</f>
        <v>1092.5999999999999</v>
      </c>
      <c r="K27" s="239" t="str">
        <f>'NARITA '!F62</f>
        <v>M.</v>
      </c>
      <c r="L27" s="162">
        <f>'NARITA '!H62</f>
        <v>1144620</v>
      </c>
    </row>
    <row r="28" spans="1:12" s="1" customFormat="1" ht="13.4" customHeight="1">
      <c r="A28" s="19"/>
      <c r="B28" s="131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60">
        <f>'NARITA (2)'!E16</f>
        <v>253</v>
      </c>
      <c r="K28" s="239" t="str">
        <f>'NARITA (2)'!F16</f>
        <v>M.</v>
      </c>
      <c r="L28" s="162">
        <f>'NARITA (2)'!H16</f>
        <v>36450</v>
      </c>
    </row>
    <row r="29" spans="1:12" s="1" customFormat="1" ht="13.4" customHeight="1">
      <c r="A29" s="19"/>
      <c r="B29" s="131"/>
      <c r="C29" s="3"/>
      <c r="D29" s="7"/>
      <c r="E29" s="3"/>
      <c r="F29" s="3"/>
      <c r="G29" s="3"/>
      <c r="H29" s="3"/>
      <c r="I29" s="3"/>
      <c r="J29" s="163">
        <f>'NARITA '!E63</f>
        <v>1</v>
      </c>
      <c r="K29" s="239" t="str">
        <f>'NARITA '!F63</f>
        <v>PCS.</v>
      </c>
      <c r="L29" s="172">
        <f>'NARITA '!H63</f>
        <v>3000</v>
      </c>
    </row>
    <row r="30" spans="1:12" s="1" customFormat="1" ht="13.4" customHeight="1">
      <c r="A30" s="19"/>
      <c r="B30" s="131"/>
      <c r="C30" s="3"/>
      <c r="D30" s="7"/>
      <c r="E30" s="3"/>
      <c r="F30" s="3"/>
      <c r="G30" s="3"/>
      <c r="H30" s="3"/>
      <c r="I30" s="3"/>
      <c r="J30" s="163">
        <f>'NARITA (2)'!E17</f>
        <v>281</v>
      </c>
      <c r="K30" s="239" t="str">
        <f>'NARITA (2)'!F17</f>
        <v>PCS.</v>
      </c>
      <c r="L30" s="172">
        <f>'NARITA (2)'!H17</f>
        <v>8760</v>
      </c>
    </row>
    <row r="31" spans="1:12" s="1" customFormat="1" ht="13.4" customHeight="1">
      <c r="A31" s="19"/>
      <c r="B31" s="131"/>
      <c r="C31" s="3"/>
      <c r="D31" s="7"/>
      <c r="E31" s="3"/>
      <c r="F31" s="3"/>
      <c r="G31" s="3"/>
      <c r="H31" s="3"/>
      <c r="I31" s="3"/>
      <c r="J31" s="163">
        <f>'NARITA '!E64</f>
        <v>0</v>
      </c>
      <c r="K31" s="161" t="s">
        <v>146</v>
      </c>
      <c r="L31" s="172">
        <f>'NARITA '!H64</f>
        <v>0</v>
      </c>
    </row>
    <row r="32" spans="1:12" s="1" customFormat="1" ht="13.4" customHeight="1">
      <c r="A32" s="27"/>
      <c r="B32" s="9"/>
      <c r="C32" s="8"/>
      <c r="D32" s="9"/>
      <c r="E32" s="8"/>
      <c r="F32" s="8"/>
      <c r="G32" s="8"/>
      <c r="H32" s="8"/>
      <c r="I32" s="8"/>
      <c r="J32" s="163">
        <f>'NARITA (2)'!E18</f>
        <v>0</v>
      </c>
      <c r="K32" s="252" t="s">
        <v>146</v>
      </c>
      <c r="L32" s="164">
        <f>'NARITA (2)'!H18</f>
        <v>0</v>
      </c>
    </row>
    <row r="33" spans="1:12" s="1" customFormat="1" ht="17.25" customHeight="1" thickBot="1">
      <c r="A33" s="20"/>
      <c r="B33" s="21" t="s">
        <v>27</v>
      </c>
      <c r="C33" s="221">
        <f>J28+J27</f>
        <v>1345.6</v>
      </c>
      <c r="D33" s="221" t="s">
        <v>117</v>
      </c>
      <c r="E33" s="488">
        <f>J29+J30</f>
        <v>282</v>
      </c>
      <c r="F33" s="488"/>
      <c r="G33" s="488"/>
      <c r="H33" s="165">
        <f>H29</f>
        <v>0</v>
      </c>
      <c r="I33" s="166" t="s">
        <v>64</v>
      </c>
      <c r="J33" s="165">
        <f>J31+J32</f>
        <v>0</v>
      </c>
      <c r="K33" s="166" t="s">
        <v>146</v>
      </c>
      <c r="L33" s="167">
        <f>SUM(L27:L32)</f>
        <v>1192830</v>
      </c>
    </row>
    <row r="34" spans="1:12" s="1" customFormat="1" ht="13.4" customHeight="1" thickTop="1">
      <c r="A34" s="22"/>
      <c r="B34" s="23"/>
      <c r="C34" s="3"/>
      <c r="D34" s="57"/>
      <c r="E34" s="3"/>
      <c r="F34" s="57"/>
      <c r="G34" s="3"/>
      <c r="H34" s="3"/>
      <c r="I34" s="3"/>
      <c r="J34" s="19"/>
      <c r="K34" s="46"/>
      <c r="L34" s="22"/>
    </row>
    <row r="35" spans="1:12" s="1" customFormat="1" ht="13.4" customHeight="1">
      <c r="A35" s="3"/>
      <c r="B35" s="7"/>
      <c r="C35" s="3"/>
      <c r="D35" s="3"/>
      <c r="E35" s="3"/>
      <c r="F35" s="3"/>
      <c r="G35" s="3"/>
      <c r="H35" s="3"/>
      <c r="I35" s="3"/>
      <c r="J35" s="58"/>
      <c r="K35" s="46"/>
      <c r="L35" s="56"/>
    </row>
    <row r="36" spans="1:12" s="1" customFormat="1" ht="13.4" customHeight="1">
      <c r="A36" s="3" t="str">
        <f>'shipper master'!C63</f>
        <v>" THESE GOODS WILL BE RETURN TO JAPAN</v>
      </c>
      <c r="B36" s="91"/>
      <c r="C36" s="91"/>
      <c r="D36" s="91"/>
      <c r="E36" s="91"/>
      <c r="F36" s="3"/>
      <c r="G36" s="3"/>
      <c r="H36" s="3" t="s">
        <v>97</v>
      </c>
      <c r="I36" s="3"/>
      <c r="J36" s="58" t="s">
        <v>112</v>
      </c>
      <c r="K36" s="46"/>
      <c r="L36" s="3"/>
    </row>
    <row r="37" spans="1:12" s="1" customFormat="1" ht="13.4" customHeight="1">
      <c r="A37" s="480" t="str">
        <f>'shipper master'!C64</f>
        <v xml:space="preserve">  AFTER MANUFACTURED AT VIET NAM "</v>
      </c>
      <c r="B37" s="480"/>
      <c r="C37" s="480"/>
      <c r="D37" s="7"/>
      <c r="E37" s="3"/>
      <c r="F37" s="3"/>
      <c r="G37" s="3"/>
      <c r="H37" s="3" t="s">
        <v>98</v>
      </c>
      <c r="I37" s="3"/>
      <c r="J37" s="58" t="s">
        <v>115</v>
      </c>
      <c r="K37" s="46"/>
      <c r="L37" s="56"/>
    </row>
    <row r="38" spans="1:12" s="1" customFormat="1" ht="13.4" customHeight="1">
      <c r="A38" s="3"/>
      <c r="B38" s="7"/>
      <c r="C38" s="7">
        <f>'shipper master'!C58</f>
        <v>0</v>
      </c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 t="str">
        <f>'shipper master'!C60</f>
        <v>COUNTRY OF ORIGIN : JAPAN</v>
      </c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7"/>
      <c r="B40" s="7"/>
      <c r="C40" s="7"/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32" t="s">
        <v>134</v>
      </c>
      <c r="B41" s="109"/>
      <c r="C41" s="231" t="s">
        <v>256</v>
      </c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132" t="s">
        <v>135</v>
      </c>
      <c r="B42" s="109"/>
      <c r="C42" s="158" t="s">
        <v>165</v>
      </c>
      <c r="D42" s="7"/>
      <c r="E42" s="3"/>
      <c r="F42" s="3"/>
      <c r="G42" s="3"/>
      <c r="H42" s="3"/>
      <c r="I42" s="3"/>
      <c r="J42" s="19"/>
      <c r="K42" s="46"/>
      <c r="L42" s="3"/>
    </row>
    <row r="43" spans="1:12" s="1" customFormat="1" ht="13.4" customHeight="1">
      <c r="A43" s="45"/>
      <c r="B43" s="17"/>
      <c r="C43" s="69"/>
      <c r="D43" s="17"/>
      <c r="E43" s="67"/>
      <c r="F43" s="67"/>
      <c r="G43" s="67"/>
      <c r="H43" s="3"/>
      <c r="I43" s="3"/>
      <c r="J43" s="19"/>
      <c r="K43" s="46"/>
      <c r="L43" s="3"/>
    </row>
    <row r="44" spans="1:12" ht="18" customHeight="1">
      <c r="A44" s="45"/>
      <c r="B44" s="5"/>
      <c r="C44" s="5"/>
      <c r="D44" s="5"/>
      <c r="E44" s="5"/>
      <c r="F44" s="5"/>
      <c r="G44" s="14"/>
      <c r="H44" s="5"/>
      <c r="I44" s="5"/>
      <c r="J44" s="1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48"/>
      <c r="C46" s="5"/>
      <c r="D46" s="5"/>
      <c r="E46" s="5"/>
      <c r="F46" s="5"/>
      <c r="G46" s="5"/>
      <c r="H46" s="5"/>
      <c r="I46" s="5"/>
      <c r="J46" s="24"/>
      <c r="K46" s="47"/>
      <c r="L46" s="5"/>
    </row>
    <row r="47" spans="1:12" ht="13.4" customHeight="1">
      <c r="A47" s="5"/>
      <c r="B47" s="5"/>
      <c r="C47" s="5"/>
      <c r="D47" s="5"/>
      <c r="E47" s="5"/>
      <c r="F47" s="5"/>
      <c r="G47" s="37"/>
      <c r="H47" s="37"/>
      <c r="I47" s="37"/>
      <c r="J47" s="49"/>
      <c r="K47" s="50"/>
      <c r="L47" s="37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 ht="13.4" customHeight="1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47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24"/>
      <c r="K74" s="51"/>
      <c r="L74" s="5"/>
    </row>
    <row r="75" spans="1:12">
      <c r="J75" s="25"/>
      <c r="K75" s="11"/>
    </row>
    <row r="76" spans="1:12">
      <c r="J76" s="25"/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  <row r="94" spans="11:11">
      <c r="K94" s="11"/>
    </row>
  </sheetData>
  <mergeCells count="7">
    <mergeCell ref="A37:C37"/>
    <mergeCell ref="A1:L1"/>
    <mergeCell ref="E15:J15"/>
    <mergeCell ref="E11:J11"/>
    <mergeCell ref="E17:J17"/>
    <mergeCell ref="E13:J13"/>
    <mergeCell ref="E33:G33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N117"/>
  <sheetViews>
    <sheetView view="pageBreakPreview" topLeftCell="A49" zoomScale="90" zoomScaleNormal="90" zoomScaleSheetLayoutView="90" workbookViewId="0">
      <selection activeCell="G70" sqref="G70"/>
    </sheetView>
  </sheetViews>
  <sheetFormatPr defaultRowHeight="15"/>
  <cols>
    <col min="1" max="1" width="7.90625" style="70" customWidth="1"/>
    <col min="2" max="2" width="41.90625" style="131" customWidth="1"/>
    <col min="3" max="3" width="24.08984375" style="70" customWidth="1"/>
    <col min="4" max="4" width="50.81640625" style="3" customWidth="1"/>
    <col min="5" max="5" width="10.1796875" style="70" customWidth="1"/>
    <col min="6" max="6" width="5.6328125" style="70" customWidth="1"/>
    <col min="7" max="7" width="13.453125" style="70" customWidth="1"/>
    <col min="8" max="8" width="13.90625" style="70" customWidth="1"/>
    <col min="9" max="9" width="36" style="70" customWidth="1"/>
    <col min="10" max="10" width="14.453125" style="70" customWidth="1"/>
    <col min="11" max="11" width="11.453125" style="70" customWidth="1"/>
    <col min="12" max="12" width="25.36328125" style="70" customWidth="1"/>
    <col min="13" max="13" width="10.08984375" style="70" customWidth="1"/>
    <col min="14" max="14" width="7" style="70" customWidth="1"/>
  </cols>
  <sheetData>
    <row r="1" spans="1:14">
      <c r="A1" s="26"/>
      <c r="I1" s="26"/>
      <c r="J1" s="26"/>
      <c r="K1" s="26"/>
      <c r="L1" s="26"/>
      <c r="M1" s="26"/>
      <c r="N1" s="26"/>
    </row>
    <row r="2" spans="1:14" ht="15.5" thickBot="1">
      <c r="A2" s="489" t="s">
        <v>132</v>
      </c>
      <c r="B2" s="489"/>
      <c r="C2" s="489"/>
      <c r="D2" s="489"/>
      <c r="E2" s="489"/>
      <c r="F2" s="489"/>
      <c r="G2" s="489"/>
      <c r="H2" s="489"/>
      <c r="I2" s="244"/>
      <c r="L2" s="103"/>
      <c r="M2" s="103"/>
      <c r="N2" s="103"/>
    </row>
    <row r="3" spans="1:14" ht="15.5" thickBot="1">
      <c r="A3" s="245"/>
      <c r="B3" s="246"/>
      <c r="C3" s="245"/>
      <c r="D3" s="245"/>
      <c r="E3" s="245"/>
      <c r="F3" s="245"/>
      <c r="G3" s="245"/>
      <c r="H3" s="245"/>
      <c r="I3" s="244"/>
      <c r="L3" s="103"/>
      <c r="M3" s="103"/>
      <c r="N3" s="103"/>
    </row>
    <row r="4" spans="1:14" ht="21.75" customHeight="1" thickBot="1">
      <c r="A4" s="169" t="s">
        <v>60</v>
      </c>
      <c r="B4" s="145" t="s">
        <v>130</v>
      </c>
      <c r="C4" s="133" t="s">
        <v>119</v>
      </c>
      <c r="D4" s="134" t="s">
        <v>120</v>
      </c>
      <c r="E4" s="133" t="s">
        <v>121</v>
      </c>
      <c r="F4" s="490" t="s">
        <v>122</v>
      </c>
      <c r="G4" s="491"/>
      <c r="H4" s="135" t="s">
        <v>123</v>
      </c>
      <c r="I4" s="123" t="s">
        <v>124</v>
      </c>
      <c r="J4" s="119" t="s">
        <v>125</v>
      </c>
      <c r="K4" s="120" t="s">
        <v>126</v>
      </c>
      <c r="L4" s="124" t="s">
        <v>151</v>
      </c>
      <c r="M4" s="124" t="s">
        <v>127</v>
      </c>
      <c r="N4" s="125" t="s">
        <v>128</v>
      </c>
    </row>
    <row r="5" spans="1:14">
      <c r="A5" s="258"/>
      <c r="B5" s="146"/>
      <c r="C5" s="100"/>
      <c r="D5" s="136"/>
      <c r="E5" s="100"/>
      <c r="F5" s="100"/>
      <c r="G5" s="98"/>
      <c r="H5" s="98"/>
      <c r="I5" s="259"/>
      <c r="J5" s="112"/>
      <c r="K5" s="112"/>
      <c r="L5" s="112"/>
      <c r="M5" s="112"/>
      <c r="N5" s="260"/>
    </row>
    <row r="6" spans="1:14">
      <c r="A6" s="261"/>
      <c r="B6" s="262" t="s">
        <v>131</v>
      </c>
      <c r="C6" s="100"/>
      <c r="D6" s="106" t="str">
        <f>[2]invoice!B24</f>
        <v>FABRIC &amp; PARTS FOR WEAR &amp; SAMPLE CLOTHES</v>
      </c>
      <c r="E6" s="98"/>
      <c r="F6" s="98"/>
      <c r="G6" s="338" t="str">
        <f>'[1]shipper master'!C48</f>
        <v>F.O.B. TOKYO IN YEN</v>
      </c>
      <c r="H6" s="98"/>
      <c r="I6" s="263"/>
      <c r="J6" s="94"/>
      <c r="K6" s="94"/>
      <c r="L6" s="94"/>
      <c r="M6" s="94"/>
      <c r="N6" s="264"/>
    </row>
    <row r="7" spans="1:14" ht="15.5" thickBot="1">
      <c r="A7" s="265"/>
      <c r="B7" s="149"/>
      <c r="C7" s="150"/>
      <c r="D7" s="151" t="s">
        <v>152</v>
      </c>
      <c r="E7" s="150"/>
      <c r="F7" s="150"/>
      <c r="G7" s="339"/>
      <c r="H7" s="104"/>
      <c r="I7" s="266"/>
      <c r="J7" s="267"/>
      <c r="K7" s="267"/>
      <c r="L7" s="267"/>
      <c r="M7" s="268"/>
      <c r="N7" s="269"/>
    </row>
    <row r="8" spans="1:14" ht="15.4" customHeight="1">
      <c r="A8" s="495" t="s">
        <v>166</v>
      </c>
      <c r="B8" s="270"/>
      <c r="C8" s="270"/>
      <c r="D8" s="254" t="s">
        <v>167</v>
      </c>
      <c r="E8" s="296"/>
      <c r="F8" s="296"/>
      <c r="G8" s="340"/>
      <c r="H8" s="148"/>
      <c r="I8" s="320"/>
      <c r="J8" s="426"/>
      <c r="K8" s="148"/>
      <c r="L8" s="148"/>
      <c r="M8" s="148"/>
      <c r="N8" s="492"/>
    </row>
    <row r="9" spans="1:14">
      <c r="A9" s="496"/>
      <c r="B9" s="271" t="s">
        <v>168</v>
      </c>
      <c r="C9" s="272" t="s">
        <v>169</v>
      </c>
      <c r="D9" s="273" t="s">
        <v>139</v>
      </c>
      <c r="E9" s="297">
        <v>37.1</v>
      </c>
      <c r="F9" s="142" t="s">
        <v>117</v>
      </c>
      <c r="G9" s="341">
        <v>1150</v>
      </c>
      <c r="H9" s="335">
        <f>E9*G9</f>
        <v>42665</v>
      </c>
      <c r="I9" s="333" t="s">
        <v>170</v>
      </c>
      <c r="J9" s="427">
        <v>45651</v>
      </c>
      <c r="K9" s="98"/>
      <c r="L9" s="332"/>
      <c r="M9" s="98"/>
      <c r="N9" s="493"/>
    </row>
    <row r="10" spans="1:14">
      <c r="A10" s="496"/>
      <c r="B10" s="126" t="s">
        <v>171</v>
      </c>
      <c r="C10" s="272"/>
      <c r="D10" s="273" t="s">
        <v>161</v>
      </c>
      <c r="E10" s="297"/>
      <c r="F10" s="298"/>
      <c r="G10" s="341"/>
      <c r="H10" s="335"/>
      <c r="I10" s="89"/>
      <c r="J10" s="428"/>
      <c r="K10" s="98"/>
      <c r="L10" s="98"/>
      <c r="M10" s="98"/>
      <c r="N10" s="493"/>
    </row>
    <row r="11" spans="1:14" ht="16.5">
      <c r="A11" s="496"/>
      <c r="B11" s="294" t="s">
        <v>172</v>
      </c>
      <c r="C11" s="272"/>
      <c r="D11" s="274" t="s">
        <v>173</v>
      </c>
      <c r="E11" s="298"/>
      <c r="F11" s="298"/>
      <c r="G11" s="341"/>
      <c r="H11" s="335"/>
      <c r="I11" s="89"/>
      <c r="J11" s="429"/>
      <c r="K11" s="98"/>
      <c r="L11" s="98"/>
      <c r="M11" s="98"/>
      <c r="N11" s="493"/>
    </row>
    <row r="12" spans="1:14" ht="15.5" thickBot="1">
      <c r="A12" s="497"/>
      <c r="B12" s="295" t="s">
        <v>174</v>
      </c>
      <c r="C12" s="276"/>
      <c r="D12" s="277"/>
      <c r="E12" s="299"/>
      <c r="F12" s="299"/>
      <c r="G12" s="336"/>
      <c r="H12" s="337"/>
      <c r="I12" s="238"/>
      <c r="J12" s="430"/>
      <c r="K12" s="101"/>
      <c r="L12" s="101"/>
      <c r="M12" s="101"/>
      <c r="N12" s="494"/>
    </row>
    <row r="13" spans="1:14" ht="15.5" thickBot="1">
      <c r="A13" s="409"/>
      <c r="B13" s="331"/>
      <c r="C13" s="329"/>
      <c r="D13" s="324"/>
      <c r="E13" s="330"/>
      <c r="F13" s="330"/>
      <c r="G13" s="344"/>
      <c r="H13" s="342"/>
      <c r="I13" s="89"/>
      <c r="J13" s="424"/>
      <c r="K13" s="89"/>
      <c r="L13" s="89"/>
      <c r="M13" s="89"/>
      <c r="N13" s="247"/>
    </row>
    <row r="14" spans="1:14" ht="15.4" customHeight="1">
      <c r="A14" s="495" t="s">
        <v>262</v>
      </c>
      <c r="B14" s="270"/>
      <c r="C14" s="270"/>
      <c r="D14" s="254" t="s">
        <v>163</v>
      </c>
      <c r="E14" s="296"/>
      <c r="F14" s="296"/>
      <c r="G14" s="340"/>
      <c r="H14" s="148"/>
      <c r="I14" s="320"/>
      <c r="J14" s="426"/>
      <c r="K14" s="148"/>
      <c r="L14" s="148"/>
      <c r="M14" s="148"/>
      <c r="N14" s="492"/>
    </row>
    <row r="15" spans="1:14">
      <c r="A15" s="496"/>
      <c r="B15" s="271" t="s">
        <v>158</v>
      </c>
      <c r="C15" s="272" t="s">
        <v>164</v>
      </c>
      <c r="D15" s="273" t="s">
        <v>150</v>
      </c>
      <c r="E15" s="297">
        <v>65</v>
      </c>
      <c r="F15" s="142" t="s">
        <v>117</v>
      </c>
      <c r="G15" s="341">
        <v>1500</v>
      </c>
      <c r="H15" s="335">
        <f>E15*G15</f>
        <v>97500</v>
      </c>
      <c r="I15" s="333">
        <v>22060002</v>
      </c>
      <c r="J15" s="427" t="s">
        <v>215</v>
      </c>
      <c r="K15" s="98"/>
      <c r="L15" s="332"/>
      <c r="M15" s="98"/>
      <c r="N15" s="493"/>
    </row>
    <row r="16" spans="1:14">
      <c r="A16" s="496"/>
      <c r="B16" s="126" t="s">
        <v>150</v>
      </c>
      <c r="C16" s="272"/>
      <c r="D16" s="273" t="s">
        <v>161</v>
      </c>
      <c r="E16" s="297"/>
      <c r="F16" s="298"/>
      <c r="G16" s="341"/>
      <c r="H16" s="335"/>
      <c r="I16" s="89"/>
      <c r="J16" s="428"/>
      <c r="K16" s="98"/>
      <c r="L16" s="98"/>
      <c r="M16" s="98"/>
      <c r="N16" s="493"/>
    </row>
    <row r="17" spans="1:14" ht="16.5">
      <c r="A17" s="496"/>
      <c r="B17" s="275" t="s">
        <v>159</v>
      </c>
      <c r="C17" s="272"/>
      <c r="D17" s="274" t="s">
        <v>162</v>
      </c>
      <c r="E17" s="298"/>
      <c r="F17" s="298"/>
      <c r="G17" s="341"/>
      <c r="H17" s="335"/>
      <c r="I17" s="89"/>
      <c r="J17" s="429"/>
      <c r="K17" s="98"/>
      <c r="L17" s="98"/>
      <c r="M17" s="98"/>
      <c r="N17" s="493"/>
    </row>
    <row r="18" spans="1:14" ht="15.5" thickBot="1">
      <c r="A18" s="497"/>
      <c r="B18" s="311" t="s">
        <v>160</v>
      </c>
      <c r="C18" s="276"/>
      <c r="D18" s="277"/>
      <c r="E18" s="299"/>
      <c r="F18" s="299"/>
      <c r="G18" s="336"/>
      <c r="H18" s="337"/>
      <c r="I18" s="238"/>
      <c r="J18" s="430"/>
      <c r="K18" s="101"/>
      <c r="L18" s="101"/>
      <c r="M18" s="101"/>
      <c r="N18" s="494"/>
    </row>
    <row r="19" spans="1:14" ht="15.5" thickBot="1">
      <c r="A19" s="409"/>
      <c r="B19" s="411"/>
      <c r="C19" s="329"/>
      <c r="D19" s="324"/>
      <c r="E19" s="330"/>
      <c r="F19" s="330"/>
      <c r="G19" s="344"/>
      <c r="H19" s="342"/>
      <c r="I19" s="89"/>
      <c r="J19" s="424"/>
      <c r="K19" s="89"/>
      <c r="L19" s="89"/>
      <c r="M19" s="89"/>
      <c r="N19" s="247"/>
    </row>
    <row r="20" spans="1:14" ht="15" customHeight="1">
      <c r="A20" s="408"/>
      <c r="B20" s="327"/>
      <c r="C20" s="398"/>
      <c r="D20" s="254" t="s">
        <v>182</v>
      </c>
      <c r="E20" s="296"/>
      <c r="F20" s="296"/>
      <c r="G20" s="412"/>
      <c r="H20" s="256"/>
      <c r="I20" s="148"/>
      <c r="J20" s="426"/>
      <c r="K20" s="413"/>
      <c r="L20" s="413"/>
      <c r="M20" s="413"/>
      <c r="N20" s="414"/>
    </row>
    <row r="21" spans="1:14" ht="15.5" customHeight="1">
      <c r="A21" s="409" t="s">
        <v>263</v>
      </c>
      <c r="B21" s="407" t="s">
        <v>183</v>
      </c>
      <c r="C21" s="273" t="s">
        <v>184</v>
      </c>
      <c r="D21" s="273" t="s">
        <v>145</v>
      </c>
      <c r="E21" s="297">
        <v>48</v>
      </c>
      <c r="F21" s="138" t="s">
        <v>117</v>
      </c>
      <c r="G21" s="415">
        <v>1500</v>
      </c>
      <c r="H21" s="416">
        <f>E21*G21</f>
        <v>72000</v>
      </c>
      <c r="I21" s="332">
        <v>22058477</v>
      </c>
      <c r="J21" s="427" t="s">
        <v>216</v>
      </c>
      <c r="K21" s="417"/>
      <c r="L21" s="417"/>
      <c r="M21" s="417"/>
      <c r="N21" s="287"/>
    </row>
    <row r="22" spans="1:14" ht="15" customHeight="1">
      <c r="A22" s="409"/>
      <c r="B22" s="240" t="s">
        <v>145</v>
      </c>
      <c r="C22" s="273"/>
      <c r="D22" s="273" t="s">
        <v>185</v>
      </c>
      <c r="E22" s="297"/>
      <c r="F22" s="298"/>
      <c r="G22" s="415"/>
      <c r="H22" s="416"/>
      <c r="I22" s="98"/>
      <c r="J22" s="428"/>
      <c r="K22" s="417"/>
      <c r="L22" s="417"/>
      <c r="M22" s="417"/>
      <c r="N22" s="287"/>
    </row>
    <row r="23" spans="1:14" ht="16.25" customHeight="1">
      <c r="A23" s="409"/>
      <c r="B23" s="294" t="s">
        <v>186</v>
      </c>
      <c r="C23" s="274"/>
      <c r="D23" s="274" t="s">
        <v>187</v>
      </c>
      <c r="E23" s="298"/>
      <c r="F23" s="298"/>
      <c r="G23" s="415"/>
      <c r="H23" s="416"/>
      <c r="I23" s="98"/>
      <c r="J23" s="429"/>
      <c r="K23" s="417"/>
      <c r="L23" s="417"/>
      <c r="M23" s="417"/>
      <c r="N23" s="287"/>
    </row>
    <row r="24" spans="1:14" ht="15" customHeight="1" thickBot="1">
      <c r="A24" s="410"/>
      <c r="B24" s="295" t="s">
        <v>188</v>
      </c>
      <c r="C24" s="277"/>
      <c r="D24" s="277"/>
      <c r="E24" s="299"/>
      <c r="F24" s="299"/>
      <c r="G24" s="418"/>
      <c r="H24" s="419"/>
      <c r="I24" s="101"/>
      <c r="J24" s="430"/>
      <c r="K24" s="420"/>
      <c r="L24" s="420"/>
      <c r="M24" s="420"/>
      <c r="N24" s="421"/>
    </row>
    <row r="25" spans="1:14" ht="15.5" thickBot="1">
      <c r="A25" s="409"/>
      <c r="B25" s="411"/>
      <c r="C25" s="329"/>
      <c r="D25" s="324"/>
      <c r="E25" s="330"/>
      <c r="F25" s="330"/>
      <c r="G25" s="344"/>
      <c r="H25" s="342"/>
      <c r="I25" s="89"/>
      <c r="J25" s="424"/>
      <c r="K25" s="89"/>
      <c r="L25" s="89"/>
      <c r="M25" s="89"/>
      <c r="N25" s="247"/>
    </row>
    <row r="26" spans="1:14" ht="15.4" customHeight="1">
      <c r="A26" s="495" t="s">
        <v>264</v>
      </c>
      <c r="B26" s="270"/>
      <c r="C26" s="270"/>
      <c r="D26" s="254" t="s">
        <v>179</v>
      </c>
      <c r="E26" s="296"/>
      <c r="F26" s="296"/>
      <c r="G26" s="340"/>
      <c r="H26" s="148"/>
      <c r="I26" s="320"/>
      <c r="J26" s="426"/>
      <c r="K26" s="148"/>
      <c r="L26" s="148"/>
      <c r="M26" s="148"/>
      <c r="N26" s="492"/>
    </row>
    <row r="27" spans="1:14">
      <c r="A27" s="496"/>
      <c r="B27" s="271" t="s">
        <v>175</v>
      </c>
      <c r="C27" s="272" t="s">
        <v>178</v>
      </c>
      <c r="D27" s="273" t="s">
        <v>145</v>
      </c>
      <c r="E27" s="297">
        <v>200</v>
      </c>
      <c r="F27" s="142" t="s">
        <v>117</v>
      </c>
      <c r="G27" s="341">
        <v>1040</v>
      </c>
      <c r="H27" s="335">
        <f>E27*G27</f>
        <v>208000</v>
      </c>
      <c r="I27" s="333" t="s">
        <v>197</v>
      </c>
      <c r="J27" s="427" t="s">
        <v>217</v>
      </c>
      <c r="K27" s="98"/>
      <c r="L27" s="332"/>
      <c r="M27" s="98"/>
      <c r="N27" s="493"/>
    </row>
    <row r="28" spans="1:14">
      <c r="A28" s="496"/>
      <c r="B28" s="126" t="s">
        <v>176</v>
      </c>
      <c r="C28" s="272"/>
      <c r="D28" s="273" t="s">
        <v>180</v>
      </c>
      <c r="E28" s="297"/>
      <c r="F28" s="298"/>
      <c r="G28" s="341"/>
      <c r="H28" s="335"/>
      <c r="I28" s="423" t="s">
        <v>198</v>
      </c>
      <c r="J28" s="428"/>
      <c r="K28" s="98"/>
      <c r="L28" s="98"/>
      <c r="M28" s="98"/>
      <c r="N28" s="493"/>
    </row>
    <row r="29" spans="1:14">
      <c r="A29" s="496"/>
      <c r="B29" s="275" t="s">
        <v>177</v>
      </c>
      <c r="C29" s="272"/>
      <c r="D29" s="274" t="s">
        <v>181</v>
      </c>
      <c r="E29" s="298"/>
      <c r="F29" s="298"/>
      <c r="G29" s="341"/>
      <c r="H29" s="335"/>
      <c r="I29" s="89"/>
      <c r="J29" s="429"/>
      <c r="K29" s="98"/>
      <c r="L29" s="98"/>
      <c r="M29" s="98"/>
      <c r="N29" s="493"/>
    </row>
    <row r="30" spans="1:14" ht="15.5" thickBot="1">
      <c r="A30" s="497"/>
      <c r="B30" s="311" t="s">
        <v>160</v>
      </c>
      <c r="C30" s="276"/>
      <c r="D30" s="277"/>
      <c r="E30" s="299"/>
      <c r="F30" s="299"/>
      <c r="G30" s="336"/>
      <c r="H30" s="337"/>
      <c r="I30" s="238"/>
      <c r="J30" s="430"/>
      <c r="K30" s="101"/>
      <c r="L30" s="101"/>
      <c r="M30" s="101"/>
      <c r="N30" s="494"/>
    </row>
    <row r="31" spans="1:14" ht="15.5" thickBot="1">
      <c r="A31" s="409"/>
      <c r="B31" s="411"/>
      <c r="C31" s="329"/>
      <c r="D31" s="324"/>
      <c r="E31" s="330"/>
      <c r="F31" s="330"/>
      <c r="G31" s="344"/>
      <c r="H31" s="342"/>
      <c r="I31" s="89"/>
      <c r="J31" s="424"/>
      <c r="K31" s="89"/>
      <c r="L31" s="89"/>
      <c r="M31" s="89"/>
      <c r="N31" s="247"/>
    </row>
    <row r="32" spans="1:14" ht="15.5" customHeight="1">
      <c r="A32" s="495" t="s">
        <v>265</v>
      </c>
      <c r="B32" s="270"/>
      <c r="C32" s="270"/>
      <c r="D32" s="254" t="s">
        <v>194</v>
      </c>
      <c r="E32" s="296"/>
      <c r="F32" s="296"/>
      <c r="G32" s="340"/>
      <c r="H32" s="148"/>
      <c r="I32" s="320"/>
      <c r="J32" s="426"/>
      <c r="K32" s="148"/>
      <c r="L32" s="148"/>
      <c r="M32" s="148"/>
      <c r="N32" s="492"/>
    </row>
    <row r="33" spans="1:14">
      <c r="A33" s="496"/>
      <c r="B33" s="271" t="s">
        <v>189</v>
      </c>
      <c r="C33" s="272" t="s">
        <v>192</v>
      </c>
      <c r="D33" s="273" t="s">
        <v>150</v>
      </c>
      <c r="E33" s="297">
        <v>92.6</v>
      </c>
      <c r="F33" s="142" t="s">
        <v>117</v>
      </c>
      <c r="G33" s="341">
        <v>830</v>
      </c>
      <c r="H33" s="335">
        <f>E33*G33</f>
        <v>76858</v>
      </c>
      <c r="I33" s="333" t="s">
        <v>196</v>
      </c>
      <c r="J33" s="498">
        <v>45286</v>
      </c>
      <c r="K33" s="98"/>
      <c r="L33" s="332"/>
      <c r="M33" s="98"/>
      <c r="N33" s="493"/>
    </row>
    <row r="34" spans="1:14">
      <c r="A34" s="496"/>
      <c r="B34" s="126" t="s">
        <v>150</v>
      </c>
      <c r="C34" s="272" t="s">
        <v>193</v>
      </c>
      <c r="D34" s="273" t="s">
        <v>161</v>
      </c>
      <c r="E34" s="297">
        <v>94.6</v>
      </c>
      <c r="F34" s="142" t="s">
        <v>117</v>
      </c>
      <c r="G34" s="341">
        <v>830</v>
      </c>
      <c r="H34" s="335">
        <f>E34*G34</f>
        <v>78518</v>
      </c>
      <c r="I34" s="333" t="s">
        <v>199</v>
      </c>
      <c r="J34" s="499"/>
      <c r="K34" s="98"/>
      <c r="L34" s="98"/>
      <c r="M34" s="98"/>
      <c r="N34" s="493"/>
    </row>
    <row r="35" spans="1:14" ht="16.5">
      <c r="A35" s="496"/>
      <c r="B35" s="275" t="s">
        <v>190</v>
      </c>
      <c r="C35" s="272" t="s">
        <v>204</v>
      </c>
      <c r="D35" s="274" t="s">
        <v>195</v>
      </c>
      <c r="E35" s="298">
        <v>44.3</v>
      </c>
      <c r="F35" s="142" t="s">
        <v>117</v>
      </c>
      <c r="G35" s="341">
        <v>830</v>
      </c>
      <c r="H35" s="335">
        <f>E35*G35</f>
        <v>36769</v>
      </c>
      <c r="I35" s="333" t="s">
        <v>261</v>
      </c>
      <c r="J35" s="427">
        <v>45301</v>
      </c>
      <c r="K35" s="98"/>
      <c r="L35" s="98"/>
      <c r="M35" s="98"/>
      <c r="N35" s="493"/>
    </row>
    <row r="36" spans="1:14" ht="15.5" thickBot="1">
      <c r="A36" s="497"/>
      <c r="B36" s="311" t="s">
        <v>191</v>
      </c>
      <c r="C36" s="276"/>
      <c r="D36" s="277"/>
      <c r="E36" s="299"/>
      <c r="F36" s="299"/>
      <c r="G36" s="336"/>
      <c r="H36" s="337"/>
      <c r="I36" s="425" t="s">
        <v>205</v>
      </c>
      <c r="J36" s="431" t="s">
        <v>206</v>
      </c>
      <c r="K36" s="101"/>
      <c r="L36" s="101"/>
      <c r="M36" s="101"/>
      <c r="N36" s="494"/>
    </row>
    <row r="37" spans="1:14" ht="15.5" thickBot="1">
      <c r="A37" s="249"/>
      <c r="B37" s="325"/>
      <c r="C37" s="248"/>
      <c r="D37" s="127"/>
      <c r="E37" s="250"/>
      <c r="F37" s="89"/>
      <c r="G37" s="342"/>
      <c r="H37" s="343"/>
      <c r="I37" s="89"/>
      <c r="J37" s="432"/>
      <c r="K37" s="230"/>
      <c r="L37" s="89"/>
      <c r="M37" s="89"/>
      <c r="N37" s="247"/>
    </row>
    <row r="38" spans="1:14" ht="15.5" customHeight="1">
      <c r="A38" s="495" t="s">
        <v>266</v>
      </c>
      <c r="B38" s="270"/>
      <c r="C38" s="270"/>
      <c r="D38" s="254" t="s">
        <v>194</v>
      </c>
      <c r="E38" s="296"/>
      <c r="F38" s="296"/>
      <c r="G38" s="340"/>
      <c r="H38" s="148"/>
      <c r="I38" s="320"/>
      <c r="J38" s="426"/>
      <c r="K38" s="148"/>
      <c r="L38" s="148"/>
      <c r="M38" s="148"/>
      <c r="N38" s="492"/>
    </row>
    <row r="39" spans="1:14">
      <c r="A39" s="496"/>
      <c r="B39" s="271" t="s">
        <v>200</v>
      </c>
      <c r="C39" s="272" t="s">
        <v>192</v>
      </c>
      <c r="D39" s="273" t="s">
        <v>150</v>
      </c>
      <c r="E39" s="297">
        <v>5</v>
      </c>
      <c r="F39" s="142" t="s">
        <v>117</v>
      </c>
      <c r="G39" s="341">
        <v>1110</v>
      </c>
      <c r="H39" s="335">
        <f>E39*G39</f>
        <v>5550</v>
      </c>
      <c r="I39" s="333">
        <v>22060095</v>
      </c>
      <c r="J39" s="427">
        <v>45301</v>
      </c>
      <c r="K39" s="98"/>
      <c r="L39" s="332"/>
      <c r="M39" s="98"/>
      <c r="N39" s="493"/>
    </row>
    <row r="40" spans="1:14">
      <c r="A40" s="496"/>
      <c r="B40" s="126" t="s">
        <v>150</v>
      </c>
      <c r="C40" s="272" t="s">
        <v>193</v>
      </c>
      <c r="D40" s="273" t="s">
        <v>161</v>
      </c>
      <c r="E40" s="297">
        <v>5</v>
      </c>
      <c r="F40" s="142" t="s">
        <v>117</v>
      </c>
      <c r="G40" s="341">
        <v>1110</v>
      </c>
      <c r="H40" s="335">
        <f>E40*G40</f>
        <v>5550</v>
      </c>
      <c r="I40" s="333"/>
      <c r="J40" s="428"/>
      <c r="K40" s="98"/>
      <c r="L40" s="98"/>
      <c r="M40" s="98"/>
      <c r="N40" s="493"/>
    </row>
    <row r="41" spans="1:14" ht="16.5">
      <c r="A41" s="496"/>
      <c r="B41" s="275" t="s">
        <v>201</v>
      </c>
      <c r="C41" s="272" t="s">
        <v>203</v>
      </c>
      <c r="D41" s="274" t="s">
        <v>202</v>
      </c>
      <c r="E41" s="297">
        <v>4</v>
      </c>
      <c r="F41" s="142" t="s">
        <v>117</v>
      </c>
      <c r="G41" s="341">
        <v>1110</v>
      </c>
      <c r="H41" s="335">
        <f>E41*G41</f>
        <v>4440</v>
      </c>
      <c r="I41" s="89"/>
      <c r="J41" s="429"/>
      <c r="K41" s="98"/>
      <c r="L41" s="98"/>
      <c r="M41" s="98"/>
      <c r="N41" s="493"/>
    </row>
    <row r="42" spans="1:14" ht="15.5" thickBot="1">
      <c r="A42" s="497"/>
      <c r="B42" s="311" t="s">
        <v>191</v>
      </c>
      <c r="C42" s="276"/>
      <c r="D42" s="277"/>
      <c r="E42" s="299"/>
      <c r="F42" s="299"/>
      <c r="G42" s="336"/>
      <c r="H42" s="337"/>
      <c r="I42" s="238"/>
      <c r="J42" s="430"/>
      <c r="K42" s="101"/>
      <c r="L42" s="101"/>
      <c r="M42" s="101"/>
      <c r="N42" s="494"/>
    </row>
    <row r="43" spans="1:14" ht="15.5" thickBot="1">
      <c r="A43" s="422"/>
      <c r="B43" s="331"/>
      <c r="C43" s="329"/>
      <c r="D43" s="324"/>
      <c r="E43" s="330"/>
      <c r="F43" s="330"/>
      <c r="G43" s="344"/>
      <c r="H43" s="343"/>
      <c r="J43" s="433"/>
      <c r="N43" s="180"/>
    </row>
    <row r="44" spans="1:14" ht="15.5" customHeight="1">
      <c r="A44" s="495" t="s">
        <v>267</v>
      </c>
      <c r="B44" s="270"/>
      <c r="C44" s="270"/>
      <c r="D44" s="254" t="s">
        <v>218</v>
      </c>
      <c r="E44" s="296"/>
      <c r="F44" s="296"/>
      <c r="G44" s="340"/>
      <c r="H44" s="148"/>
      <c r="I44" s="320"/>
      <c r="J44" s="426"/>
      <c r="K44" s="148"/>
      <c r="L44" s="148"/>
      <c r="M44" s="148"/>
      <c r="N44" s="492"/>
    </row>
    <row r="45" spans="1:14">
      <c r="A45" s="496"/>
      <c r="B45" s="271" t="s">
        <v>207</v>
      </c>
      <c r="C45" s="272" t="s">
        <v>204</v>
      </c>
      <c r="D45" s="273" t="s">
        <v>150</v>
      </c>
      <c r="E45" s="297">
        <v>189</v>
      </c>
      <c r="F45" s="142" t="s">
        <v>117</v>
      </c>
      <c r="G45" s="341">
        <v>1030</v>
      </c>
      <c r="H45" s="335">
        <f>E45*G45</f>
        <v>194670</v>
      </c>
      <c r="I45" s="333">
        <v>22058788</v>
      </c>
      <c r="J45" s="427">
        <v>45652</v>
      </c>
      <c r="K45" s="98"/>
      <c r="L45" s="332"/>
      <c r="M45" s="98"/>
      <c r="N45" s="493"/>
    </row>
    <row r="46" spans="1:14">
      <c r="A46" s="496"/>
      <c r="B46" s="126" t="s">
        <v>150</v>
      </c>
      <c r="C46" s="272" t="s">
        <v>209</v>
      </c>
      <c r="D46" s="273" t="s">
        <v>161</v>
      </c>
      <c r="E46" s="297">
        <v>189</v>
      </c>
      <c r="F46" s="142" t="s">
        <v>117</v>
      </c>
      <c r="G46" s="341">
        <v>1030</v>
      </c>
      <c r="H46" s="335">
        <f>E46*G46</f>
        <v>194670</v>
      </c>
      <c r="I46" s="333"/>
      <c r="J46" s="428"/>
      <c r="K46" s="98"/>
      <c r="L46" s="98"/>
      <c r="M46" s="98"/>
      <c r="N46" s="493"/>
    </row>
    <row r="47" spans="1:14" ht="16.5">
      <c r="A47" s="496"/>
      <c r="B47" s="275" t="s">
        <v>208</v>
      </c>
      <c r="C47" s="272" t="s">
        <v>210</v>
      </c>
      <c r="D47" s="274" t="s">
        <v>214</v>
      </c>
      <c r="E47" s="297">
        <v>65</v>
      </c>
      <c r="F47" s="142" t="s">
        <v>117</v>
      </c>
      <c r="G47" s="341">
        <v>1030</v>
      </c>
      <c r="H47" s="335">
        <f>E47*G47</f>
        <v>66950</v>
      </c>
      <c r="I47" s="89"/>
      <c r="J47" s="429"/>
      <c r="K47" s="98"/>
      <c r="L47" s="98"/>
      <c r="M47" s="98"/>
      <c r="N47" s="493"/>
    </row>
    <row r="48" spans="1:14" ht="15.5" thickBot="1">
      <c r="A48" s="497"/>
      <c r="B48" s="311" t="s">
        <v>191</v>
      </c>
      <c r="C48" s="276"/>
      <c r="D48" s="277"/>
      <c r="E48" s="299"/>
      <c r="F48" s="299"/>
      <c r="G48" s="336"/>
      <c r="H48" s="337"/>
      <c r="I48" s="238"/>
      <c r="J48" s="430"/>
      <c r="K48" s="101"/>
      <c r="L48" s="101"/>
      <c r="M48" s="101"/>
      <c r="N48" s="494"/>
    </row>
    <row r="49" spans="1:14" ht="15.5" thickBot="1">
      <c r="A49" s="422"/>
      <c r="B49" s="331"/>
      <c r="C49" s="329"/>
      <c r="D49" s="324"/>
      <c r="E49" s="330"/>
      <c r="F49" s="330"/>
      <c r="G49" s="344"/>
      <c r="H49" s="343"/>
      <c r="J49" s="433"/>
      <c r="N49" s="180"/>
    </row>
    <row r="50" spans="1:14" ht="15.5" customHeight="1">
      <c r="A50" s="495" t="s">
        <v>268</v>
      </c>
      <c r="B50" s="270"/>
      <c r="C50" s="270"/>
      <c r="D50" s="254" t="s">
        <v>218</v>
      </c>
      <c r="E50" s="296"/>
      <c r="F50" s="296"/>
      <c r="G50" s="340"/>
      <c r="H50" s="148"/>
      <c r="I50" s="320"/>
      <c r="J50" s="426"/>
      <c r="K50" s="148"/>
      <c r="L50" s="148"/>
      <c r="M50" s="148"/>
      <c r="N50" s="492"/>
    </row>
    <row r="51" spans="1:14">
      <c r="A51" s="496"/>
      <c r="B51" s="271" t="s">
        <v>211</v>
      </c>
      <c r="C51" s="272" t="s">
        <v>204</v>
      </c>
      <c r="D51" s="273" t="s">
        <v>150</v>
      </c>
      <c r="E51" s="297">
        <v>22</v>
      </c>
      <c r="F51" s="142" t="s">
        <v>117</v>
      </c>
      <c r="G51" s="341">
        <v>1120</v>
      </c>
      <c r="H51" s="335">
        <f>E51*G51</f>
        <v>24640</v>
      </c>
      <c r="I51" s="333">
        <v>22058790</v>
      </c>
      <c r="J51" s="427">
        <v>45652</v>
      </c>
      <c r="K51" s="98"/>
      <c r="L51" s="332"/>
      <c r="M51" s="98"/>
      <c r="N51" s="493"/>
    </row>
    <row r="52" spans="1:14">
      <c r="A52" s="496"/>
      <c r="B52" s="126" t="s">
        <v>150</v>
      </c>
      <c r="C52" s="272" t="s">
        <v>209</v>
      </c>
      <c r="D52" s="273" t="s">
        <v>161</v>
      </c>
      <c r="E52" s="297">
        <v>24</v>
      </c>
      <c r="F52" s="142" t="s">
        <v>117</v>
      </c>
      <c r="G52" s="341">
        <v>1120</v>
      </c>
      <c r="H52" s="335">
        <f>E52*G52</f>
        <v>26880</v>
      </c>
      <c r="I52" s="333"/>
      <c r="J52" s="157"/>
      <c r="K52" s="98"/>
      <c r="L52" s="98"/>
      <c r="M52" s="98"/>
      <c r="N52" s="493"/>
    </row>
    <row r="53" spans="1:14" ht="16" customHeight="1">
      <c r="A53" s="496"/>
      <c r="B53" s="275" t="s">
        <v>212</v>
      </c>
      <c r="C53" s="272" t="s">
        <v>210</v>
      </c>
      <c r="D53" s="274" t="s">
        <v>213</v>
      </c>
      <c r="E53" s="297">
        <v>8</v>
      </c>
      <c r="F53" s="142" t="s">
        <v>117</v>
      </c>
      <c r="G53" s="341">
        <v>1120</v>
      </c>
      <c r="H53" s="335">
        <f>E53*G53</f>
        <v>8960</v>
      </c>
      <c r="I53" s="89"/>
      <c r="J53" s="98"/>
      <c r="K53" s="98"/>
      <c r="L53" s="98"/>
      <c r="M53" s="98"/>
      <c r="N53" s="493"/>
    </row>
    <row r="54" spans="1:14" ht="15.5" thickBot="1">
      <c r="A54" s="497"/>
      <c r="B54" s="311" t="s">
        <v>191</v>
      </c>
      <c r="C54" s="276"/>
      <c r="D54" s="277"/>
      <c r="E54" s="299"/>
      <c r="F54" s="299"/>
      <c r="G54" s="336"/>
      <c r="H54" s="337"/>
      <c r="I54" s="238"/>
      <c r="J54" s="101"/>
      <c r="K54" s="101"/>
      <c r="L54" s="101"/>
      <c r="M54" s="101"/>
      <c r="N54" s="494"/>
    </row>
    <row r="55" spans="1:14" ht="15.5" thickBot="1">
      <c r="A55" s="513"/>
      <c r="B55" s="514"/>
      <c r="C55" s="515"/>
      <c r="D55" s="324"/>
      <c r="E55" s="330"/>
      <c r="F55" s="330"/>
      <c r="G55" s="344"/>
      <c r="H55" s="342"/>
      <c r="I55" s="238"/>
      <c r="J55" s="238"/>
      <c r="K55" s="89"/>
      <c r="L55" s="89"/>
      <c r="M55" s="89"/>
      <c r="N55" s="247"/>
    </row>
    <row r="56" spans="1:14" ht="15.5" customHeight="1">
      <c r="A56" s="495" t="s">
        <v>253</v>
      </c>
      <c r="B56" s="270"/>
      <c r="C56" s="270"/>
      <c r="D56" s="254" t="s">
        <v>218</v>
      </c>
      <c r="E56" s="296"/>
      <c r="F56" s="296"/>
      <c r="G56" s="340"/>
      <c r="H56" s="148"/>
      <c r="I56" s="320"/>
      <c r="J56" s="426"/>
      <c r="K56" s="148"/>
      <c r="L56" s="148"/>
      <c r="M56" s="148"/>
      <c r="N56" s="492"/>
    </row>
    <row r="57" spans="1:14">
      <c r="A57" s="496"/>
      <c r="B57" s="271" t="s">
        <v>254</v>
      </c>
      <c r="C57" s="272" t="s">
        <v>260</v>
      </c>
      <c r="D57" s="479" t="s">
        <v>248</v>
      </c>
      <c r="E57" s="297">
        <v>1</v>
      </c>
      <c r="F57" s="138" t="s">
        <v>118</v>
      </c>
      <c r="G57" s="341">
        <v>3000</v>
      </c>
      <c r="H57" s="335">
        <f>E57*G57</f>
        <v>3000</v>
      </c>
      <c r="I57" s="333">
        <v>22060140</v>
      </c>
      <c r="J57" s="427">
        <v>45301</v>
      </c>
      <c r="K57" s="98"/>
      <c r="L57" s="332"/>
      <c r="M57" s="98"/>
      <c r="N57" s="493"/>
    </row>
    <row r="58" spans="1:14">
      <c r="A58" s="496"/>
      <c r="B58" s="126"/>
      <c r="C58" s="272"/>
      <c r="D58" s="273"/>
      <c r="E58" s="297"/>
      <c r="F58" s="142"/>
      <c r="G58" s="341"/>
      <c r="H58" s="335"/>
      <c r="I58" s="333"/>
      <c r="J58" s="157"/>
      <c r="K58" s="98"/>
      <c r="L58" s="98"/>
      <c r="M58" s="98"/>
      <c r="N58" s="493"/>
    </row>
    <row r="59" spans="1:14" ht="15.5" thickBot="1">
      <c r="A59" s="497"/>
      <c r="B59" s="311"/>
      <c r="C59" s="276"/>
      <c r="D59" s="277"/>
      <c r="E59" s="299"/>
      <c r="F59" s="299"/>
      <c r="G59" s="336"/>
      <c r="H59" s="337"/>
      <c r="I59" s="238"/>
      <c r="J59" s="101"/>
      <c r="K59" s="101"/>
      <c r="L59" s="101"/>
      <c r="M59" s="101"/>
      <c r="N59" s="494"/>
    </row>
    <row r="60" spans="1:14">
      <c r="A60" s="516"/>
      <c r="B60" s="411"/>
      <c r="C60" s="329"/>
      <c r="D60" s="324"/>
      <c r="E60" s="330"/>
      <c r="F60" s="330"/>
      <c r="G60" s="344"/>
      <c r="H60" s="342"/>
      <c r="I60" s="89"/>
      <c r="J60" s="89"/>
      <c r="K60" s="89"/>
      <c r="L60" s="89"/>
      <c r="M60" s="89"/>
      <c r="N60" s="247"/>
    </row>
    <row r="61" spans="1:14" ht="15.5" thickBot="1">
      <c r="A61" s="354"/>
      <c r="B61" s="355"/>
      <c r="C61" s="351"/>
      <c r="D61" s="385"/>
      <c r="E61" s="356"/>
      <c r="F61" s="357"/>
      <c r="G61" s="358"/>
      <c r="H61" s="359"/>
      <c r="I61" s="326"/>
      <c r="J61" s="323"/>
      <c r="K61" s="114"/>
      <c r="L61" s="114"/>
      <c r="M61" s="114"/>
      <c r="N61" s="401"/>
    </row>
    <row r="62" spans="1:14">
      <c r="A62" s="242"/>
      <c r="B62" s="130" t="s">
        <v>129</v>
      </c>
      <c r="C62" s="168" t="s">
        <v>269</v>
      </c>
      <c r="D62" s="111"/>
      <c r="E62" s="346">
        <f>SUMIF($F$8:$F$54,"M.",$E$8:$E$54)</f>
        <v>1092.5999999999999</v>
      </c>
      <c r="F62" s="142" t="s">
        <v>117</v>
      </c>
      <c r="G62" s="241"/>
      <c r="H62" s="347">
        <f>SUMIF($F$8:$F$54,"M.",$H$8:$H$54)</f>
        <v>1144620</v>
      </c>
      <c r="I62" s="241"/>
      <c r="J62" s="243"/>
      <c r="K62" s="98"/>
      <c r="L62" s="98"/>
      <c r="M62" s="98"/>
      <c r="N62" s="105"/>
    </row>
    <row r="63" spans="1:14">
      <c r="A63" s="98"/>
      <c r="B63" s="126"/>
      <c r="C63" s="98"/>
      <c r="D63" s="139"/>
      <c r="E63" s="348">
        <f>SUMIF($F$32:$F$57,"PCS.",$E$32:$E$57)</f>
        <v>1</v>
      </c>
      <c r="F63" s="138" t="s">
        <v>118</v>
      </c>
      <c r="G63" s="335"/>
      <c r="H63" s="348">
        <f>SUMIF($F$32:$F$59,"PCS.",$H$32:$H$59)</f>
        <v>3000</v>
      </c>
      <c r="I63" s="98"/>
      <c r="J63" s="157"/>
      <c r="K63" s="98"/>
      <c r="L63" s="98"/>
      <c r="M63" s="98"/>
      <c r="N63" s="105"/>
    </row>
    <row r="64" spans="1:14">
      <c r="A64" s="98"/>
      <c r="B64" s="126"/>
      <c r="C64" s="98"/>
      <c r="D64" s="139"/>
      <c r="E64" s="348"/>
      <c r="F64" s="349"/>
      <c r="G64" s="98"/>
      <c r="H64" s="335"/>
      <c r="I64" s="98"/>
      <c r="J64" s="157"/>
      <c r="K64" s="98"/>
      <c r="L64" s="98"/>
      <c r="M64" s="98"/>
      <c r="N64" s="105"/>
    </row>
    <row r="65" spans="1:14">
      <c r="A65" s="98"/>
      <c r="B65" s="126"/>
      <c r="C65" s="98"/>
      <c r="D65" s="140"/>
      <c r="E65" s="157"/>
      <c r="F65" s="138"/>
      <c r="G65" s="335"/>
      <c r="H65" s="335">
        <f>SUM(H62:H64)</f>
        <v>1147620</v>
      </c>
      <c r="I65" s="98"/>
      <c r="J65" s="157"/>
      <c r="K65" s="98"/>
      <c r="L65" s="98"/>
      <c r="M65" s="98"/>
      <c r="N65" s="105"/>
    </row>
    <row r="69" spans="1:14">
      <c r="C69" s="3"/>
    </row>
    <row r="70" spans="1:14">
      <c r="C70" s="3"/>
    </row>
    <row r="117" spans="1:1">
      <c r="A117" s="70" t="s">
        <v>133</v>
      </c>
    </row>
  </sheetData>
  <mergeCells count="19">
    <mergeCell ref="A56:A59"/>
    <mergeCell ref="N56:N59"/>
    <mergeCell ref="A44:A48"/>
    <mergeCell ref="N44:N48"/>
    <mergeCell ref="J33:J34"/>
    <mergeCell ref="A50:A54"/>
    <mergeCell ref="N50:N54"/>
    <mergeCell ref="A38:A42"/>
    <mergeCell ref="N38:N42"/>
    <mergeCell ref="A2:H2"/>
    <mergeCell ref="F4:G4"/>
    <mergeCell ref="N32:N36"/>
    <mergeCell ref="A32:A36"/>
    <mergeCell ref="A8:A12"/>
    <mergeCell ref="N8:N12"/>
    <mergeCell ref="A14:A18"/>
    <mergeCell ref="N14:N18"/>
    <mergeCell ref="A26:A30"/>
    <mergeCell ref="N26:N30"/>
  </mergeCells>
  <phoneticPr fontId="11"/>
  <pageMargins left="0.51181102362204722" right="0" top="0.74803149606299213" bottom="0.74803149606299213" header="0.31496062992125984" footer="0.31496062992125984"/>
  <pageSetup paperSize="9" scale="33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BBA8-CB5B-43C7-BCF3-855F02AD8C8D}">
  <sheetPr>
    <pageSetUpPr fitToPage="1"/>
  </sheetPr>
  <dimension ref="A1:O116"/>
  <sheetViews>
    <sheetView view="pageBreakPreview" zoomScaleNormal="60" zoomScaleSheetLayoutView="100" workbookViewId="0">
      <selection activeCell="D23" sqref="D23"/>
    </sheetView>
  </sheetViews>
  <sheetFormatPr defaultRowHeight="15"/>
  <cols>
    <col min="1" max="1" width="7.90625" customWidth="1"/>
    <col min="2" max="2" width="31.90625" style="143" customWidth="1"/>
    <col min="3" max="3" width="27.453125" style="93" customWidth="1"/>
    <col min="4" max="4" width="69.1796875" customWidth="1"/>
    <col min="5" max="5" width="10.453125" customWidth="1"/>
    <col min="6" max="6" width="5.6328125" style="93" customWidth="1"/>
    <col min="7" max="7" width="15.453125" customWidth="1"/>
    <col min="8" max="8" width="13.90625" style="93" customWidth="1"/>
    <col min="9" max="9" width="24.453125" customWidth="1"/>
    <col min="10" max="10" width="14.453125" customWidth="1"/>
    <col min="11" max="11" width="11.453125" style="93" customWidth="1"/>
    <col min="12" max="12" width="25.36328125" style="97" customWidth="1"/>
    <col min="13" max="13" width="10.08984375" style="93" customWidth="1"/>
    <col min="14" max="14" width="7" style="93" customWidth="1"/>
  </cols>
  <sheetData>
    <row r="1" spans="1:14">
      <c r="A1" s="45"/>
      <c r="I1" s="45"/>
      <c r="J1" s="45"/>
      <c r="K1" s="26"/>
      <c r="L1" s="95"/>
      <c r="M1" s="26"/>
      <c r="N1" s="26"/>
    </row>
    <row r="2" spans="1:14" ht="18" thickBot="1">
      <c r="A2" s="502" t="s">
        <v>132</v>
      </c>
      <c r="B2" s="502"/>
      <c r="C2" s="502"/>
      <c r="D2" s="502"/>
      <c r="E2" s="502"/>
      <c r="F2" s="502"/>
      <c r="G2" s="502"/>
      <c r="H2" s="502"/>
      <c r="I2" s="67"/>
      <c r="J2" s="3"/>
      <c r="K2" s="70"/>
      <c r="L2" s="102"/>
      <c r="M2" s="103"/>
      <c r="N2" s="103"/>
    </row>
    <row r="3" spans="1:14" ht="18" thickBot="1">
      <c r="A3" s="128"/>
      <c r="B3" s="144"/>
      <c r="C3" s="128"/>
      <c r="D3" s="128"/>
      <c r="E3" s="128"/>
      <c r="F3" s="128"/>
      <c r="G3" s="128"/>
      <c r="H3" s="128"/>
      <c r="I3" s="67"/>
      <c r="J3" s="3"/>
      <c r="K3" s="70"/>
      <c r="L3" s="102"/>
      <c r="M3" s="103"/>
      <c r="N3" s="103"/>
    </row>
    <row r="4" spans="1:14" ht="21.75" customHeight="1" thickBot="1">
      <c r="A4" s="253" t="s">
        <v>60</v>
      </c>
      <c r="B4" s="145" t="s">
        <v>130</v>
      </c>
      <c r="C4" s="133" t="s">
        <v>119</v>
      </c>
      <c r="D4" s="134" t="s">
        <v>120</v>
      </c>
      <c r="E4" s="133" t="s">
        <v>121</v>
      </c>
      <c r="F4" s="503" t="s">
        <v>122</v>
      </c>
      <c r="G4" s="504"/>
      <c r="H4" s="135" t="s">
        <v>123</v>
      </c>
      <c r="I4" s="123" t="s">
        <v>124</v>
      </c>
      <c r="J4" s="119" t="s">
        <v>125</v>
      </c>
      <c r="K4" s="120" t="s">
        <v>126</v>
      </c>
      <c r="L4" s="278" t="s">
        <v>153</v>
      </c>
      <c r="M4" s="226" t="s">
        <v>127</v>
      </c>
      <c r="N4" s="222" t="s">
        <v>128</v>
      </c>
    </row>
    <row r="5" spans="1:14">
      <c r="A5" s="232"/>
      <c r="B5" s="146"/>
      <c r="C5" s="100"/>
      <c r="D5" s="136"/>
      <c r="E5" s="106"/>
      <c r="F5" s="100"/>
      <c r="G5" s="99"/>
      <c r="H5" s="98"/>
      <c r="I5" s="279"/>
      <c r="J5" s="280"/>
      <c r="K5" s="112"/>
      <c r="L5" s="113"/>
      <c r="M5" s="227"/>
      <c r="N5" s="223"/>
    </row>
    <row r="6" spans="1:14">
      <c r="A6" s="233"/>
      <c r="B6" s="176" t="s">
        <v>131</v>
      </c>
      <c r="C6" s="150"/>
      <c r="D6" s="151" t="str">
        <f>'NARITA '!D6</f>
        <v>FABRIC &amp; PARTS FOR WEAR &amp; SAMPLE CLOTHES</v>
      </c>
      <c r="E6" s="281"/>
      <c r="F6" s="177"/>
      <c r="G6" s="152" t="str">
        <f>'[3]shipper master'!C48</f>
        <v>F.O.B. TOKYO IN YEN</v>
      </c>
      <c r="H6" s="104"/>
      <c r="I6" s="282"/>
      <c r="J6" s="178"/>
      <c r="K6" s="94"/>
      <c r="L6" s="96"/>
      <c r="M6" s="228"/>
      <c r="N6" s="224"/>
    </row>
    <row r="7" spans="1:14">
      <c r="A7" s="233"/>
      <c r="B7" s="149"/>
      <c r="C7" s="150"/>
      <c r="D7" s="151" t="s">
        <v>154</v>
      </c>
      <c r="E7" s="151"/>
      <c r="F7" s="150"/>
      <c r="G7" s="152"/>
      <c r="H7" s="104"/>
      <c r="I7" s="283"/>
      <c r="J7" s="104"/>
      <c r="K7" s="179"/>
      <c r="L7" s="122"/>
      <c r="M7" s="229"/>
      <c r="N7" s="224"/>
    </row>
    <row r="8" spans="1:14" ht="15.5" thickBot="1">
      <c r="A8" s="284"/>
      <c r="B8" s="127"/>
      <c r="C8" s="127"/>
      <c r="D8" s="118"/>
      <c r="E8" s="117"/>
      <c r="F8" s="89"/>
      <c r="G8" s="121"/>
      <c r="H8" s="147"/>
      <c r="I8" s="255"/>
      <c r="J8" s="285"/>
      <c r="K8" s="300"/>
      <c r="L8" s="285"/>
      <c r="M8" s="116"/>
      <c r="N8" s="301"/>
    </row>
    <row r="9" spans="1:14" ht="18" customHeight="1" thickBot="1">
      <c r="A9" s="505">
        <v>39</v>
      </c>
      <c r="B9" s="469"/>
      <c r="C9" s="389"/>
      <c r="D9" s="254" t="s">
        <v>179</v>
      </c>
      <c r="E9" s="470"/>
      <c r="F9" s="471"/>
      <c r="G9" s="390"/>
      <c r="H9" s="392"/>
      <c r="I9" s="517"/>
      <c r="J9" s="507" t="s">
        <v>259</v>
      </c>
      <c r="K9" s="467"/>
      <c r="L9" s="393"/>
      <c r="M9" s="500">
        <v>1</v>
      </c>
      <c r="N9" s="394"/>
    </row>
    <row r="10" spans="1:14">
      <c r="A10" s="506"/>
      <c r="B10" s="472">
        <v>1000</v>
      </c>
      <c r="C10" s="443" t="s">
        <v>230</v>
      </c>
      <c r="D10" s="444" t="s">
        <v>224</v>
      </c>
      <c r="E10" s="445">
        <v>40</v>
      </c>
      <c r="F10" s="345" t="s">
        <v>117</v>
      </c>
      <c r="G10" s="447">
        <v>525</v>
      </c>
      <c r="H10" s="388">
        <f t="shared" ref="H10:H14" si="0">E10*G10</f>
        <v>21000</v>
      </c>
      <c r="I10" s="518"/>
      <c r="J10" s="508"/>
      <c r="K10" s="468"/>
      <c r="L10" s="391"/>
      <c r="M10" s="501"/>
      <c r="N10" s="395"/>
    </row>
    <row r="11" spans="1:14">
      <c r="A11" s="506"/>
      <c r="B11" s="473" t="s">
        <v>222</v>
      </c>
      <c r="C11" s="304" t="s">
        <v>231</v>
      </c>
      <c r="D11" s="305" t="s">
        <v>225</v>
      </c>
      <c r="E11" s="321">
        <v>211</v>
      </c>
      <c r="F11" s="138" t="s">
        <v>118</v>
      </c>
      <c r="G11" s="306">
        <v>10</v>
      </c>
      <c r="H11" s="388">
        <f t="shared" si="0"/>
        <v>2110</v>
      </c>
      <c r="I11" s="518"/>
      <c r="J11" s="508"/>
      <c r="K11" s="468"/>
      <c r="L11" s="391"/>
      <c r="M11" s="501"/>
      <c r="N11" s="395"/>
    </row>
    <row r="12" spans="1:14" ht="16.25" customHeight="1">
      <c r="A12" s="506"/>
      <c r="B12" s="474" t="s">
        <v>223</v>
      </c>
      <c r="C12" s="304" t="s">
        <v>232</v>
      </c>
      <c r="D12" s="305" t="s">
        <v>227</v>
      </c>
      <c r="E12" s="321">
        <v>70</v>
      </c>
      <c r="F12" s="138" t="s">
        <v>118</v>
      </c>
      <c r="G12" s="388">
        <v>95</v>
      </c>
      <c r="H12" s="388">
        <f t="shared" si="0"/>
        <v>6650</v>
      </c>
      <c r="I12" s="518"/>
      <c r="J12" s="508"/>
      <c r="K12" s="468"/>
      <c r="L12" s="391"/>
      <c r="M12" s="501"/>
      <c r="N12" s="395"/>
    </row>
    <row r="13" spans="1:14" ht="16.25" customHeight="1">
      <c r="A13" s="506"/>
      <c r="B13" s="473">
        <v>6250</v>
      </c>
      <c r="C13" s="304" t="s">
        <v>233</v>
      </c>
      <c r="D13" s="305" t="s">
        <v>228</v>
      </c>
      <c r="E13" s="446">
        <v>63</v>
      </c>
      <c r="F13" s="138" t="s">
        <v>117</v>
      </c>
      <c r="G13" s="306">
        <v>150</v>
      </c>
      <c r="H13" s="388">
        <f t="shared" si="0"/>
        <v>9450</v>
      </c>
      <c r="I13" s="518"/>
      <c r="J13" s="508"/>
      <c r="K13" s="468"/>
      <c r="L13" s="391"/>
      <c r="M13" s="501"/>
      <c r="N13" s="395"/>
    </row>
    <row r="14" spans="1:14" ht="15.5" thickBot="1">
      <c r="A14" s="506"/>
      <c r="B14" s="475" t="s">
        <v>157</v>
      </c>
      <c r="C14" s="307" t="s">
        <v>234</v>
      </c>
      <c r="D14" s="308" t="s">
        <v>229</v>
      </c>
      <c r="E14" s="322">
        <v>150</v>
      </c>
      <c r="F14" s="520" t="s">
        <v>117</v>
      </c>
      <c r="G14" s="309">
        <v>40</v>
      </c>
      <c r="H14" s="396">
        <f t="shared" si="0"/>
        <v>6000</v>
      </c>
      <c r="I14" s="519"/>
      <c r="J14" s="509"/>
      <c r="K14" s="468"/>
      <c r="L14" s="391"/>
      <c r="M14" s="501"/>
      <c r="N14" s="395"/>
    </row>
    <row r="15" spans="1:14" ht="15.5" thickBot="1">
      <c r="A15" s="362"/>
      <c r="B15" s="363"/>
      <c r="C15" s="363"/>
      <c r="D15" s="363"/>
      <c r="E15" s="363"/>
      <c r="F15" s="363"/>
      <c r="G15" s="363"/>
      <c r="H15" s="363"/>
      <c r="I15" s="363"/>
      <c r="J15" s="363"/>
      <c r="K15" s="363"/>
      <c r="L15" s="363"/>
      <c r="M15" s="397"/>
      <c r="N15" s="310"/>
    </row>
    <row r="16" spans="1:14">
      <c r="A16" s="369"/>
      <c r="B16" s="370" t="s">
        <v>129</v>
      </c>
      <c r="C16" s="371" t="s">
        <v>235</v>
      </c>
      <c r="D16" s="352"/>
      <c r="E16" s="372">
        <f>SUMIF($F$9:$F$15,"M.",$E$9:$E$15)</f>
        <v>253</v>
      </c>
      <c r="F16" s="345" t="s">
        <v>117</v>
      </c>
      <c r="G16" s="373"/>
      <c r="H16" s="374">
        <f>SUMIF($F$9:$F$15,"M.",$H$9:$H$15)</f>
        <v>36450</v>
      </c>
      <c r="I16" s="373"/>
      <c r="J16" s="375"/>
      <c r="K16" s="360"/>
      <c r="L16" s="256"/>
      <c r="M16" s="148"/>
      <c r="N16" s="376"/>
    </row>
    <row r="17" spans="1:14">
      <c r="A17" s="377"/>
      <c r="B17" s="126"/>
      <c r="C17" s="98"/>
      <c r="D17" s="139"/>
      <c r="E17" s="137">
        <f>SUMIF($F$9:$F$15,"PCS.",$E$9:$E$15)</f>
        <v>281</v>
      </c>
      <c r="F17" s="138" t="s">
        <v>118</v>
      </c>
      <c r="G17" s="110"/>
      <c r="H17" s="219">
        <f>SUMIF($F$9:$F$15,"PCS.",$H$9:$H$15)</f>
        <v>8760</v>
      </c>
      <c r="I17" s="99"/>
      <c r="J17" s="289"/>
      <c r="K17" s="115"/>
      <c r="L17" s="141"/>
      <c r="M17" s="98"/>
      <c r="N17" s="286"/>
    </row>
    <row r="18" spans="1:14" ht="15.5" thickBot="1">
      <c r="A18" s="378"/>
      <c r="B18" s="350"/>
      <c r="C18" s="101"/>
      <c r="D18" s="379"/>
      <c r="E18" s="380">
        <f>SUMIF($F$9:$F$15,"SETS.",$E$9:$E$15)</f>
        <v>0</v>
      </c>
      <c r="F18" s="220" t="s">
        <v>155</v>
      </c>
      <c r="G18" s="381"/>
      <c r="H18" s="382">
        <f>SUMIF($F$9:$F$15,"SETS.",$H$9:$H$15)</f>
        <v>0</v>
      </c>
      <c r="I18" s="353"/>
      <c r="J18" s="383"/>
      <c r="K18" s="361"/>
      <c r="L18" s="257"/>
      <c r="M18" s="101"/>
      <c r="N18" s="384"/>
    </row>
    <row r="19" spans="1:14" ht="14" customHeight="1" thickBot="1">
      <c r="A19" s="364"/>
      <c r="B19" s="103" t="s">
        <v>129</v>
      </c>
      <c r="C19" s="29"/>
      <c r="D19" s="29"/>
      <c r="E19" s="103"/>
      <c r="F19" s="365"/>
      <c r="G19" s="238" t="s">
        <v>138</v>
      </c>
      <c r="H19" s="366">
        <f>SUM(H9:H15)</f>
        <v>45210</v>
      </c>
      <c r="I19" s="367"/>
      <c r="J19" s="368"/>
      <c r="K19" s="302"/>
      <c r="L19" s="303"/>
      <c r="M19" s="175"/>
      <c r="N19" s="225"/>
    </row>
    <row r="20" spans="1:14">
      <c r="A20" s="290"/>
      <c r="B20" s="26"/>
      <c r="C20" s="181"/>
      <c r="D20" s="3"/>
      <c r="E20" s="182"/>
      <c r="F20" s="156"/>
      <c r="G20" s="183"/>
      <c r="H20" s="184"/>
      <c r="I20" s="71"/>
      <c r="J20" s="70"/>
      <c r="K20"/>
      <c r="L20"/>
      <c r="M20" s="70"/>
      <c r="N20" s="70"/>
    </row>
    <row r="21" spans="1:14">
      <c r="A21" s="290"/>
      <c r="B21" s="26"/>
      <c r="C21" s="181"/>
      <c r="D21" s="3"/>
      <c r="E21" s="182"/>
      <c r="F21" s="156"/>
      <c r="G21" s="183"/>
      <c r="H21" s="184"/>
      <c r="I21" s="71"/>
      <c r="J21" s="70"/>
      <c r="K21"/>
      <c r="L21"/>
      <c r="M21" s="70"/>
      <c r="N21" s="70"/>
    </row>
    <row r="22" spans="1:14">
      <c r="A22" s="290"/>
      <c r="B22" s="26"/>
      <c r="C22" s="181"/>
      <c r="D22" s="3"/>
      <c r="E22" s="182"/>
      <c r="F22" s="156"/>
      <c r="G22" s="183"/>
      <c r="H22" s="184"/>
      <c r="I22" s="71"/>
      <c r="J22" s="70"/>
      <c r="K22"/>
      <c r="L22"/>
      <c r="M22" s="70"/>
      <c r="N22" s="70"/>
    </row>
    <row r="23" spans="1:14">
      <c r="A23" s="290"/>
      <c r="B23" s="26"/>
      <c r="C23" s="181"/>
      <c r="D23" s="3"/>
      <c r="E23" s="182"/>
      <c r="F23" s="70"/>
      <c r="G23" s="183"/>
      <c r="H23" s="184"/>
      <c r="I23" s="71"/>
      <c r="J23" s="70"/>
      <c r="K23"/>
      <c r="L23"/>
      <c r="M23" s="70"/>
      <c r="N23" s="70"/>
    </row>
    <row r="24" spans="1:14">
      <c r="A24" s="290"/>
      <c r="B24" s="185"/>
      <c r="C24" s="70"/>
      <c r="D24" s="3"/>
      <c r="E24" s="186"/>
      <c r="F24" s="187"/>
      <c r="G24" s="188"/>
      <c r="H24" s="184"/>
      <c r="I24" s="71"/>
      <c r="J24" s="70"/>
      <c r="K24"/>
      <c r="L24"/>
      <c r="M24" s="70"/>
      <c r="N24" s="70"/>
    </row>
    <row r="25" spans="1:14">
      <c r="A25" s="290"/>
      <c r="B25" s="26"/>
      <c r="C25" s="181"/>
      <c r="D25" s="3"/>
      <c r="E25" s="182"/>
      <c r="F25" s="156"/>
      <c r="G25" s="183"/>
      <c r="H25" s="184"/>
      <c r="I25" s="71"/>
      <c r="J25" s="70"/>
      <c r="K25"/>
      <c r="L25"/>
      <c r="M25" s="70"/>
      <c r="N25" s="70"/>
    </row>
    <row r="26" spans="1:14" s="189" customFormat="1">
      <c r="A26" s="290"/>
      <c r="B26" s="185"/>
      <c r="C26" s="70"/>
      <c r="D26" s="3"/>
      <c r="E26" s="186"/>
      <c r="F26" s="187"/>
      <c r="G26" s="188"/>
      <c r="H26" s="184"/>
      <c r="I26" s="288"/>
      <c r="J26"/>
      <c r="K26"/>
      <c r="L26"/>
      <c r="M26" s="70"/>
      <c r="N26" s="70"/>
    </row>
    <row r="27" spans="1:14" s="189" customFormat="1">
      <c r="A27" s="290"/>
      <c r="B27" s="185"/>
      <c r="C27" s="70"/>
      <c r="D27" s="3"/>
      <c r="E27" s="186"/>
      <c r="F27" s="187"/>
      <c r="G27" s="188"/>
      <c r="H27" s="184"/>
      <c r="I27" s="288"/>
      <c r="J27"/>
      <c r="K27"/>
      <c r="L27"/>
      <c r="M27" s="70"/>
      <c r="N27" s="70"/>
    </row>
    <row r="28" spans="1:14">
      <c r="A28" s="290"/>
      <c r="B28" s="185"/>
      <c r="C28" s="70"/>
      <c r="D28" s="3"/>
      <c r="E28" s="186"/>
      <c r="F28" s="187"/>
      <c r="G28" s="188"/>
      <c r="H28" s="184"/>
      <c r="I28" s="288"/>
      <c r="K28"/>
      <c r="L28"/>
      <c r="M28" s="70"/>
      <c r="N28" s="70"/>
    </row>
    <row r="29" spans="1:14" ht="14" customHeight="1">
      <c r="A29" s="291"/>
      <c r="B29" s="190"/>
      <c r="C29" s="191"/>
      <c r="D29" s="192"/>
      <c r="E29" s="193"/>
      <c r="F29" s="193"/>
      <c r="G29" s="191"/>
      <c r="H29" s="1"/>
      <c r="I29" s="71"/>
      <c r="J29" s="194"/>
      <c r="K29"/>
      <c r="L29"/>
      <c r="M29" s="70"/>
      <c r="N29" s="70"/>
    </row>
    <row r="30" spans="1:14">
      <c r="A30" s="290"/>
      <c r="B30" s="26"/>
      <c r="C30" s="181"/>
      <c r="D30" s="3"/>
      <c r="E30" s="182"/>
      <c r="F30" s="156"/>
      <c r="G30" s="183"/>
      <c r="H30" s="184"/>
      <c r="I30" s="71"/>
      <c r="J30" s="70"/>
      <c r="K30"/>
      <c r="L30"/>
      <c r="M30" s="70"/>
      <c r="N30" s="70"/>
    </row>
    <row r="31" spans="1:14">
      <c r="A31" s="290"/>
      <c r="B31" s="26"/>
      <c r="C31" s="181"/>
      <c r="D31" s="3"/>
      <c r="E31" s="182"/>
      <c r="F31" s="156"/>
      <c r="G31" s="183"/>
      <c r="H31" s="184"/>
      <c r="I31" s="71"/>
      <c r="J31" s="70"/>
      <c r="K31"/>
      <c r="L31"/>
      <c r="M31" s="70"/>
      <c r="N31" s="70"/>
    </row>
    <row r="32" spans="1:14">
      <c r="A32" s="290"/>
      <c r="B32" s="26"/>
      <c r="C32" s="181"/>
      <c r="D32" s="3"/>
      <c r="E32" s="182"/>
      <c r="F32" s="156"/>
      <c r="G32" s="183"/>
      <c r="H32" s="184"/>
      <c r="I32" s="71"/>
      <c r="J32" s="70"/>
      <c r="K32"/>
      <c r="L32"/>
      <c r="M32" s="70"/>
      <c r="N32" s="70"/>
    </row>
    <row r="33" spans="1:14">
      <c r="A33" s="19"/>
      <c r="B33" s="195"/>
      <c r="C33" s="70"/>
      <c r="D33" s="3"/>
      <c r="E33" s="186"/>
      <c r="F33" s="187"/>
      <c r="G33" s="188"/>
      <c r="H33" s="184"/>
      <c r="I33" s="71"/>
      <c r="J33" s="70"/>
      <c r="K33"/>
      <c r="L33"/>
      <c r="M33" s="70"/>
      <c r="N33" s="70"/>
    </row>
    <row r="34" spans="1:14">
      <c r="A34" s="290"/>
      <c r="B34" s="26"/>
      <c r="C34" s="181"/>
      <c r="D34" s="3"/>
      <c r="E34" s="182"/>
      <c r="F34" s="187"/>
      <c r="G34" s="188"/>
      <c r="H34" s="184"/>
      <c r="I34" s="71"/>
      <c r="J34" s="70"/>
      <c r="K34"/>
      <c r="L34"/>
      <c r="M34" s="70"/>
      <c r="N34" s="70"/>
    </row>
    <row r="35" spans="1:14">
      <c r="A35" s="290"/>
      <c r="B35" s="26"/>
      <c r="C35" s="181"/>
      <c r="D35" s="3"/>
      <c r="E35" s="182"/>
      <c r="F35" s="187"/>
      <c r="G35" s="188"/>
      <c r="H35" s="184"/>
      <c r="I35" s="71"/>
      <c r="J35" s="70"/>
      <c r="K35"/>
      <c r="L35"/>
      <c r="M35" s="70"/>
      <c r="N35" s="70"/>
    </row>
    <row r="36" spans="1:14">
      <c r="A36" s="312"/>
      <c r="B36" s="313"/>
      <c r="C36" s="314"/>
      <c r="D36" s="315"/>
      <c r="E36" s="316"/>
      <c r="F36" s="317"/>
      <c r="G36" s="318"/>
      <c r="H36" s="319"/>
      <c r="K36"/>
      <c r="L36"/>
      <c r="M36"/>
      <c r="N36"/>
    </row>
    <row r="37" spans="1:14">
      <c r="A37" s="290"/>
      <c r="B37" s="26"/>
      <c r="C37" s="181"/>
      <c r="D37" s="3"/>
      <c r="E37" s="182"/>
      <c r="F37" s="156"/>
      <c r="G37" s="183"/>
      <c r="H37" s="184"/>
      <c r="I37" s="71"/>
      <c r="J37" s="70"/>
      <c r="K37"/>
      <c r="L37"/>
      <c r="M37" s="70"/>
      <c r="N37" s="70"/>
    </row>
    <row r="38" spans="1:14">
      <c r="A38" s="290"/>
      <c r="B38" s="26"/>
      <c r="C38" s="181"/>
      <c r="D38" s="3"/>
      <c r="E38" s="182"/>
      <c r="F38" s="70"/>
      <c r="G38" s="183"/>
      <c r="H38" s="184"/>
      <c r="I38" s="71"/>
      <c r="J38" s="70"/>
      <c r="K38"/>
      <c r="L38"/>
      <c r="M38" s="70"/>
      <c r="N38" s="70"/>
    </row>
    <row r="39" spans="1:14">
      <c r="A39" s="290"/>
      <c r="B39" s="185"/>
      <c r="C39" s="70"/>
      <c r="D39" s="3"/>
      <c r="E39" s="186"/>
      <c r="F39" s="187"/>
      <c r="G39" s="188"/>
      <c r="H39" s="184"/>
      <c r="I39" s="71"/>
      <c r="J39" s="70"/>
      <c r="K39"/>
      <c r="L39"/>
      <c r="M39" s="70"/>
      <c r="N39" s="70"/>
    </row>
    <row r="40" spans="1:14">
      <c r="A40" s="290"/>
      <c r="B40" s="26"/>
      <c r="C40" s="181"/>
      <c r="D40" s="3"/>
      <c r="E40" s="182"/>
      <c r="F40" s="156"/>
      <c r="G40" s="183"/>
      <c r="H40" s="184"/>
      <c r="I40" s="71"/>
      <c r="J40" s="70"/>
      <c r="K40"/>
      <c r="L40"/>
      <c r="M40" s="70"/>
      <c r="N40" s="70"/>
    </row>
    <row r="41" spans="1:14" s="189" customFormat="1">
      <c r="A41" s="290"/>
      <c r="B41" s="185"/>
      <c r="C41" s="70"/>
      <c r="D41" s="3"/>
      <c r="E41" s="186"/>
      <c r="F41" s="187"/>
      <c r="G41" s="188"/>
      <c r="H41" s="184"/>
      <c r="I41" s="288"/>
      <c r="J41"/>
      <c r="K41"/>
      <c r="L41"/>
      <c r="M41" s="70"/>
      <c r="N41" s="70"/>
    </row>
    <row r="42" spans="1:14">
      <c r="A42" s="290"/>
      <c r="B42" s="26"/>
      <c r="C42" s="181"/>
      <c r="D42" s="3"/>
      <c r="E42" s="182"/>
      <c r="F42" s="156"/>
      <c r="G42" s="183"/>
      <c r="H42" s="184"/>
      <c r="I42" s="71"/>
      <c r="J42" s="70"/>
      <c r="K42"/>
      <c r="L42"/>
      <c r="M42" s="70"/>
      <c r="N42" s="70"/>
    </row>
    <row r="43" spans="1:14" ht="14" customHeight="1">
      <c r="A43" s="291"/>
      <c r="B43" s="190"/>
      <c r="C43" s="191"/>
      <c r="D43" s="192"/>
      <c r="E43" s="196"/>
      <c r="F43" s="196"/>
      <c r="G43" s="197"/>
      <c r="H43" s="198"/>
      <c r="I43" s="71"/>
      <c r="J43" s="194"/>
      <c r="K43"/>
      <c r="L43"/>
      <c r="M43" s="70"/>
      <c r="N43" s="70"/>
    </row>
    <row r="44" spans="1:14" ht="14" customHeight="1">
      <c r="A44" s="291"/>
      <c r="B44" s="185"/>
      <c r="C44" s="70"/>
      <c r="D44" s="199"/>
      <c r="E44" s="200"/>
      <c r="F44" s="201"/>
      <c r="G44" s="202"/>
      <c r="H44" s="203"/>
      <c r="I44" s="71"/>
      <c r="J44" s="194"/>
      <c r="K44"/>
      <c r="L44"/>
      <c r="M44" s="70"/>
      <c r="N44" s="70"/>
    </row>
    <row r="45" spans="1:14" ht="14" customHeight="1">
      <c r="A45" s="291"/>
      <c r="B45" s="185"/>
      <c r="C45" s="70"/>
      <c r="D45" s="199"/>
      <c r="E45" s="200"/>
      <c r="F45" s="201"/>
      <c r="G45" s="202"/>
      <c r="H45" s="203"/>
      <c r="I45" s="71"/>
      <c r="J45" s="194"/>
      <c r="K45"/>
      <c r="L45"/>
      <c r="M45" s="70"/>
      <c r="N45" s="70"/>
    </row>
    <row r="46" spans="1:14">
      <c r="A46" s="290"/>
      <c r="B46" s="185"/>
      <c r="C46" s="70"/>
      <c r="D46" s="199"/>
      <c r="E46" s="200"/>
      <c r="F46" s="201"/>
      <c r="G46" s="202"/>
      <c r="H46" s="203"/>
      <c r="I46" s="288"/>
      <c r="K46"/>
      <c r="L46"/>
      <c r="M46" s="70"/>
      <c r="N46" s="70"/>
    </row>
    <row r="47" spans="1:14" ht="14" customHeight="1">
      <c r="A47" s="291"/>
      <c r="B47" s="190"/>
      <c r="C47" s="191"/>
      <c r="D47" s="192"/>
      <c r="E47" s="196"/>
      <c r="F47" s="196"/>
      <c r="G47" s="197"/>
      <c r="H47" s="198"/>
      <c r="I47" s="71"/>
      <c r="J47" s="194"/>
      <c r="K47"/>
      <c r="L47"/>
      <c r="M47" s="70"/>
      <c r="N47" s="70"/>
    </row>
    <row r="48" spans="1:14">
      <c r="A48" s="290"/>
      <c r="B48" s="26"/>
      <c r="C48" s="181"/>
      <c r="D48" s="199"/>
      <c r="E48" s="204"/>
      <c r="F48" s="205"/>
      <c r="G48" s="206"/>
      <c r="H48" s="203"/>
      <c r="I48" s="71"/>
      <c r="J48" s="70"/>
      <c r="K48"/>
      <c r="L48"/>
      <c r="M48" s="70"/>
      <c r="N48" s="70"/>
    </row>
    <row r="49" spans="1:14">
      <c r="A49" s="290"/>
      <c r="B49" s="26"/>
      <c r="C49" s="181"/>
      <c r="D49" s="199"/>
      <c r="E49" s="204"/>
      <c r="F49" s="205"/>
      <c r="G49" s="206"/>
      <c r="H49" s="203"/>
      <c r="I49" s="71"/>
      <c r="J49" s="70"/>
      <c r="K49"/>
      <c r="L49"/>
      <c r="M49" s="70"/>
      <c r="N49" s="70"/>
    </row>
    <row r="50" spans="1:14">
      <c r="A50" s="290"/>
      <c r="B50" s="26"/>
      <c r="C50" s="181"/>
      <c r="D50" s="199"/>
      <c r="E50" s="204"/>
      <c r="F50" s="205"/>
      <c r="G50" s="206"/>
      <c r="H50" s="203"/>
      <c r="I50" s="71"/>
      <c r="J50" s="70"/>
      <c r="K50"/>
      <c r="L50"/>
      <c r="M50" s="70"/>
      <c r="N50" s="70"/>
    </row>
    <row r="51" spans="1:14">
      <c r="A51" s="19"/>
      <c r="B51" s="195"/>
      <c r="C51" s="70"/>
      <c r="D51" s="199"/>
      <c r="E51" s="200"/>
      <c r="F51" s="201"/>
      <c r="G51" s="202"/>
      <c r="H51" s="203"/>
      <c r="I51" s="71"/>
      <c r="J51" s="70"/>
      <c r="K51"/>
      <c r="L51"/>
      <c r="M51" s="70"/>
      <c r="N51" s="70"/>
    </row>
    <row r="52" spans="1:14">
      <c r="A52" s="290"/>
      <c r="B52" s="26"/>
      <c r="C52" s="181"/>
      <c r="D52" s="199"/>
      <c r="E52" s="204"/>
      <c r="F52" s="201"/>
      <c r="G52" s="202"/>
      <c r="H52" s="203"/>
      <c r="I52" s="71"/>
      <c r="J52" s="70"/>
      <c r="K52"/>
      <c r="L52"/>
      <c r="M52" s="70"/>
      <c r="N52" s="70"/>
    </row>
    <row r="53" spans="1:14">
      <c r="A53" s="290"/>
      <c r="B53" s="26"/>
      <c r="C53" s="181"/>
      <c r="D53" s="199"/>
      <c r="E53" s="204"/>
      <c r="F53" s="207"/>
      <c r="G53" s="206"/>
      <c r="H53" s="203"/>
      <c r="I53" s="71"/>
      <c r="J53" s="70"/>
      <c r="K53"/>
      <c r="L53"/>
      <c r="M53" s="70"/>
      <c r="N53" s="70"/>
    </row>
    <row r="54" spans="1:14">
      <c r="A54" s="290"/>
      <c r="B54" s="185"/>
      <c r="C54" s="70"/>
      <c r="D54" s="199"/>
      <c r="E54" s="200"/>
      <c r="F54" s="201"/>
      <c r="G54" s="202"/>
      <c r="H54" s="203"/>
      <c r="I54" s="71"/>
      <c r="J54" s="70"/>
      <c r="K54"/>
      <c r="L54"/>
      <c r="M54" s="70"/>
      <c r="N54" s="70"/>
    </row>
    <row r="55" spans="1:14">
      <c r="A55" s="290"/>
      <c r="B55" s="26"/>
      <c r="C55" s="181"/>
      <c r="D55" s="199"/>
      <c r="E55" s="204"/>
      <c r="F55" s="201"/>
      <c r="G55" s="206"/>
      <c r="H55" s="203"/>
      <c r="I55" s="71"/>
      <c r="J55" s="70"/>
      <c r="K55"/>
      <c r="L55"/>
      <c r="M55" s="70"/>
      <c r="N55" s="70"/>
    </row>
    <row r="56" spans="1:14">
      <c r="A56" s="290"/>
      <c r="B56" s="26"/>
      <c r="C56" s="181"/>
      <c r="D56" s="199"/>
      <c r="E56" s="204"/>
      <c r="F56" s="201"/>
      <c r="G56" s="206"/>
      <c r="H56" s="203"/>
      <c r="I56" s="71"/>
      <c r="J56" s="70"/>
      <c r="K56"/>
      <c r="L56"/>
      <c r="M56" s="70"/>
      <c r="N56" s="70"/>
    </row>
    <row r="57" spans="1:14">
      <c r="A57" s="290"/>
      <c r="B57" s="190"/>
      <c r="C57" s="190"/>
      <c r="D57" s="192"/>
      <c r="E57" s="208"/>
      <c r="F57" s="196"/>
      <c r="G57" s="197"/>
      <c r="H57" s="198"/>
      <c r="I57" s="71"/>
      <c r="J57" s="194"/>
      <c r="K57"/>
      <c r="L57"/>
      <c r="M57" s="70"/>
      <c r="N57" s="70"/>
    </row>
    <row r="58" spans="1:14">
      <c r="A58" s="235"/>
      <c r="B58" s="70"/>
      <c r="C58" s="70"/>
      <c r="D58" s="199"/>
      <c r="E58" s="200"/>
      <c r="F58" s="201"/>
      <c r="G58" s="206"/>
      <c r="H58" s="203"/>
      <c r="I58" s="71"/>
      <c r="J58" s="194"/>
      <c r="K58"/>
      <c r="L58"/>
      <c r="M58" s="70"/>
      <c r="N58" s="70"/>
    </row>
    <row r="59" spans="1:14">
      <c r="A59" s="234"/>
      <c r="B59" s="190"/>
      <c r="C59" s="190"/>
      <c r="D59" s="192"/>
      <c r="E59" s="200"/>
      <c r="F59" s="207"/>
      <c r="G59" s="206"/>
      <c r="H59" s="203"/>
      <c r="K59"/>
      <c r="L59"/>
      <c r="M59" s="70"/>
      <c r="N59" s="70"/>
    </row>
    <row r="60" spans="1:14">
      <c r="A60" s="236"/>
      <c r="B60" s="70"/>
      <c r="C60" s="70"/>
      <c r="D60" s="209"/>
      <c r="E60" s="200"/>
      <c r="F60" s="207"/>
      <c r="G60" s="206"/>
      <c r="H60" s="203"/>
      <c r="I60" s="292"/>
      <c r="J60" s="210"/>
      <c r="K60"/>
      <c r="L60"/>
      <c r="M60" s="70"/>
      <c r="N60" s="70"/>
    </row>
    <row r="61" spans="1:14">
      <c r="A61" s="26"/>
      <c r="B61" s="26"/>
      <c r="C61" s="70"/>
      <c r="D61" s="209"/>
      <c r="E61" s="204"/>
      <c r="F61" s="207"/>
      <c r="G61" s="206"/>
      <c r="H61" s="203"/>
      <c r="K61"/>
      <c r="L61"/>
      <c r="M61" s="70"/>
      <c r="N61" s="70"/>
    </row>
    <row r="62" spans="1:14">
      <c r="A62" s="237"/>
      <c r="B62" s="131"/>
      <c r="C62" s="109"/>
      <c r="D62" s="199"/>
      <c r="E62" s="211"/>
      <c r="F62" s="205"/>
      <c r="G62" s="203"/>
      <c r="H62" s="211"/>
      <c r="I62" s="184"/>
      <c r="J62" s="3"/>
      <c r="K62" s="70"/>
      <c r="L62" s="43"/>
      <c r="M62" s="70"/>
    </row>
    <row r="63" spans="1:14">
      <c r="A63" s="3"/>
      <c r="B63" s="131"/>
      <c r="C63" s="70"/>
      <c r="D63" s="171"/>
      <c r="E63" s="211"/>
      <c r="F63" s="205"/>
      <c r="G63" s="203"/>
      <c r="H63" s="211"/>
      <c r="I63" s="3"/>
      <c r="J63" s="3"/>
      <c r="K63" s="70"/>
      <c r="L63" s="43"/>
      <c r="M63" s="70"/>
    </row>
    <row r="64" spans="1:14">
      <c r="A64" s="189"/>
      <c r="B64" s="212"/>
      <c r="C64" s="174"/>
      <c r="D64" s="213"/>
      <c r="E64" s="293"/>
      <c r="F64" s="214"/>
      <c r="G64" s="215"/>
      <c r="H64" s="216"/>
      <c r="I64" s="8"/>
      <c r="J64" s="8"/>
      <c r="K64" s="174"/>
      <c r="L64" s="217"/>
      <c r="M64" s="174"/>
      <c r="N64" s="218"/>
    </row>
    <row r="65" spans="3:12">
      <c r="E65" s="107"/>
      <c r="F65" s="107"/>
      <c r="G65" s="107"/>
      <c r="H65" s="108"/>
    </row>
    <row r="68" spans="3:12">
      <c r="C68" s="107"/>
      <c r="D68" s="107"/>
      <c r="I68" s="107"/>
      <c r="J68" s="107"/>
      <c r="K68" s="108"/>
      <c r="L68" s="107"/>
    </row>
    <row r="69" spans="3:12">
      <c r="C69" s="107"/>
      <c r="D69" s="107"/>
      <c r="I69" s="107"/>
      <c r="J69" s="107"/>
      <c r="K69" s="108"/>
      <c r="L69" s="107"/>
    </row>
    <row r="116" spans="1:15" s="143" customFormat="1" ht="20">
      <c r="A116" s="129" t="s">
        <v>133</v>
      </c>
      <c r="C116" s="93"/>
      <c r="D116"/>
      <c r="E116"/>
      <c r="F116" s="93"/>
      <c r="G116"/>
      <c r="H116" s="93"/>
      <c r="I116"/>
      <c r="J116"/>
      <c r="K116" s="93"/>
      <c r="L116" s="97"/>
      <c r="M116" s="93"/>
      <c r="N116" s="93"/>
      <c r="O116"/>
    </row>
  </sheetData>
  <mergeCells count="5">
    <mergeCell ref="M9:M14"/>
    <mergeCell ref="A2:H2"/>
    <mergeCell ref="F4:G4"/>
    <mergeCell ref="A9:A14"/>
    <mergeCell ref="J9:J14"/>
  </mergeCells>
  <phoneticPr fontId="11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9198-6F6B-43C7-AEBB-0DC4F067ACFD}">
  <sheetPr>
    <tabColor rgb="FFFF0000"/>
    <pageSetUpPr fitToPage="1"/>
  </sheetPr>
  <dimension ref="A1:I5"/>
  <sheetViews>
    <sheetView view="pageBreakPreview" zoomScale="30" zoomScaleNormal="90" zoomScaleSheetLayoutView="30" workbookViewId="0">
      <selection activeCell="I5" sqref="I5"/>
    </sheetView>
  </sheetViews>
  <sheetFormatPr defaultRowHeight="31.5"/>
  <cols>
    <col min="1" max="1" width="14.453125" customWidth="1"/>
    <col min="2" max="2" width="40.90625" style="448" customWidth="1"/>
    <col min="3" max="3" width="41.36328125" style="449" customWidth="1"/>
    <col min="4" max="4" width="86.08984375" style="449" customWidth="1"/>
    <col min="5" max="5" width="42.1796875" style="449" customWidth="1"/>
    <col min="6" max="6" width="34.81640625" style="451" customWidth="1"/>
    <col min="7" max="7" width="50.6328125" style="451" customWidth="1"/>
    <col min="8" max="8" width="34.81640625" style="452" customWidth="1"/>
    <col min="9" max="9" width="34.81640625" style="453" customWidth="1"/>
    <col min="10" max="16" width="34.81640625" customWidth="1"/>
  </cols>
  <sheetData>
    <row r="1" spans="1:9">
      <c r="D1" s="450" t="s">
        <v>236</v>
      </c>
    </row>
    <row r="2" spans="1:9" s="458" customFormat="1" ht="88.25" customHeight="1" thickBot="1">
      <c r="A2" s="454"/>
      <c r="B2" s="455" t="s">
        <v>237</v>
      </c>
      <c r="C2" s="456" t="s">
        <v>238</v>
      </c>
      <c r="D2" s="456"/>
      <c r="E2" s="456" t="s">
        <v>239</v>
      </c>
      <c r="F2" s="457" t="s">
        <v>240</v>
      </c>
      <c r="G2" s="457" t="s">
        <v>241</v>
      </c>
      <c r="H2" s="456" t="s">
        <v>242</v>
      </c>
      <c r="I2" s="457" t="s">
        <v>243</v>
      </c>
    </row>
    <row r="3" spans="1:9" ht="194.75" customHeight="1">
      <c r="A3" s="459"/>
      <c r="B3" s="460" t="s">
        <v>246</v>
      </c>
      <c r="C3" s="461" t="s">
        <v>247</v>
      </c>
      <c r="D3" s="462" t="s">
        <v>248</v>
      </c>
      <c r="E3" s="463" t="s">
        <v>244</v>
      </c>
      <c r="F3" s="464" t="s">
        <v>139</v>
      </c>
      <c r="G3" s="464"/>
      <c r="H3" s="464" t="s">
        <v>245</v>
      </c>
      <c r="I3" s="465">
        <v>38</v>
      </c>
    </row>
    <row r="4" spans="1:9" ht="134" customHeight="1"/>
    <row r="5" spans="1:9" ht="134" customHeight="1"/>
  </sheetData>
  <phoneticPr fontId="11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473-424C-4035-B9FF-5BA4CCEB664D}">
  <sheetPr>
    <pageSetUpPr fitToPage="1"/>
  </sheetPr>
  <dimension ref="A1:D207"/>
  <sheetViews>
    <sheetView view="pageBreakPreview" topLeftCell="A22" zoomScale="80" zoomScaleNormal="70" zoomScaleSheetLayoutView="80" workbookViewId="0">
      <selection activeCell="D75" sqref="D75"/>
    </sheetView>
  </sheetViews>
  <sheetFormatPr defaultRowHeight="15"/>
  <cols>
    <col min="1" max="1" width="7.90625" customWidth="1"/>
    <col min="2" max="2" width="38.08984375" style="143" customWidth="1"/>
    <col min="3" max="3" width="81.6328125" customWidth="1"/>
    <col min="4" max="4" width="23.6328125" customWidth="1"/>
  </cols>
  <sheetData>
    <row r="1" spans="1:4" ht="17.399999999999999" customHeight="1">
      <c r="A1" s="45"/>
    </row>
    <row r="2" spans="1:4" ht="15" customHeight="1">
      <c r="A2" s="502" t="s">
        <v>156</v>
      </c>
      <c r="B2" s="502"/>
      <c r="C2" s="328"/>
    </row>
    <row r="3" spans="1:4" ht="15.65" customHeight="1" thickBot="1">
      <c r="A3" s="128"/>
      <c r="B3" s="144"/>
      <c r="C3" s="128"/>
    </row>
    <row r="4" spans="1:4" ht="21.75" customHeight="1" thickBot="1">
      <c r="A4" s="153" t="s">
        <v>60</v>
      </c>
      <c r="B4" s="145" t="s">
        <v>130</v>
      </c>
      <c r="C4" s="134" t="s">
        <v>120</v>
      </c>
      <c r="D4" s="154" t="s">
        <v>136</v>
      </c>
    </row>
    <row r="5" spans="1:4" ht="16.25" customHeight="1">
      <c r="A5" s="495" t="s">
        <v>166</v>
      </c>
      <c r="B5" s="270"/>
      <c r="C5" s="254" t="s">
        <v>167</v>
      </c>
      <c r="D5" s="436"/>
    </row>
    <row r="6" spans="1:4" ht="15" customHeight="1">
      <c r="A6" s="496"/>
      <c r="B6" s="271" t="s">
        <v>168</v>
      </c>
      <c r="C6" s="273" t="s">
        <v>139</v>
      </c>
      <c r="D6" s="437" t="s">
        <v>137</v>
      </c>
    </row>
    <row r="7" spans="1:4" ht="15" customHeight="1">
      <c r="A7" s="496"/>
      <c r="B7" s="126" t="s">
        <v>171</v>
      </c>
      <c r="C7" s="273" t="s">
        <v>161</v>
      </c>
      <c r="D7" s="438" t="s">
        <v>91</v>
      </c>
    </row>
    <row r="8" spans="1:4" ht="15" customHeight="1">
      <c r="A8" s="496"/>
      <c r="B8" s="294" t="s">
        <v>172</v>
      </c>
      <c r="C8" s="274" t="s">
        <v>173</v>
      </c>
      <c r="D8" s="438"/>
    </row>
    <row r="9" spans="1:4" ht="15" customHeight="1" thickBot="1">
      <c r="A9" s="497"/>
      <c r="B9" s="295" t="s">
        <v>174</v>
      </c>
      <c r="C9" s="277"/>
      <c r="D9" s="387"/>
    </row>
    <row r="10" spans="1:4" ht="15" customHeight="1">
      <c r="A10" s="409"/>
      <c r="B10" s="434"/>
      <c r="C10" s="435"/>
      <c r="D10" s="386"/>
    </row>
    <row r="11" spans="1:4" ht="15" customHeight="1" thickBot="1">
      <c r="A11" s="409"/>
      <c r="B11" s="434"/>
      <c r="C11" s="435"/>
      <c r="D11" s="386"/>
    </row>
    <row r="12" spans="1:4" ht="21.75" customHeight="1" thickBot="1">
      <c r="A12" s="153" t="s">
        <v>60</v>
      </c>
      <c r="B12" s="145" t="s">
        <v>130</v>
      </c>
      <c r="C12" s="134" t="s">
        <v>120</v>
      </c>
      <c r="D12" s="154" t="s">
        <v>136</v>
      </c>
    </row>
    <row r="13" spans="1:4" ht="16.25" customHeight="1">
      <c r="A13" s="495" t="s">
        <v>262</v>
      </c>
      <c r="B13" s="270"/>
      <c r="C13" s="254" t="s">
        <v>163</v>
      </c>
      <c r="D13" s="436"/>
    </row>
    <row r="14" spans="1:4" ht="15" customHeight="1">
      <c r="A14" s="496"/>
      <c r="B14" s="271" t="s">
        <v>158</v>
      </c>
      <c r="C14" s="273" t="s">
        <v>150</v>
      </c>
      <c r="D14" s="437" t="s">
        <v>137</v>
      </c>
    </row>
    <row r="15" spans="1:4" ht="15" customHeight="1">
      <c r="A15" s="496"/>
      <c r="B15" s="126" t="s">
        <v>150</v>
      </c>
      <c r="C15" s="273" t="s">
        <v>161</v>
      </c>
      <c r="D15" s="438" t="s">
        <v>91</v>
      </c>
    </row>
    <row r="16" spans="1:4" ht="15" customHeight="1">
      <c r="A16" s="496"/>
      <c r="B16" s="275" t="s">
        <v>159</v>
      </c>
      <c r="C16" s="274" t="s">
        <v>162</v>
      </c>
      <c r="D16" s="438"/>
    </row>
    <row r="17" spans="1:4" ht="15" customHeight="1" thickBot="1">
      <c r="A17" s="497"/>
      <c r="B17" s="311" t="s">
        <v>160</v>
      </c>
      <c r="C17" s="277"/>
      <c r="D17" s="387"/>
    </row>
    <row r="18" spans="1:4" ht="15" customHeight="1">
      <c r="A18" s="409"/>
      <c r="B18" s="434"/>
      <c r="C18" s="435"/>
      <c r="D18" s="386"/>
    </row>
    <row r="19" spans="1:4" ht="15" customHeight="1" thickBot="1">
      <c r="A19" s="409"/>
      <c r="B19" s="434"/>
      <c r="C19" s="435"/>
      <c r="D19" s="386"/>
    </row>
    <row r="20" spans="1:4" ht="21.75" customHeight="1" thickBot="1">
      <c r="A20" s="153">
        <v>3</v>
      </c>
      <c r="B20" s="145" t="s">
        <v>130</v>
      </c>
      <c r="C20" s="134" t="s">
        <v>120</v>
      </c>
      <c r="D20" s="154" t="s">
        <v>136</v>
      </c>
    </row>
    <row r="21" spans="1:4" ht="16.25" customHeight="1">
      <c r="A21" s="495" t="s">
        <v>263</v>
      </c>
      <c r="B21" s="327"/>
      <c r="C21" s="254" t="s">
        <v>182</v>
      </c>
      <c r="D21" s="436"/>
    </row>
    <row r="22" spans="1:4" ht="15" customHeight="1">
      <c r="A22" s="496"/>
      <c r="B22" s="407" t="s">
        <v>183</v>
      </c>
      <c r="C22" s="273" t="s">
        <v>145</v>
      </c>
      <c r="D22" s="437" t="s">
        <v>137</v>
      </c>
    </row>
    <row r="23" spans="1:4" ht="15" customHeight="1">
      <c r="A23" s="496"/>
      <c r="B23" s="240" t="s">
        <v>145</v>
      </c>
      <c r="C23" s="273" t="s">
        <v>185</v>
      </c>
      <c r="D23" s="438" t="s">
        <v>91</v>
      </c>
    </row>
    <row r="24" spans="1:4" ht="15" customHeight="1">
      <c r="A24" s="496"/>
      <c r="B24" s="294" t="s">
        <v>186</v>
      </c>
      <c r="C24" s="274" t="s">
        <v>187</v>
      </c>
      <c r="D24" s="438"/>
    </row>
    <row r="25" spans="1:4" ht="15" customHeight="1" thickBot="1">
      <c r="A25" s="497"/>
      <c r="B25" s="295" t="s">
        <v>188</v>
      </c>
      <c r="C25" s="277"/>
      <c r="D25" s="387"/>
    </row>
    <row r="26" spans="1:4" ht="15" customHeight="1">
      <c r="A26" s="439"/>
      <c r="B26" s="434"/>
      <c r="C26" s="435"/>
      <c r="D26" s="386"/>
    </row>
    <row r="27" spans="1:4" ht="15" customHeight="1" thickBot="1">
      <c r="A27" s="441"/>
      <c r="B27" s="434"/>
      <c r="C27" s="435"/>
      <c r="D27" s="386"/>
    </row>
    <row r="28" spans="1:4" ht="21.75" customHeight="1" thickBot="1">
      <c r="A28" s="153" t="s">
        <v>60</v>
      </c>
      <c r="B28" s="145" t="s">
        <v>130</v>
      </c>
      <c r="C28" s="134" t="s">
        <v>120</v>
      </c>
      <c r="D28" s="154" t="s">
        <v>136</v>
      </c>
    </row>
    <row r="29" spans="1:4" ht="16.25" customHeight="1">
      <c r="A29" s="495" t="s">
        <v>264</v>
      </c>
      <c r="B29" s="270"/>
      <c r="C29" s="254" t="s">
        <v>179</v>
      </c>
      <c r="D29" s="436"/>
    </row>
    <row r="30" spans="1:4" ht="15" customHeight="1">
      <c r="A30" s="496"/>
      <c r="B30" s="271" t="s">
        <v>175</v>
      </c>
      <c r="C30" s="273" t="s">
        <v>145</v>
      </c>
      <c r="D30" s="437" t="s">
        <v>137</v>
      </c>
    </row>
    <row r="31" spans="1:4" ht="15" customHeight="1">
      <c r="A31" s="496"/>
      <c r="B31" s="126" t="s">
        <v>176</v>
      </c>
      <c r="C31" s="273" t="s">
        <v>180</v>
      </c>
      <c r="D31" s="438" t="s">
        <v>91</v>
      </c>
    </row>
    <row r="32" spans="1:4" ht="15" customHeight="1">
      <c r="A32" s="496"/>
      <c r="B32" s="275" t="s">
        <v>177</v>
      </c>
      <c r="C32" s="274" t="s">
        <v>181</v>
      </c>
      <c r="D32" s="438"/>
    </row>
    <row r="33" spans="1:4" ht="15" customHeight="1" thickBot="1">
      <c r="A33" s="497"/>
      <c r="B33" s="311" t="s">
        <v>160</v>
      </c>
      <c r="C33" s="277"/>
      <c r="D33" s="387"/>
    </row>
    <row r="34" spans="1:4" ht="15" customHeight="1">
      <c r="A34" s="439"/>
      <c r="B34" s="434"/>
      <c r="C34" s="435"/>
      <c r="D34" s="386"/>
    </row>
    <row r="35" spans="1:4" ht="15" customHeight="1" thickBot="1">
      <c r="A35" s="441"/>
      <c r="B35" s="434"/>
      <c r="C35" s="435"/>
      <c r="D35" s="386"/>
    </row>
    <row r="36" spans="1:4" ht="21.75" customHeight="1" thickBot="1">
      <c r="A36" s="153" t="s">
        <v>60</v>
      </c>
      <c r="B36" s="145" t="s">
        <v>130</v>
      </c>
      <c r="C36" s="134" t="s">
        <v>120</v>
      </c>
      <c r="D36" s="154" t="s">
        <v>136</v>
      </c>
    </row>
    <row r="37" spans="1:4" ht="16.25" customHeight="1">
      <c r="A37" s="495" t="s">
        <v>265</v>
      </c>
      <c r="B37" s="270"/>
      <c r="C37" s="254" t="s">
        <v>194</v>
      </c>
      <c r="D37" s="436"/>
    </row>
    <row r="38" spans="1:4" ht="15" customHeight="1">
      <c r="A38" s="496"/>
      <c r="B38" s="271" t="s">
        <v>189</v>
      </c>
      <c r="C38" s="273" t="s">
        <v>150</v>
      </c>
      <c r="D38" s="437" t="s">
        <v>137</v>
      </c>
    </row>
    <row r="39" spans="1:4" ht="15" customHeight="1">
      <c r="A39" s="496"/>
      <c r="B39" s="126" t="s">
        <v>150</v>
      </c>
      <c r="C39" s="273" t="s">
        <v>161</v>
      </c>
      <c r="D39" s="438" t="s">
        <v>91</v>
      </c>
    </row>
    <row r="40" spans="1:4" ht="15" customHeight="1">
      <c r="A40" s="496"/>
      <c r="B40" s="275" t="s">
        <v>190</v>
      </c>
      <c r="C40" s="274" t="s">
        <v>195</v>
      </c>
      <c r="D40" s="438"/>
    </row>
    <row r="41" spans="1:4" ht="15" customHeight="1" thickBot="1">
      <c r="A41" s="497"/>
      <c r="B41" s="311" t="s">
        <v>191</v>
      </c>
      <c r="C41" s="277"/>
      <c r="D41" s="387"/>
    </row>
    <row r="42" spans="1:4" ht="15" customHeight="1">
      <c r="A42" s="439"/>
      <c r="B42" s="434"/>
      <c r="C42" s="435"/>
      <c r="D42" s="386"/>
    </row>
    <row r="43" spans="1:4" ht="21.75" customHeight="1" thickBot="1">
      <c r="A43" s="440"/>
      <c r="B43" s="404"/>
      <c r="C43" s="404"/>
      <c r="D43" s="386"/>
    </row>
    <row r="44" spans="1:4" ht="21.75" customHeight="1" thickBot="1">
      <c r="A44" s="153" t="s">
        <v>60</v>
      </c>
      <c r="B44" s="145" t="s">
        <v>130</v>
      </c>
      <c r="C44" s="134" t="s">
        <v>120</v>
      </c>
      <c r="D44" s="154" t="s">
        <v>136</v>
      </c>
    </row>
    <row r="45" spans="1:4" ht="15" customHeight="1">
      <c r="A45" s="510">
        <v>17</v>
      </c>
      <c r="B45" s="327"/>
      <c r="C45" s="254" t="s">
        <v>194</v>
      </c>
      <c r="D45" s="442"/>
    </row>
    <row r="46" spans="1:4" ht="15" customHeight="1">
      <c r="A46" s="511"/>
      <c r="B46" s="407" t="s">
        <v>189</v>
      </c>
      <c r="C46" s="273" t="s">
        <v>150</v>
      </c>
      <c r="D46" s="437" t="s">
        <v>137</v>
      </c>
    </row>
    <row r="47" spans="1:4" ht="16.5" customHeight="1">
      <c r="A47" s="511"/>
      <c r="B47" s="240" t="s">
        <v>150</v>
      </c>
      <c r="C47" s="273" t="s">
        <v>161</v>
      </c>
      <c r="D47" s="438" t="s">
        <v>91</v>
      </c>
    </row>
    <row r="48" spans="1:4" ht="16.25" customHeight="1">
      <c r="A48" s="511"/>
      <c r="B48" s="294" t="s">
        <v>190</v>
      </c>
      <c r="C48" s="274" t="s">
        <v>195</v>
      </c>
      <c r="D48" s="438"/>
    </row>
    <row r="49" spans="1:4" ht="15" customHeight="1" thickBot="1">
      <c r="A49" s="511"/>
      <c r="B49" s="295" t="s">
        <v>191</v>
      </c>
      <c r="C49" s="277"/>
      <c r="D49" s="387"/>
    </row>
    <row r="50" spans="1:4" ht="15" customHeight="1" thickBot="1">
      <c r="A50" s="511"/>
      <c r="B50" s="399"/>
      <c r="C50" s="400"/>
      <c r="D50" s="405"/>
    </row>
    <row r="51" spans="1:4" ht="15" customHeight="1">
      <c r="A51" s="511"/>
      <c r="B51" s="327"/>
      <c r="C51" s="254" t="s">
        <v>194</v>
      </c>
      <c r="D51" s="405"/>
    </row>
    <row r="52" spans="1:4" ht="15" customHeight="1">
      <c r="A52" s="511"/>
      <c r="B52" s="407" t="s">
        <v>200</v>
      </c>
      <c r="C52" s="273" t="s">
        <v>150</v>
      </c>
      <c r="D52" s="405"/>
    </row>
    <row r="53" spans="1:4" ht="15" customHeight="1">
      <c r="A53" s="511"/>
      <c r="B53" s="240" t="s">
        <v>150</v>
      </c>
      <c r="C53" s="273" t="s">
        <v>161</v>
      </c>
      <c r="D53" s="405"/>
    </row>
    <row r="54" spans="1:4" ht="17.399999999999999" customHeight="1">
      <c r="A54" s="511"/>
      <c r="B54" s="294" t="s">
        <v>201</v>
      </c>
      <c r="C54" s="274" t="s">
        <v>202</v>
      </c>
      <c r="D54" s="405"/>
    </row>
    <row r="55" spans="1:4" ht="16" customHeight="1" thickBot="1">
      <c r="A55" s="512"/>
      <c r="B55" s="295" t="s">
        <v>191</v>
      </c>
      <c r="C55" s="277"/>
      <c r="D55" s="406"/>
    </row>
    <row r="56" spans="1:4" ht="16" customHeight="1">
      <c r="A56" s="334"/>
      <c r="B56" s="331"/>
      <c r="C56" s="435"/>
      <c r="D56" s="405"/>
    </row>
    <row r="57" spans="1:4" ht="15" customHeight="1" thickBot="1">
      <c r="A57" s="402"/>
      <c r="B57" s="402"/>
      <c r="C57" s="402"/>
      <c r="D57" s="402"/>
    </row>
    <row r="58" spans="1:4" ht="21.75" customHeight="1" thickBot="1">
      <c r="A58" s="153" t="s">
        <v>60</v>
      </c>
      <c r="B58" s="145" t="s">
        <v>130</v>
      </c>
      <c r="C58" s="134" t="s">
        <v>120</v>
      </c>
      <c r="D58" s="154" t="s">
        <v>136</v>
      </c>
    </row>
    <row r="59" spans="1:4" ht="16.25" customHeight="1">
      <c r="A59" s="495" t="s">
        <v>267</v>
      </c>
      <c r="B59" s="270"/>
      <c r="C59" s="254" t="s">
        <v>218</v>
      </c>
      <c r="D59" s="436"/>
    </row>
    <row r="60" spans="1:4" ht="15" customHeight="1">
      <c r="A60" s="496"/>
      <c r="B60" s="271" t="s">
        <v>207</v>
      </c>
      <c r="C60" s="273" t="s">
        <v>150</v>
      </c>
      <c r="D60" s="437" t="s">
        <v>137</v>
      </c>
    </row>
    <row r="61" spans="1:4" ht="15" customHeight="1">
      <c r="A61" s="496"/>
      <c r="B61" s="126" t="s">
        <v>150</v>
      </c>
      <c r="C61" s="273" t="s">
        <v>161</v>
      </c>
      <c r="D61" s="438" t="s">
        <v>91</v>
      </c>
    </row>
    <row r="62" spans="1:4" ht="15" customHeight="1">
      <c r="A62" s="496"/>
      <c r="B62" s="275" t="s">
        <v>208</v>
      </c>
      <c r="C62" s="274" t="s">
        <v>214</v>
      </c>
      <c r="D62" s="438"/>
    </row>
    <row r="63" spans="1:4" ht="15" customHeight="1" thickBot="1">
      <c r="A63" s="497"/>
      <c r="B63" s="311" t="s">
        <v>191</v>
      </c>
      <c r="C63" s="277"/>
      <c r="D63" s="387"/>
    </row>
    <row r="64" spans="1:4" ht="15" customHeight="1">
      <c r="A64" s="402"/>
      <c r="B64" s="402"/>
      <c r="C64" s="402"/>
      <c r="D64" s="402"/>
    </row>
    <row r="65" spans="1:4" ht="15" customHeight="1" thickBot="1">
      <c r="A65" s="402"/>
      <c r="B65" s="402"/>
      <c r="C65" s="402"/>
      <c r="D65" s="402"/>
    </row>
    <row r="66" spans="1:4" ht="21.75" customHeight="1" thickBot="1">
      <c r="A66" s="153" t="s">
        <v>60</v>
      </c>
      <c r="B66" s="145" t="s">
        <v>130</v>
      </c>
      <c r="C66" s="134" t="s">
        <v>120</v>
      </c>
      <c r="D66" s="154" t="s">
        <v>136</v>
      </c>
    </row>
    <row r="67" spans="1:4" ht="16.25" customHeight="1">
      <c r="A67" s="495" t="s">
        <v>268</v>
      </c>
      <c r="B67" s="270"/>
      <c r="C67" s="254" t="s">
        <v>218</v>
      </c>
      <c r="D67" s="436"/>
    </row>
    <row r="68" spans="1:4" ht="15" customHeight="1">
      <c r="A68" s="496"/>
      <c r="B68" s="271" t="s">
        <v>211</v>
      </c>
      <c r="C68" s="273" t="s">
        <v>150</v>
      </c>
      <c r="D68" s="437" t="s">
        <v>137</v>
      </c>
    </row>
    <row r="69" spans="1:4" ht="15" customHeight="1">
      <c r="A69" s="496"/>
      <c r="B69" s="126" t="s">
        <v>150</v>
      </c>
      <c r="C69" s="273" t="s">
        <v>161</v>
      </c>
      <c r="D69" s="438" t="s">
        <v>91</v>
      </c>
    </row>
    <row r="70" spans="1:4" ht="15" customHeight="1">
      <c r="A70" s="496"/>
      <c r="B70" s="275" t="s">
        <v>212</v>
      </c>
      <c r="C70" s="274" t="s">
        <v>213</v>
      </c>
      <c r="D70" s="438"/>
    </row>
    <row r="71" spans="1:4" ht="15" customHeight="1" thickBot="1">
      <c r="A71" s="497"/>
      <c r="B71" s="311" t="s">
        <v>191</v>
      </c>
      <c r="C71" s="277"/>
      <c r="D71" s="387"/>
    </row>
    <row r="72" spans="1:4" ht="14.4" customHeight="1" thickBot="1">
      <c r="A72" s="402"/>
      <c r="B72" s="402"/>
      <c r="C72" s="402"/>
      <c r="D72" s="402"/>
    </row>
    <row r="73" spans="1:4" ht="21.75" customHeight="1" thickBot="1">
      <c r="A73" s="153" t="s">
        <v>60</v>
      </c>
      <c r="B73" s="145" t="s">
        <v>130</v>
      </c>
      <c r="C73" s="134" t="s">
        <v>120</v>
      </c>
      <c r="D73" s="154" t="s">
        <v>136</v>
      </c>
    </row>
    <row r="74" spans="1:4" ht="16.25" customHeight="1">
      <c r="A74" s="495" t="s">
        <v>253</v>
      </c>
      <c r="B74" s="270"/>
      <c r="C74" s="254" t="s">
        <v>218</v>
      </c>
      <c r="D74" s="436"/>
    </row>
    <row r="75" spans="1:4" ht="15" customHeight="1">
      <c r="A75" s="496"/>
      <c r="B75" s="271" t="s">
        <v>254</v>
      </c>
      <c r="C75" s="479" t="s">
        <v>248</v>
      </c>
      <c r="D75" s="437" t="s">
        <v>137</v>
      </c>
    </row>
    <row r="76" spans="1:4" ht="15" customHeight="1">
      <c r="A76" s="496"/>
      <c r="B76" s="126"/>
      <c r="C76" s="273"/>
      <c r="D76" s="438" t="s">
        <v>91</v>
      </c>
    </row>
    <row r="77" spans="1:4" ht="15" customHeight="1">
      <c r="A77" s="496"/>
      <c r="B77" s="275"/>
      <c r="C77" s="274"/>
      <c r="D77" s="438"/>
    </row>
    <row r="78" spans="1:4" ht="15" customHeight="1" thickBot="1">
      <c r="A78" s="497"/>
      <c r="B78" s="311"/>
      <c r="C78" s="277"/>
      <c r="D78" s="387"/>
    </row>
    <row r="79" spans="1:4" ht="14.4" customHeight="1">
      <c r="A79" s="402"/>
      <c r="B79" s="402"/>
      <c r="C79" s="402"/>
      <c r="D79" s="402"/>
    </row>
    <row r="80" spans="1:4" ht="16" customHeight="1" thickBot="1">
      <c r="A80" s="402"/>
      <c r="B80" s="402"/>
      <c r="C80" s="402"/>
      <c r="D80" s="402"/>
    </row>
    <row r="81" spans="1:4" ht="15" customHeight="1" thickBot="1">
      <c r="A81" s="153" t="s">
        <v>60</v>
      </c>
      <c r="B81" s="145" t="s">
        <v>130</v>
      </c>
      <c r="C81" s="134" t="s">
        <v>120</v>
      </c>
      <c r="D81" s="154" t="s">
        <v>136</v>
      </c>
    </row>
    <row r="82" spans="1:4" ht="15" customHeight="1">
      <c r="A82" s="495" t="s">
        <v>255</v>
      </c>
      <c r="B82" s="398"/>
      <c r="C82" s="254" t="s">
        <v>252</v>
      </c>
      <c r="D82" s="436"/>
    </row>
    <row r="83" spans="1:4" ht="15" customHeight="1">
      <c r="A83" s="496"/>
      <c r="B83" s="476">
        <v>1000</v>
      </c>
      <c r="C83" s="466" t="s">
        <v>224</v>
      </c>
      <c r="D83" s="437" t="s">
        <v>137</v>
      </c>
    </row>
    <row r="84" spans="1:4" ht="15" customHeight="1">
      <c r="A84" s="496"/>
      <c r="B84" s="476" t="s">
        <v>249</v>
      </c>
      <c r="C84" s="466" t="s">
        <v>225</v>
      </c>
      <c r="D84" s="287" t="s">
        <v>91</v>
      </c>
    </row>
    <row r="85" spans="1:4" ht="15" customHeight="1">
      <c r="A85" s="496"/>
      <c r="B85" s="476" t="s">
        <v>251</v>
      </c>
      <c r="C85" s="466" t="s">
        <v>226</v>
      </c>
      <c r="D85" s="437"/>
    </row>
    <row r="86" spans="1:4" ht="21.65" customHeight="1">
      <c r="A86" s="496"/>
      <c r="B86" s="271">
        <v>6250</v>
      </c>
      <c r="C86" s="273" t="s">
        <v>228</v>
      </c>
      <c r="D86" s="437"/>
    </row>
    <row r="87" spans="1:4" ht="15" customHeight="1" thickBot="1">
      <c r="A87" s="497"/>
      <c r="B87" s="350" t="s">
        <v>250</v>
      </c>
      <c r="C87" s="477" t="s">
        <v>229</v>
      </c>
      <c r="D87" s="478"/>
    </row>
    <row r="88" spans="1:4" ht="15" customHeight="1">
      <c r="A88" s="402"/>
      <c r="B88" s="402"/>
      <c r="C88" s="402"/>
      <c r="D88" s="402"/>
    </row>
    <row r="89" spans="1:4" ht="21.65" customHeight="1">
      <c r="A89" s="402"/>
      <c r="B89" s="402"/>
      <c r="C89" s="402"/>
      <c r="D89" s="402"/>
    </row>
    <row r="90" spans="1:4" ht="15" customHeight="1">
      <c r="A90" s="402"/>
      <c r="B90" s="402"/>
      <c r="C90" s="402"/>
      <c r="D90" s="402"/>
    </row>
    <row r="91" spans="1:4" ht="16.25" customHeight="1">
      <c r="A91" s="402"/>
      <c r="B91" s="402"/>
      <c r="C91" s="402"/>
      <c r="D91" s="402"/>
    </row>
    <row r="92" spans="1:4" ht="15" customHeight="1">
      <c r="A92" s="402"/>
      <c r="B92" s="402"/>
      <c r="C92" s="402"/>
      <c r="D92" s="402"/>
    </row>
    <row r="93" spans="1:4" ht="15" customHeight="1">
      <c r="A93" s="402"/>
      <c r="B93" s="402"/>
      <c r="C93" s="402"/>
      <c r="D93" s="402"/>
    </row>
    <row r="94" spans="1:4" ht="15" customHeight="1">
      <c r="A94" s="402"/>
      <c r="B94" s="402"/>
      <c r="C94" s="402"/>
      <c r="D94" s="402"/>
    </row>
    <row r="95" spans="1:4" ht="15" customHeight="1">
      <c r="A95" s="402"/>
      <c r="B95" s="402"/>
      <c r="C95" s="402"/>
      <c r="D95" s="402"/>
    </row>
    <row r="96" spans="1:4" ht="21.65" customHeight="1">
      <c r="A96" s="402"/>
      <c r="B96" s="402"/>
      <c r="C96" s="402"/>
      <c r="D96" s="402"/>
    </row>
    <row r="97" spans="1:4" ht="15" customHeight="1">
      <c r="A97" s="402"/>
      <c r="B97" s="402"/>
      <c r="C97" s="402"/>
      <c r="D97" s="402"/>
    </row>
    <row r="98" spans="1:4" ht="16.25" customHeight="1">
      <c r="A98" s="402"/>
      <c r="B98" s="402"/>
      <c r="C98" s="402"/>
      <c r="D98" s="402"/>
    </row>
    <row r="99" spans="1:4" ht="15" customHeight="1">
      <c r="A99" s="402"/>
      <c r="B99" s="402"/>
      <c r="C99" s="402"/>
      <c r="D99" s="402"/>
    </row>
    <row r="100" spans="1:4" ht="15" customHeight="1">
      <c r="A100" s="402"/>
      <c r="B100" s="402"/>
      <c r="C100" s="402"/>
      <c r="D100" s="402"/>
    </row>
    <row r="101" spans="1:4" ht="15" customHeight="1">
      <c r="A101" s="402"/>
      <c r="B101" s="402"/>
      <c r="C101" s="402"/>
      <c r="D101" s="402"/>
    </row>
    <row r="102" spans="1:4" ht="15" customHeight="1">
      <c r="A102" s="402"/>
      <c r="B102" s="402"/>
      <c r="C102" s="402"/>
      <c r="D102" s="402"/>
    </row>
    <row r="103" spans="1:4" ht="21.65" customHeight="1">
      <c r="A103" s="402"/>
      <c r="B103" s="402"/>
      <c r="C103" s="402"/>
      <c r="D103" s="402"/>
    </row>
    <row r="104" spans="1:4" ht="21.65" customHeight="1">
      <c r="A104" s="402"/>
      <c r="B104" s="402"/>
      <c r="C104" s="402"/>
      <c r="D104" s="402"/>
    </row>
    <row r="105" spans="1:4" ht="15" customHeight="1">
      <c r="A105" s="402"/>
      <c r="B105" s="402"/>
      <c r="C105" s="402"/>
      <c r="D105" s="402"/>
    </row>
    <row r="106" spans="1:4" ht="16.25" customHeight="1">
      <c r="A106" s="402"/>
      <c r="B106" s="402"/>
      <c r="C106" s="402"/>
      <c r="D106" s="402"/>
    </row>
    <row r="107" spans="1:4" ht="15" customHeight="1">
      <c r="A107" s="402"/>
      <c r="B107" s="402"/>
      <c r="C107" s="402"/>
      <c r="D107" s="402"/>
    </row>
    <row r="108" spans="1:4" ht="15" customHeight="1">
      <c r="A108" s="402"/>
      <c r="B108" s="402"/>
      <c r="C108" s="402"/>
      <c r="D108" s="402"/>
    </row>
    <row r="109" spans="1:4" ht="15" customHeight="1">
      <c r="A109" s="402"/>
      <c r="B109" s="402"/>
      <c r="C109" s="402"/>
      <c r="D109" s="402"/>
    </row>
    <row r="110" spans="1:4" ht="23" customHeight="1">
      <c r="A110" s="402"/>
      <c r="B110" s="402"/>
      <c r="C110" s="402"/>
      <c r="D110" s="402"/>
    </row>
    <row r="111" spans="1:4" ht="21.65" customHeight="1">
      <c r="A111" s="402"/>
      <c r="B111" s="402"/>
      <c r="C111" s="402"/>
      <c r="D111" s="402"/>
    </row>
    <row r="112" spans="1:4" ht="15" customHeight="1">
      <c r="A112" s="402"/>
      <c r="B112" s="402"/>
      <c r="C112" s="402"/>
      <c r="D112" s="402"/>
    </row>
    <row r="113" spans="1:4" ht="16.25" customHeight="1">
      <c r="A113" s="402"/>
      <c r="B113" s="402"/>
      <c r="C113" s="402"/>
      <c r="D113" s="402"/>
    </row>
    <row r="114" spans="1:4" ht="15" customHeight="1">
      <c r="A114" s="402"/>
      <c r="B114" s="402"/>
      <c r="C114" s="402"/>
      <c r="D114" s="402"/>
    </row>
    <row r="115" spans="1:4" ht="15" customHeight="1">
      <c r="A115" s="402"/>
      <c r="B115" s="402"/>
      <c r="C115" s="402"/>
      <c r="D115" s="402"/>
    </row>
    <row r="116" spans="1:4" ht="15" customHeight="1">
      <c r="A116" s="402"/>
      <c r="B116" s="402"/>
      <c r="C116" s="402"/>
      <c r="D116" s="402"/>
    </row>
    <row r="117" spans="1:4" ht="15" customHeight="1">
      <c r="A117" s="402"/>
      <c r="B117" s="402"/>
      <c r="C117" s="402"/>
      <c r="D117" s="402"/>
    </row>
    <row r="118" spans="1:4" ht="21.65" customHeight="1">
      <c r="A118" s="402"/>
      <c r="B118" s="402"/>
      <c r="C118" s="402"/>
      <c r="D118" s="402"/>
    </row>
    <row r="119" spans="1:4" ht="15" customHeight="1">
      <c r="A119" s="402"/>
      <c r="B119" s="402"/>
      <c r="C119" s="402"/>
      <c r="D119" s="402"/>
    </row>
    <row r="120" spans="1:4" ht="16.25" customHeight="1">
      <c r="A120" s="402"/>
      <c r="B120" s="402"/>
      <c r="C120" s="402"/>
      <c r="D120" s="402"/>
    </row>
    <row r="121" spans="1:4" ht="15" customHeight="1">
      <c r="A121" s="402"/>
      <c r="B121" s="402"/>
      <c r="C121" s="402"/>
      <c r="D121" s="402"/>
    </row>
    <row r="122" spans="1:4" ht="15" customHeight="1">
      <c r="A122" s="402"/>
      <c r="B122" s="402"/>
      <c r="C122" s="402"/>
      <c r="D122" s="402"/>
    </row>
    <row r="123" spans="1:4" ht="15" customHeight="1">
      <c r="A123" s="402"/>
      <c r="B123" s="402"/>
      <c r="C123" s="402"/>
      <c r="D123" s="402"/>
    </row>
    <row r="124" spans="1:4" ht="15" customHeight="1">
      <c r="A124" s="402"/>
      <c r="B124" s="402"/>
      <c r="C124" s="402"/>
      <c r="D124" s="402"/>
    </row>
    <row r="125" spans="1:4" ht="21.65" customHeight="1">
      <c r="A125" s="402"/>
      <c r="B125" s="402"/>
      <c r="C125" s="402"/>
      <c r="D125" s="402"/>
    </row>
    <row r="126" spans="1:4" ht="15" customHeight="1">
      <c r="A126" s="402"/>
      <c r="B126" s="402"/>
      <c r="C126" s="402"/>
      <c r="D126" s="402"/>
    </row>
    <row r="127" spans="1:4" ht="16.25" customHeight="1">
      <c r="A127" s="402"/>
      <c r="B127" s="402"/>
      <c r="C127" s="402"/>
      <c r="D127" s="402"/>
    </row>
    <row r="128" spans="1:4" ht="21.65" customHeight="1">
      <c r="A128" s="402"/>
      <c r="B128" s="402"/>
      <c r="C128" s="402"/>
      <c r="D128" s="402"/>
    </row>
    <row r="129" spans="1:4" ht="15" customHeight="1">
      <c r="A129" s="402"/>
      <c r="B129" s="402"/>
      <c r="C129" s="402"/>
      <c r="D129" s="402"/>
    </row>
    <row r="130" spans="1:4" ht="15" customHeight="1">
      <c r="A130" s="402"/>
      <c r="B130" s="402"/>
      <c r="C130" s="402"/>
      <c r="D130" s="402"/>
    </row>
    <row r="131" spans="1:4" ht="15" customHeight="1">
      <c r="A131" s="402"/>
      <c r="B131" s="402"/>
      <c r="C131" s="402"/>
      <c r="D131" s="402"/>
    </row>
    <row r="132" spans="1:4" ht="15" customHeight="1">
      <c r="A132" s="402"/>
      <c r="B132" s="402"/>
      <c r="C132" s="402"/>
      <c r="D132" s="402"/>
    </row>
    <row r="133" spans="1:4" ht="21.65" customHeight="1">
      <c r="A133" s="402"/>
      <c r="B133" s="402"/>
      <c r="C133" s="402"/>
      <c r="D133" s="402"/>
    </row>
    <row r="134" spans="1:4" ht="15" customHeight="1">
      <c r="A134" s="402"/>
      <c r="B134" s="402"/>
      <c r="C134" s="402"/>
      <c r="D134" s="402"/>
    </row>
    <row r="135" spans="1:4" ht="16.25" customHeight="1">
      <c r="A135" s="402"/>
      <c r="B135" s="402"/>
      <c r="C135" s="402"/>
      <c r="D135" s="402"/>
    </row>
    <row r="136" spans="1:4" ht="15" customHeight="1">
      <c r="A136" s="402"/>
      <c r="B136" s="402"/>
      <c r="C136" s="402"/>
      <c r="D136" s="402"/>
    </row>
    <row r="137" spans="1:4" ht="15" customHeight="1">
      <c r="A137" s="402"/>
      <c r="B137" s="402"/>
      <c r="C137" s="402"/>
      <c r="D137" s="402"/>
    </row>
    <row r="138" spans="1:4" ht="15" customHeight="1">
      <c r="A138" s="402"/>
      <c r="B138" s="402"/>
      <c r="C138" s="402"/>
      <c r="D138" s="402"/>
    </row>
    <row r="139" spans="1:4" ht="15" customHeight="1">
      <c r="A139" s="402"/>
      <c r="B139" s="402"/>
      <c r="C139" s="402"/>
      <c r="D139" s="402"/>
    </row>
    <row r="140" spans="1:4" ht="21.65" customHeight="1">
      <c r="A140" s="402"/>
      <c r="B140" s="402"/>
      <c r="C140" s="402"/>
      <c r="D140" s="402"/>
    </row>
    <row r="141" spans="1:4" ht="15" customHeight="1">
      <c r="A141" s="402"/>
      <c r="B141" s="402"/>
      <c r="C141" s="402"/>
      <c r="D141" s="402"/>
    </row>
    <row r="142" spans="1:4" ht="16.25" customHeight="1">
      <c r="A142" s="402"/>
      <c r="B142" s="402"/>
      <c r="C142" s="402"/>
      <c r="D142" s="402"/>
    </row>
    <row r="143" spans="1:4" ht="15" customHeight="1">
      <c r="A143" s="402"/>
      <c r="B143" s="402"/>
      <c r="C143" s="402"/>
      <c r="D143" s="402"/>
    </row>
    <row r="144" spans="1:4" ht="15" customHeight="1">
      <c r="A144" s="402"/>
      <c r="B144" s="402"/>
      <c r="C144" s="402"/>
      <c r="D144" s="402"/>
    </row>
    <row r="145" spans="1:4" ht="15" customHeight="1">
      <c r="A145" s="402"/>
      <c r="B145" s="402"/>
      <c r="C145" s="402"/>
      <c r="D145" s="402"/>
    </row>
    <row r="146" spans="1:4" ht="15" customHeight="1">
      <c r="A146" s="402"/>
      <c r="B146" s="402"/>
      <c r="C146" s="402"/>
      <c r="D146" s="402"/>
    </row>
    <row r="147" spans="1:4" ht="21.65" customHeight="1">
      <c r="A147" s="402"/>
      <c r="B147" s="402"/>
      <c r="C147" s="402"/>
      <c r="D147" s="402"/>
    </row>
    <row r="148" spans="1:4" ht="15" customHeight="1">
      <c r="A148" s="402"/>
      <c r="B148" s="402"/>
      <c r="C148" s="402"/>
      <c r="D148" s="402"/>
    </row>
    <row r="149" spans="1:4" ht="16.25" customHeight="1">
      <c r="A149" s="402"/>
      <c r="B149" s="402"/>
      <c r="C149" s="402"/>
      <c r="D149" s="402"/>
    </row>
    <row r="150" spans="1:4" ht="15" customHeight="1">
      <c r="A150" s="402"/>
      <c r="B150" s="402"/>
      <c r="C150" s="402"/>
      <c r="D150" s="402"/>
    </row>
    <row r="151" spans="1:4" ht="15" customHeight="1">
      <c r="A151" s="402"/>
      <c r="B151" s="402"/>
      <c r="C151" s="402"/>
      <c r="D151" s="402"/>
    </row>
    <row r="152" spans="1:4" ht="15" customHeight="1">
      <c r="A152" s="402"/>
      <c r="B152" s="402"/>
      <c r="C152" s="402"/>
      <c r="D152" s="402"/>
    </row>
    <row r="153" spans="1:4" ht="15" customHeight="1">
      <c r="A153" s="402"/>
      <c r="B153" s="402"/>
      <c r="C153" s="402"/>
      <c r="D153" s="402"/>
    </row>
    <row r="154" spans="1:4" ht="21.65" customHeight="1">
      <c r="A154" s="402"/>
      <c r="B154" s="402"/>
      <c r="C154" s="402"/>
      <c r="D154" s="402"/>
    </row>
    <row r="155" spans="1:4" ht="15" customHeight="1">
      <c r="A155" s="402"/>
      <c r="B155" s="402"/>
      <c r="C155" s="402"/>
      <c r="D155" s="402"/>
    </row>
    <row r="156" spans="1:4" ht="16.25" customHeight="1">
      <c r="A156" s="402"/>
      <c r="B156" s="402"/>
      <c r="C156" s="402"/>
      <c r="D156" s="402"/>
    </row>
    <row r="157" spans="1:4" ht="15" customHeight="1">
      <c r="A157" s="402"/>
      <c r="B157" s="402"/>
      <c r="C157" s="402"/>
      <c r="D157" s="402"/>
    </row>
    <row r="158" spans="1:4" ht="15" customHeight="1">
      <c r="A158" s="402"/>
      <c r="B158" s="402"/>
      <c r="C158" s="402"/>
      <c r="D158" s="402"/>
    </row>
    <row r="159" spans="1:4" ht="15" customHeight="1">
      <c r="A159" s="402"/>
      <c r="B159" s="402"/>
      <c r="C159" s="402"/>
      <c r="D159" s="402"/>
    </row>
    <row r="160" spans="1:4" ht="15" customHeight="1">
      <c r="A160" s="402"/>
      <c r="B160" s="402"/>
      <c r="C160" s="402"/>
      <c r="D160" s="402"/>
    </row>
    <row r="161" spans="1:4" ht="16.25" customHeight="1">
      <c r="A161" s="402"/>
      <c r="B161" s="402"/>
      <c r="C161" s="402"/>
      <c r="D161" s="402"/>
    </row>
    <row r="162" spans="1:4" ht="16.25" customHeight="1">
      <c r="A162" s="402"/>
      <c r="B162" s="402"/>
      <c r="C162" s="402"/>
      <c r="D162" s="402"/>
    </row>
    <row r="163" spans="1:4" ht="15" customHeight="1">
      <c r="A163" s="402"/>
      <c r="B163" s="402"/>
      <c r="C163" s="402"/>
      <c r="D163" s="402"/>
    </row>
    <row r="164" spans="1:4" ht="15" customHeight="1">
      <c r="A164" s="402"/>
      <c r="B164" s="402"/>
      <c r="C164" s="402"/>
      <c r="D164" s="402"/>
    </row>
    <row r="165" spans="1:4" ht="24" customHeight="1">
      <c r="A165" s="402"/>
      <c r="B165" s="402"/>
      <c r="C165" s="402"/>
      <c r="D165" s="402"/>
    </row>
    <row r="166" spans="1:4" ht="21.65" customHeight="1">
      <c r="A166" s="402"/>
      <c r="B166" s="402"/>
      <c r="C166" s="402"/>
      <c r="D166" s="402"/>
    </row>
    <row r="167" spans="1:4" ht="16.25" customHeight="1">
      <c r="A167" s="402"/>
      <c r="B167" s="402"/>
      <c r="C167" s="402"/>
      <c r="D167" s="402"/>
    </row>
    <row r="168" spans="1:4" ht="15" customHeight="1">
      <c r="A168" s="402"/>
      <c r="B168" s="402"/>
      <c r="C168" s="402"/>
      <c r="D168" s="402"/>
    </row>
    <row r="169" spans="1:4" ht="15.65" customHeight="1">
      <c r="A169" s="402"/>
      <c r="B169" s="402"/>
      <c r="C169" s="402"/>
      <c r="D169" s="402"/>
    </row>
    <row r="170" spans="1:4" ht="21.75" customHeight="1">
      <c r="A170" s="402"/>
      <c r="B170" s="402"/>
      <c r="C170" s="402"/>
      <c r="D170" s="402"/>
    </row>
    <row r="171" spans="1:4" ht="15" customHeight="1">
      <c r="A171" s="402"/>
      <c r="B171" s="402"/>
      <c r="C171" s="402"/>
      <c r="D171" s="402"/>
    </row>
    <row r="172" spans="1:4" ht="17.399999999999999" customHeight="1">
      <c r="A172" s="402"/>
      <c r="B172" s="402"/>
      <c r="C172" s="402"/>
      <c r="D172" s="402"/>
    </row>
    <row r="173" spans="1:4" ht="17" customHeight="1">
      <c r="A173" s="402"/>
      <c r="B173" s="402"/>
      <c r="C173" s="402"/>
      <c r="D173" s="402"/>
    </row>
    <row r="174" spans="1:4" ht="21.65" customHeight="1">
      <c r="A174" s="402"/>
      <c r="B174" s="402"/>
      <c r="C174" s="402"/>
      <c r="D174" s="402"/>
    </row>
    <row r="175" spans="1:4" ht="15" customHeight="1">
      <c r="A175" s="402"/>
      <c r="B175" s="402"/>
      <c r="C175" s="402"/>
      <c r="D175" s="402"/>
    </row>
    <row r="176" spans="1:4" ht="15" customHeight="1">
      <c r="A176" s="402"/>
      <c r="B176" s="402"/>
      <c r="C176" s="402"/>
      <c r="D176" s="402"/>
    </row>
    <row r="177" spans="1:4" ht="15" customHeight="1">
      <c r="A177" s="402"/>
      <c r="B177" s="402"/>
      <c r="C177" s="402"/>
      <c r="D177" s="402"/>
    </row>
    <row r="178" spans="1:4" ht="15" customHeight="1">
      <c r="A178" s="402"/>
      <c r="B178" s="402"/>
      <c r="C178" s="402"/>
      <c r="D178" s="402"/>
    </row>
    <row r="179" spans="1:4" ht="15" customHeight="1">
      <c r="A179" s="402"/>
      <c r="B179" s="402"/>
      <c r="C179" s="402"/>
      <c r="D179" s="402"/>
    </row>
    <row r="180" spans="1:4" ht="15" customHeight="1">
      <c r="A180" s="402"/>
      <c r="B180" s="402"/>
      <c r="C180" s="402"/>
      <c r="D180" s="402"/>
    </row>
    <row r="181" spans="1:4" ht="15.65" customHeight="1">
      <c r="A181" s="402"/>
      <c r="B181" s="402"/>
      <c r="C181" s="402"/>
      <c r="D181" s="402"/>
    </row>
    <row r="182" spans="1:4" ht="15" customHeight="1">
      <c r="A182" s="402"/>
      <c r="B182" s="402"/>
      <c r="C182" s="402"/>
      <c r="D182" s="402"/>
    </row>
    <row r="183" spans="1:4" ht="15" customHeight="1">
      <c r="A183" s="402"/>
      <c r="B183" s="402"/>
      <c r="C183" s="402"/>
      <c r="D183" s="402"/>
    </row>
    <row r="184" spans="1:4" ht="15" customHeight="1">
      <c r="A184" s="402"/>
      <c r="B184" s="402"/>
      <c r="C184" s="402"/>
      <c r="D184" s="402"/>
    </row>
    <row r="185" spans="1:4" ht="15" customHeight="1">
      <c r="A185" s="402"/>
      <c r="B185" s="402"/>
      <c r="C185" s="402"/>
      <c r="D185" s="402"/>
    </row>
    <row r="186" spans="1:4" ht="15" customHeight="1">
      <c r="A186" s="402"/>
      <c r="B186" s="402"/>
      <c r="C186" s="402"/>
      <c r="D186" s="402"/>
    </row>
    <row r="187" spans="1:4" ht="15" customHeight="1">
      <c r="A187" s="402"/>
      <c r="B187" s="402"/>
      <c r="C187" s="402"/>
      <c r="D187" s="402"/>
    </row>
    <row r="188" spans="1:4" s="189" customFormat="1" ht="15" customHeight="1">
      <c r="A188" s="402"/>
      <c r="B188" s="402"/>
      <c r="C188" s="402"/>
      <c r="D188" s="402"/>
    </row>
    <row r="189" spans="1:4" s="189" customFormat="1" ht="15" customHeight="1">
      <c r="A189" s="402"/>
      <c r="B189" s="402"/>
      <c r="C189" s="402"/>
      <c r="D189" s="402"/>
    </row>
    <row r="190" spans="1:4" ht="15" customHeight="1">
      <c r="A190" s="402"/>
      <c r="B190" s="402"/>
      <c r="C190" s="402"/>
      <c r="D190" s="402"/>
    </row>
    <row r="191" spans="1:4" ht="14" customHeight="1">
      <c r="A191" s="402"/>
      <c r="B191" s="402"/>
      <c r="C191" s="402"/>
      <c r="D191" s="402"/>
    </row>
    <row r="192" spans="1:4" ht="15" customHeight="1">
      <c r="A192" s="402"/>
      <c r="B192" s="402"/>
      <c r="C192" s="402"/>
      <c r="D192" s="402"/>
    </row>
    <row r="193" spans="1:4" ht="15" customHeight="1">
      <c r="A193" s="402"/>
      <c r="B193" s="402"/>
      <c r="C193" s="402"/>
      <c r="D193" s="402"/>
    </row>
    <row r="194" spans="1:4" ht="15" customHeight="1">
      <c r="A194" s="402"/>
      <c r="B194" s="402"/>
      <c r="C194" s="402"/>
      <c r="D194" s="402"/>
    </row>
    <row r="195" spans="1:4" ht="15" customHeight="1">
      <c r="A195" s="402"/>
      <c r="B195" s="402"/>
      <c r="C195" s="402"/>
      <c r="D195" s="402"/>
    </row>
    <row r="196" spans="1:4" ht="15" customHeight="1">
      <c r="A196" s="402"/>
      <c r="B196" s="402"/>
      <c r="C196" s="402"/>
      <c r="D196" s="402"/>
    </row>
    <row r="197" spans="1:4" ht="15" customHeight="1">
      <c r="A197" s="402"/>
      <c r="B197" s="402"/>
      <c r="C197" s="402"/>
      <c r="D197" s="402"/>
    </row>
    <row r="198" spans="1:4" ht="12.65" customHeight="1">
      <c r="A198" s="402"/>
      <c r="B198" s="402"/>
      <c r="C198" s="402"/>
      <c r="D198" s="402"/>
    </row>
    <row r="199" spans="1:4" ht="15.65" customHeight="1">
      <c r="A199" s="402"/>
      <c r="B199" s="402"/>
      <c r="C199" s="402"/>
      <c r="D199" s="402"/>
    </row>
    <row r="200" spans="1:4" ht="41" customHeight="1">
      <c r="A200" s="402"/>
      <c r="B200" s="402"/>
      <c r="C200" s="402"/>
      <c r="D200" s="402"/>
    </row>
    <row r="201" spans="1:4" ht="21.75" customHeight="1">
      <c r="A201" s="402"/>
      <c r="B201" s="402"/>
      <c r="C201" s="402"/>
      <c r="D201" s="402"/>
    </row>
    <row r="202" spans="1:4" ht="15" customHeight="1" thickBot="1">
      <c r="A202" s="403"/>
      <c r="B202" s="403"/>
      <c r="C202" s="403"/>
      <c r="D202" s="403"/>
    </row>
    <row r="203" spans="1:4" ht="10.25" customHeight="1">
      <c r="A203" s="132"/>
      <c r="B203" s="132"/>
      <c r="C203" s="363"/>
      <c r="D203" s="132"/>
    </row>
    <row r="204" spans="1:4">
      <c r="A204" s="132"/>
      <c r="B204" s="132"/>
      <c r="C204" s="132"/>
      <c r="D204" s="132"/>
    </row>
    <row r="205" spans="1:4">
      <c r="A205" s="132"/>
      <c r="B205" s="132"/>
      <c r="C205" s="132"/>
      <c r="D205" s="132"/>
    </row>
    <row r="206" spans="1:4">
      <c r="A206" s="132"/>
      <c r="B206" s="132"/>
      <c r="C206" s="132"/>
      <c r="D206" s="132"/>
    </row>
    <row r="207" spans="1:4">
      <c r="A207" s="132"/>
      <c r="B207" s="132"/>
      <c r="C207" s="132"/>
      <c r="D207" s="132"/>
    </row>
  </sheetData>
  <mergeCells count="11">
    <mergeCell ref="A59:A63"/>
    <mergeCell ref="A67:A71"/>
    <mergeCell ref="A82:A87"/>
    <mergeCell ref="A2:B2"/>
    <mergeCell ref="A5:A9"/>
    <mergeCell ref="A45:A55"/>
    <mergeCell ref="A13:A17"/>
    <mergeCell ref="A21:A25"/>
    <mergeCell ref="A29:A33"/>
    <mergeCell ref="A37:A41"/>
    <mergeCell ref="A74:A78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3" manualBreakCount="3">
    <brk id="79" max="3" man="1"/>
    <brk id="110" max="3" man="1"/>
    <brk id="165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shipper master</vt:lpstr>
      <vt:lpstr>case mark </vt:lpstr>
      <vt:lpstr>invoice</vt:lpstr>
      <vt:lpstr>NARITA </vt:lpstr>
      <vt:lpstr>NARITA (2)</vt:lpstr>
      <vt:lpstr>サンプル製品カタログ</vt:lpstr>
      <vt:lpstr>LABEL</vt:lpstr>
      <vt:lpstr>LABEL!Print_Area</vt:lpstr>
      <vt:lpstr>'NARITA '!Print_Area</vt:lpstr>
      <vt:lpstr>'NARITA (2)'!Print_Area</vt:lpstr>
      <vt:lpstr>サンプル製品カタログ!Print_Area</vt:lpstr>
      <vt:lpstr>LABEL!Print_Titles</vt:lpstr>
      <vt:lpstr>'NARITA '!Print_Titles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2023-11-28T07:54:00Z</cp:lastPrinted>
  <dcterms:created xsi:type="dcterms:W3CDTF">2002-07-31T13:14:08Z</dcterms:created>
  <dcterms:modified xsi:type="dcterms:W3CDTF">2024-01-11T03:42:12Z</dcterms:modified>
</cp:coreProperties>
</file>