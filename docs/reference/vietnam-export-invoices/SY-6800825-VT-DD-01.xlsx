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SHUNYA-SHARING\disk\縫製仕様書\太田\輸出\"/>
    </mc:Choice>
  </mc:AlternateContent>
  <xr:revisionPtr revIDLastSave="0" documentId="13_ncr:1_{D2A7EE0B-E04A-4916-AD6F-446B8C431681}" xr6:coauthVersionLast="47" xr6:coauthVersionMax="47" xr10:uidLastSave="{00000000-0000-0000-0000-000000000000}"/>
  <bookViews>
    <workbookView xWindow="-110" yWindow="-110" windowWidth="25820" windowHeight="14620" activeTab="2" xr2:uid="{00000000-000D-0000-FFFF-FFFF00000000}"/>
  </bookViews>
  <sheets>
    <sheet name="shipper master" sheetId="17" r:id="rId1"/>
    <sheet name="case mark " sheetId="64" r:id="rId2"/>
    <sheet name="invoice" sheetId="65" r:id="rId3"/>
    <sheet name="NARITA " sheetId="60" r:id="rId4"/>
    <sheet name="サンプル製品カタログ" sheetId="67" r:id="rId5"/>
    <sheet name="LABEL" sheetId="66" r:id="rId6"/>
  </sheets>
  <externalReferences>
    <externalReference r:id="rId7"/>
    <externalReference r:id="rId8"/>
    <externalReference r:id="rId9"/>
  </externalReferences>
  <definedNames>
    <definedName name="pricetable" localSheetId="1">#REF!</definedName>
    <definedName name="pricetable" localSheetId="5">#REF!</definedName>
    <definedName name="pricetable" localSheetId="3">#REF!</definedName>
    <definedName name="pricetable" localSheetId="4">#REF!</definedName>
    <definedName name="pricetable">#REF!</definedName>
    <definedName name="_xlnm.Print_Area" localSheetId="5">LABEL!$A$1:$D$38</definedName>
    <definedName name="_xlnm.Print_Area" localSheetId="3">'NARITA '!$A$1:$N$45</definedName>
    <definedName name="_xlnm.Print_Area" localSheetId="4">サンプル製品カタログ!$A$2:$I$8</definedName>
    <definedName name="_xlnm.Print_Titles" localSheetId="5">LABEL!$1:$3</definedName>
    <definedName name="_xlnm.Print_Titles" localSheetId="3">'NARITA '!$1:$6</definedName>
    <definedName name="_xlnm.Print_Titles" localSheetId="4">サンプル製品カタログ!$2:$2</definedName>
  </definedNames>
  <calcPr calcId="191029"/>
</workbook>
</file>

<file path=xl/calcChain.xml><?xml version="1.0" encoding="utf-8"?>
<calcChain xmlns="http://schemas.openxmlformats.org/spreadsheetml/2006/main">
  <c r="H42" i="60" l="1"/>
  <c r="E42" i="60"/>
  <c r="H15" i="60"/>
  <c r="E43" i="60" l="1"/>
  <c r="H40" i="60"/>
  <c r="H39" i="60"/>
  <c r="K26" i="65"/>
  <c r="H33" i="60"/>
  <c r="H27" i="60"/>
  <c r="E44" i="60"/>
  <c r="K28" i="65" s="1"/>
  <c r="K30" i="65" s="1"/>
  <c r="H44" i="60" l="1"/>
  <c r="M28" i="65" s="1"/>
  <c r="H21" i="60" l="1"/>
  <c r="H43" i="60" l="1"/>
  <c r="K27" i="65"/>
  <c r="F30" i="65" s="1"/>
  <c r="D30" i="65"/>
  <c r="H38" i="60"/>
  <c r="M27" i="65" l="1"/>
  <c r="H9" i="60" l="1"/>
  <c r="F9" i="65"/>
  <c r="H45" i="60" l="1"/>
  <c r="M26" i="65"/>
  <c r="F11" i="65"/>
  <c r="F7" i="65"/>
  <c r="M30" i="65" l="1"/>
  <c r="C45" i="17" s="1"/>
  <c r="L8" i="65"/>
  <c r="I13" i="64"/>
  <c r="A13" i="64"/>
  <c r="I2" i="64"/>
  <c r="A2" i="64"/>
  <c r="A36" i="65"/>
  <c r="D35" i="65"/>
  <c r="A34" i="65"/>
  <c r="A33" i="65"/>
  <c r="B28" i="65"/>
  <c r="B26" i="65"/>
  <c r="L24" i="65"/>
  <c r="B24" i="65"/>
  <c r="G21" i="65"/>
  <c r="D21" i="65"/>
  <c r="A21" i="65"/>
  <c r="A19" i="65"/>
  <c r="A17" i="65"/>
  <c r="A16" i="65"/>
  <c r="F15" i="65"/>
  <c r="A15" i="65"/>
  <c r="A14" i="65"/>
  <c r="F13" i="65"/>
  <c r="A13" i="65"/>
  <c r="L11" i="65"/>
  <c r="A11" i="65"/>
  <c r="L10" i="65"/>
  <c r="A10" i="65"/>
  <c r="L9" i="65"/>
  <c r="A9" i="65"/>
  <c r="A8" i="65"/>
  <c r="A7" i="65"/>
  <c r="L5" i="65"/>
  <c r="A5" i="65"/>
  <c r="L4" i="65"/>
  <c r="A4" i="65"/>
  <c r="A3" i="65"/>
  <c r="A2" i="65"/>
  <c r="I18" i="64"/>
  <c r="A18" i="64"/>
  <c r="I16" i="64"/>
  <c r="A16" i="64"/>
  <c r="I15" i="64"/>
  <c r="A15" i="64"/>
  <c r="I14" i="64"/>
  <c r="A14" i="64"/>
  <c r="I7" i="64"/>
  <c r="A7" i="64"/>
  <c r="I5" i="64"/>
  <c r="A5" i="64"/>
  <c r="I4" i="64"/>
  <c r="A4" i="64"/>
  <c r="I3" i="64"/>
  <c r="A3" i="64"/>
  <c r="G6" i="60" l="1"/>
  <c r="D6" i="60"/>
  <c r="A2" i="17" l="1"/>
  <c r="A3" i="17" s="1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C27" i="17"/>
  <c r="C49" i="17" s="1"/>
</calcChain>
</file>

<file path=xl/sharedStrings.xml><?xml version="1.0" encoding="utf-8"?>
<sst xmlns="http://schemas.openxmlformats.org/spreadsheetml/2006/main" count="318" uniqueCount="205">
  <si>
    <t>SHIPPER NAME</t>
    <phoneticPr fontId="9" type="noConversion"/>
  </si>
  <si>
    <t>S/CODE</t>
    <phoneticPr fontId="9" type="noConversion"/>
  </si>
  <si>
    <t>SHIPPER ADDRESS 2</t>
    <phoneticPr fontId="14"/>
  </si>
  <si>
    <t>SHIPPER ADDRESS 1</t>
    <phoneticPr fontId="14"/>
  </si>
  <si>
    <t>SHIPPER ADDRESS 3</t>
    <phoneticPr fontId="14"/>
  </si>
  <si>
    <t xml:space="preserve">SHIPPER </t>
    <phoneticPr fontId="14"/>
  </si>
  <si>
    <t>TEL</t>
    <phoneticPr fontId="14"/>
  </si>
  <si>
    <t>FAX</t>
    <phoneticPr fontId="14"/>
  </si>
  <si>
    <t>ATTN OR VAT NO.</t>
    <phoneticPr fontId="14"/>
  </si>
  <si>
    <t>TEL/FAX</t>
    <phoneticPr fontId="14"/>
  </si>
  <si>
    <t>ATTN</t>
    <phoneticPr fontId="14"/>
  </si>
  <si>
    <t>CONSIGNEE :</t>
    <phoneticPr fontId="14"/>
  </si>
  <si>
    <t>CONSIGNEE ADDRESS1</t>
    <phoneticPr fontId="14"/>
  </si>
  <si>
    <t>CONSIGNEE ADDRESS2</t>
    <phoneticPr fontId="14"/>
  </si>
  <si>
    <t>CONSIGNEE ADDRESS3</t>
    <phoneticPr fontId="14"/>
  </si>
  <si>
    <t>TEL</t>
    <phoneticPr fontId="14"/>
  </si>
  <si>
    <t>FAX</t>
    <phoneticPr fontId="14"/>
  </si>
  <si>
    <t>PAYMENT 1</t>
    <phoneticPr fontId="14"/>
  </si>
  <si>
    <t>PAYMENT 2</t>
    <phoneticPr fontId="14"/>
  </si>
  <si>
    <t>SHIPPER PER</t>
    <phoneticPr fontId="14"/>
  </si>
  <si>
    <t>INVOICE DATE</t>
    <phoneticPr fontId="14"/>
  </si>
  <si>
    <t>INVOICE NO.</t>
    <phoneticPr fontId="14"/>
  </si>
  <si>
    <t>CONTRACT NO.</t>
    <phoneticPr fontId="14"/>
  </si>
  <si>
    <t>CONTRACT DATE</t>
    <phoneticPr fontId="14"/>
  </si>
  <si>
    <t>ORDER DATE</t>
    <phoneticPr fontId="14"/>
  </si>
  <si>
    <t>ORDER NO.</t>
    <phoneticPr fontId="14"/>
  </si>
  <si>
    <t>L/C DATE</t>
    <phoneticPr fontId="14"/>
  </si>
  <si>
    <t>FROM</t>
    <phoneticPr fontId="14"/>
  </si>
  <si>
    <t xml:space="preserve"> TOKYO, JAPAN</t>
    <phoneticPr fontId="14"/>
  </si>
  <si>
    <t>TO</t>
    <phoneticPr fontId="14"/>
  </si>
  <si>
    <t>VIA</t>
    <phoneticPr fontId="14"/>
  </si>
  <si>
    <t>SHIPPING TERMS</t>
    <phoneticPr fontId="14"/>
  </si>
  <si>
    <t>TITTLE 1</t>
    <phoneticPr fontId="14"/>
  </si>
  <si>
    <t>TITTLE 2</t>
    <phoneticPr fontId="14"/>
  </si>
  <si>
    <t>ATTACHE</t>
    <phoneticPr fontId="14"/>
  </si>
  <si>
    <t>- DETAILS AS PER ATTACHED SHEET -</t>
    <phoneticPr fontId="14"/>
  </si>
  <si>
    <t>C/NO.</t>
    <phoneticPr fontId="14"/>
  </si>
  <si>
    <t>STYLE NO.</t>
    <phoneticPr fontId="14"/>
  </si>
  <si>
    <t>DESCRIPTION</t>
    <phoneticPr fontId="14"/>
  </si>
  <si>
    <t>Q'TY CODE</t>
    <phoneticPr fontId="14"/>
  </si>
  <si>
    <t>QUANTITY</t>
    <phoneticPr fontId="14"/>
  </si>
  <si>
    <t>UNIT PRICE</t>
    <phoneticPr fontId="14"/>
  </si>
  <si>
    <t>AMOUNT</t>
    <phoneticPr fontId="14"/>
  </si>
  <si>
    <t>DISCOUNT</t>
    <phoneticPr fontId="14"/>
  </si>
  <si>
    <t>CASE MARK1</t>
    <phoneticPr fontId="14"/>
  </si>
  <si>
    <t>CASE MARK2</t>
    <phoneticPr fontId="14"/>
  </si>
  <si>
    <t>CASE MARK3</t>
    <phoneticPr fontId="14"/>
  </si>
  <si>
    <t>CASE MARK4</t>
    <phoneticPr fontId="14"/>
  </si>
  <si>
    <t>CASE MARK5</t>
    <phoneticPr fontId="14"/>
  </si>
  <si>
    <t>CASE MARK6</t>
    <phoneticPr fontId="14"/>
  </si>
  <si>
    <t>TOTAL</t>
    <phoneticPr fontId="14"/>
  </si>
  <si>
    <t>MANUFACTURED BY</t>
    <phoneticPr fontId="14"/>
  </si>
  <si>
    <t>ORIGIN</t>
    <phoneticPr fontId="14"/>
  </si>
  <si>
    <t>OUR BANK</t>
    <phoneticPr fontId="14"/>
  </si>
  <si>
    <t>ETD TYO</t>
    <phoneticPr fontId="14"/>
  </si>
  <si>
    <t>DELIVERY SCHEDULES</t>
    <phoneticPr fontId="14"/>
  </si>
  <si>
    <t>INSURANCE</t>
    <phoneticPr fontId="14"/>
  </si>
  <si>
    <t>REMARK 1</t>
    <phoneticPr fontId="14"/>
  </si>
  <si>
    <t>AIR FREIGHT</t>
    <phoneticPr fontId="14"/>
  </si>
  <si>
    <t>YOUR (OUR) FORWARDER</t>
    <phoneticPr fontId="14"/>
  </si>
  <si>
    <t>CUSTOMS AGENT</t>
    <phoneticPr fontId="14"/>
  </si>
  <si>
    <t>FORWARDER</t>
    <phoneticPr fontId="14"/>
  </si>
  <si>
    <t>C/O ISSUED DATE</t>
    <phoneticPr fontId="14"/>
  </si>
  <si>
    <t>COUNTRY</t>
    <phoneticPr fontId="14"/>
  </si>
  <si>
    <t>F.O.B. TOKYO IN YEN</t>
    <phoneticPr fontId="14"/>
  </si>
  <si>
    <t xml:space="preserve"> SHUNYA CO., LTD.</t>
    <phoneticPr fontId="14"/>
  </si>
  <si>
    <t xml:space="preserve"> KENSHIN BLDG., 1F, 1-22-10 DOUGENZAKA,</t>
    <phoneticPr fontId="14"/>
  </si>
  <si>
    <t xml:space="preserve"> SHIBUYA-KU 150-0043</t>
    <phoneticPr fontId="14"/>
  </si>
  <si>
    <t xml:space="preserve"> TEL : +81(0)3-5459-1177</t>
    <phoneticPr fontId="14"/>
  </si>
  <si>
    <t xml:space="preserve"> - SAME AS BUYER -</t>
    <phoneticPr fontId="14"/>
  </si>
  <si>
    <t xml:space="preserve"> HOCHIMINH-CITY, VIETNAM</t>
    <phoneticPr fontId="14"/>
  </si>
  <si>
    <t>VIETNAM</t>
    <phoneticPr fontId="14"/>
  </si>
  <si>
    <t>PREPAID</t>
    <phoneticPr fontId="14"/>
  </si>
  <si>
    <t>COVERED BY SHIPPER</t>
    <phoneticPr fontId="14"/>
  </si>
  <si>
    <t>MEITETSU WORLD TRANSPORT (MR. NAMIKI)</t>
    <phoneticPr fontId="14"/>
  </si>
  <si>
    <r>
      <t xml:space="preserve">END OF JUNE - BEG., OF </t>
    </r>
    <r>
      <rPr>
        <b/>
        <sz val="10"/>
        <rFont val="ＭＳ Ｐゴシック"/>
        <family val="3"/>
        <charset val="128"/>
      </rPr>
      <t>ＭＡＲ</t>
    </r>
    <r>
      <rPr>
        <b/>
        <sz val="10"/>
        <rFont val="Century Gothic"/>
        <family val="2"/>
      </rPr>
      <t>, 2018</t>
    </r>
    <phoneticPr fontId="14"/>
  </si>
  <si>
    <t>BUYER</t>
    <phoneticPr fontId="14"/>
  </si>
  <si>
    <t>BUYER ADDRESS1</t>
    <phoneticPr fontId="14"/>
  </si>
  <si>
    <t>BUYER ADDRESS2</t>
    <phoneticPr fontId="14"/>
  </si>
  <si>
    <t>BUYER ADDRESS3</t>
    <phoneticPr fontId="14"/>
  </si>
  <si>
    <t xml:space="preserve"> AIRCRAFT</t>
    <phoneticPr fontId="14"/>
  </si>
  <si>
    <t>持ち帰り条件</t>
    <rPh sb="0" eb="1">
      <t>モ</t>
    </rPh>
    <rPh sb="2" eb="3">
      <t>カエ</t>
    </rPh>
    <rPh sb="4" eb="6">
      <t>ジョウケン</t>
    </rPh>
    <phoneticPr fontId="14"/>
  </si>
  <si>
    <r>
      <rPr>
        <sz val="10"/>
        <color indexed="10"/>
        <rFont val="Century Gothic"/>
        <family val="2"/>
      </rPr>
      <t xml:space="preserve">" </t>
    </r>
    <r>
      <rPr>
        <b/>
        <sz val="10"/>
        <color indexed="10"/>
        <rFont val="Century Gothic"/>
        <family val="2"/>
      </rPr>
      <t>THESE GOODS WILL BE RETURN TO JAPAN</t>
    </r>
    <phoneticPr fontId="14"/>
  </si>
  <si>
    <t xml:space="preserve">  AFTER MANUFACTURED AT VIET NAM "</t>
    <phoneticPr fontId="14"/>
  </si>
  <si>
    <t xml:space="preserve"> NO COMMERCIAL</t>
    <phoneticPr fontId="13"/>
  </si>
  <si>
    <t>PCS.</t>
    <phoneticPr fontId="14"/>
  </si>
  <si>
    <t>COLOR</t>
  </si>
  <si>
    <t>DESCRIPTION  OF  GOODS</t>
  </si>
  <si>
    <t>Q'TY</t>
  </si>
  <si>
    <t>U/PRICE</t>
  </si>
  <si>
    <t>AMOUNT</t>
  </si>
  <si>
    <r>
      <rPr>
        <b/>
        <i/>
        <sz val="10"/>
        <rFont val="ＭＳ Ｐゴシック"/>
        <family val="3"/>
        <charset val="128"/>
      </rPr>
      <t>佐川伝票・明細</t>
    </r>
  </si>
  <si>
    <r>
      <rPr>
        <b/>
        <i/>
        <sz val="10"/>
        <rFont val="ＭＳ Ｐゴシック"/>
        <family val="3"/>
        <charset val="128"/>
      </rPr>
      <t>搬入日</t>
    </r>
  </si>
  <si>
    <r>
      <rPr>
        <b/>
        <i/>
        <sz val="10"/>
        <rFont val="ＭＳ Ｐゴシック"/>
        <family val="3"/>
        <charset val="128"/>
      </rPr>
      <t>伝票</t>
    </r>
    <r>
      <rPr>
        <b/>
        <i/>
        <sz val="10"/>
        <rFont val="Century Gothic"/>
        <family val="2"/>
      </rPr>
      <t>NO</t>
    </r>
  </si>
  <si>
    <r>
      <rPr>
        <b/>
        <i/>
        <sz val="10"/>
        <rFont val="ＭＳ Ｐゴシック"/>
        <family val="3"/>
        <charset val="128"/>
      </rPr>
      <t>数量</t>
    </r>
  </si>
  <si>
    <r>
      <rPr>
        <b/>
        <i/>
        <sz val="10"/>
        <rFont val="ＭＳ Ｐゴシック"/>
        <family val="3"/>
        <charset val="128"/>
      </rPr>
      <t>箱数</t>
    </r>
  </si>
  <si>
    <t xml:space="preserve">ART NO. </t>
    <phoneticPr fontId="14"/>
  </si>
  <si>
    <t>(H.S. CODE)</t>
    <phoneticPr fontId="14"/>
  </si>
  <si>
    <t>- ATTACHED SHEET -</t>
    <phoneticPr fontId="14"/>
  </si>
  <si>
    <t xml:space="preserve"> </t>
    <phoneticPr fontId="14"/>
  </si>
  <si>
    <t>VIVAN GARMENTS VIET NAM COMPANY LIMITED</t>
    <phoneticPr fontId="14"/>
  </si>
  <si>
    <t>Hamlet 3 , Long Hau Commune , Can Giuoc District,</t>
    <phoneticPr fontId="14"/>
  </si>
  <si>
    <t xml:space="preserve"> Long An Province , VietNam</t>
    <phoneticPr fontId="14"/>
  </si>
  <si>
    <t xml:space="preserve"> TEL : :   ( 084 ) 097 22 00 798  ATTN : MR. TUAN</t>
    <phoneticPr fontId="14"/>
  </si>
  <si>
    <t>FABRIC &amp; PARTS FOR WEAR &amp; SAMPLE CLOTHES</t>
    <phoneticPr fontId="14"/>
  </si>
  <si>
    <t xml:space="preserve"> TEL : ( 084 ) 097 22 00 798  ATTN : MR. TUAN</t>
    <phoneticPr fontId="14"/>
  </si>
  <si>
    <r>
      <rPr>
        <b/>
        <i/>
        <sz val="10"/>
        <rFont val="ＭＳ Ｐゴシック"/>
        <family val="3"/>
        <charset val="128"/>
      </rPr>
      <t>搬入内容</t>
    </r>
    <rPh sb="0" eb="2">
      <t>ハンニュウ</t>
    </rPh>
    <phoneticPr fontId="14"/>
  </si>
  <si>
    <r>
      <t>MADE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IN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JAPAN</t>
    </r>
    <phoneticPr fontId="14"/>
  </si>
  <si>
    <t xml:space="preserve"> C/NO.</t>
    <phoneticPr fontId="14"/>
  </si>
  <si>
    <t>INVOICE</t>
    <phoneticPr fontId="14"/>
  </si>
  <si>
    <t>IMPORTER</t>
    <phoneticPr fontId="13"/>
  </si>
  <si>
    <t>INVOICE NO.</t>
    <phoneticPr fontId="13"/>
  </si>
  <si>
    <t>CASE MARK</t>
    <phoneticPr fontId="13"/>
  </si>
  <si>
    <t>INVOICE DATE</t>
    <phoneticPr fontId="13"/>
  </si>
  <si>
    <t>CONTRACT NO.</t>
    <phoneticPr fontId="13"/>
  </si>
  <si>
    <t>CONSIGNEE</t>
    <phoneticPr fontId="13"/>
  </si>
  <si>
    <t xml:space="preserve">ORDER NO. </t>
    <phoneticPr fontId="13"/>
  </si>
  <si>
    <t>MADE  IN JAPAN</t>
    <phoneticPr fontId="14"/>
  </si>
  <si>
    <t>L/C NO.</t>
    <phoneticPr fontId="13"/>
  </si>
  <si>
    <t>PAYMENT METHOD</t>
    <phoneticPr fontId="13"/>
  </si>
  <si>
    <t>SHIPPED PER</t>
    <phoneticPr fontId="13"/>
  </si>
  <si>
    <t>FROM</t>
    <phoneticPr fontId="13"/>
  </si>
  <si>
    <t>TO</t>
    <phoneticPr fontId="13"/>
  </si>
  <si>
    <t xml:space="preserve"> </t>
    <phoneticPr fontId="13"/>
  </si>
  <si>
    <t>VIA</t>
    <phoneticPr fontId="13"/>
  </si>
  <si>
    <t>C/NO.</t>
    <phoneticPr fontId="13"/>
  </si>
  <si>
    <t>ART NO.</t>
    <phoneticPr fontId="14"/>
  </si>
  <si>
    <t xml:space="preserve">  DESCRIPTION  OF  GOODS</t>
    <phoneticPr fontId="13"/>
  </si>
  <si>
    <t>COLOR</t>
    <phoneticPr fontId="14"/>
  </si>
  <si>
    <t>SIZE</t>
    <phoneticPr fontId="14"/>
  </si>
  <si>
    <t>Q'TY</t>
    <phoneticPr fontId="13"/>
  </si>
  <si>
    <t>U/PRICE</t>
    <phoneticPr fontId="13"/>
  </si>
  <si>
    <t>AMOUNT</t>
    <phoneticPr fontId="13"/>
  </si>
  <si>
    <t>" NO COMMER VALUE</t>
    <phoneticPr fontId="14"/>
  </si>
  <si>
    <t>" NO COMMERCIAL VALUE</t>
    <phoneticPr fontId="14"/>
  </si>
  <si>
    <t xml:space="preserve">  VALUE FOR CUSTOMS PURPOSE ONLY "</t>
    <phoneticPr fontId="14"/>
  </si>
  <si>
    <t xml:space="preserve"> VALUE FOR CUSTOMS PURPOSE ONLY "</t>
    <phoneticPr fontId="14"/>
  </si>
  <si>
    <t>TOTAL CARTONS :</t>
    <phoneticPr fontId="14"/>
  </si>
  <si>
    <t>TOTAL GROSS WEIGHT :</t>
    <phoneticPr fontId="14"/>
  </si>
  <si>
    <t>KGS</t>
    <phoneticPr fontId="14"/>
  </si>
  <si>
    <t>LABEL SHEET -</t>
    <phoneticPr fontId="14"/>
  </si>
  <si>
    <t>原産国</t>
    <rPh sb="0" eb="3">
      <t>ゲンサンコク</t>
    </rPh>
    <phoneticPr fontId="14"/>
  </si>
  <si>
    <t>D17 Street , Sai Gon South Residential Area</t>
    <phoneticPr fontId="14"/>
  </si>
  <si>
    <t>TOTAL :</t>
  </si>
  <si>
    <t>PCS.</t>
  </si>
  <si>
    <t>WOVEN FABRIC</t>
  </si>
  <si>
    <t>M.</t>
    <phoneticPr fontId="14"/>
  </si>
  <si>
    <t>M.</t>
  </si>
  <si>
    <t>ITEM</t>
    <phoneticPr fontId="14"/>
  </si>
  <si>
    <t>NAME</t>
    <phoneticPr fontId="14"/>
  </si>
  <si>
    <t>color</t>
    <phoneticPr fontId="14"/>
  </si>
  <si>
    <t>lady's or men's</t>
    <phoneticPr fontId="14"/>
  </si>
  <si>
    <t>WOVEN or  KNIT</t>
    <phoneticPr fontId="14"/>
  </si>
  <si>
    <t>picture</t>
    <phoneticPr fontId="14"/>
  </si>
  <si>
    <t>Composition</t>
    <phoneticPr fontId="14"/>
  </si>
  <si>
    <t>packingNo.</t>
    <phoneticPr fontId="14"/>
  </si>
  <si>
    <t>KNIT FABRIC</t>
    <phoneticPr fontId="14"/>
  </si>
  <si>
    <t>SET.</t>
    <phoneticPr fontId="14"/>
  </si>
  <si>
    <t>TOTAL</t>
    <phoneticPr fontId="64"/>
  </si>
  <si>
    <t>COUNTRY OF ORIGIN : JAPAN,USA</t>
    <phoneticPr fontId="14"/>
  </si>
  <si>
    <t>c/#BLACK</t>
    <phoneticPr fontId="14"/>
  </si>
  <si>
    <t>men's</t>
    <phoneticPr fontId="14"/>
  </si>
  <si>
    <t>AFL-005</t>
    <phoneticPr fontId="14"/>
  </si>
  <si>
    <t>綾織　後染め　ツイル</t>
    <rPh sb="0" eb="1">
      <t>アヤ</t>
    </rPh>
    <rPh sb="1" eb="2">
      <t>オリ</t>
    </rPh>
    <rPh sb="3" eb="4">
      <t>アト</t>
    </rPh>
    <phoneticPr fontId="14"/>
  </si>
  <si>
    <t>長繊維、プリント加工なし</t>
    <rPh sb="0" eb="1">
      <t>ナガ</t>
    </rPh>
    <rPh sb="1" eb="3">
      <t>センイ</t>
    </rPh>
    <phoneticPr fontId="14"/>
  </si>
  <si>
    <t>c/#B1 BLACK</t>
    <phoneticPr fontId="14"/>
  </si>
  <si>
    <t>STYLE:25SY-03</t>
  </si>
  <si>
    <t>STYLE:25SY-03</t>
    <phoneticPr fontId="14"/>
  </si>
  <si>
    <t>POLYESTER 100%</t>
    <phoneticPr fontId="14"/>
  </si>
  <si>
    <r>
      <t>WIDTH:122CM (75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4"/>
  </si>
  <si>
    <t>入庫NO.22075641</t>
    <rPh sb="0" eb="2">
      <t>ニュウコ</t>
    </rPh>
    <phoneticPr fontId="14"/>
  </si>
  <si>
    <t>リブ編み　先染め　編み立てリブ</t>
    <rPh sb="1" eb="2">
      <t>ア</t>
    </rPh>
    <rPh sb="4" eb="6">
      <t>サキゾ</t>
    </rPh>
    <rPh sb="8" eb="9">
      <t>ア</t>
    </rPh>
    <rPh sb="10" eb="11">
      <t>タ</t>
    </rPh>
    <phoneticPr fontId="14"/>
  </si>
  <si>
    <t>長繊維</t>
    <rPh sb="0" eb="2">
      <t>チョウセンイ</t>
    </rPh>
    <phoneticPr fontId="14"/>
  </si>
  <si>
    <r>
      <t>knit collar parts</t>
    </r>
    <r>
      <rPr>
        <b/>
        <sz val="10"/>
        <color theme="1"/>
        <rFont val="Yu Gothic"/>
        <family val="2"/>
        <charset val="128"/>
      </rPr>
      <t>　</t>
    </r>
    <r>
      <rPr>
        <b/>
        <sz val="10"/>
        <color theme="1"/>
        <rFont val="Century Gothic"/>
        <family val="2"/>
      </rPr>
      <t>cadet 2/48</t>
    </r>
    <phoneticPr fontId="14"/>
  </si>
  <si>
    <r>
      <t>WOOL30%</t>
    </r>
    <r>
      <rPr>
        <b/>
        <sz val="10"/>
        <color theme="1"/>
        <rFont val="Yu Gothic"/>
        <family val="2"/>
        <charset val="128"/>
      </rPr>
      <t>　</t>
    </r>
    <r>
      <rPr>
        <b/>
        <sz val="10"/>
        <color theme="1"/>
        <rFont val="Century Gothic"/>
        <family val="2"/>
      </rPr>
      <t>ACRYLIC70</t>
    </r>
    <r>
      <rPr>
        <b/>
        <sz val="10"/>
        <color theme="1"/>
        <rFont val="Yu Gothic"/>
        <family val="2"/>
        <charset val="128"/>
      </rPr>
      <t>％</t>
    </r>
    <phoneticPr fontId="14"/>
  </si>
  <si>
    <r>
      <t>43.2CM</t>
    </r>
    <r>
      <rPr>
        <b/>
        <sz val="10"/>
        <color theme="1"/>
        <rFont val="ＭＳ Ｐゴシック"/>
        <family val="2"/>
        <charset val="128"/>
      </rPr>
      <t>×</t>
    </r>
    <r>
      <rPr>
        <b/>
        <sz val="10"/>
        <color theme="1"/>
        <rFont val="Century Gothic"/>
        <family val="2"/>
      </rPr>
      <t>14.4CM</t>
    </r>
    <phoneticPr fontId="14"/>
  </si>
  <si>
    <r>
      <t>knit sleeve parts</t>
    </r>
    <r>
      <rPr>
        <b/>
        <sz val="10"/>
        <color theme="1"/>
        <rFont val="Yu Gothic"/>
        <family val="2"/>
        <charset val="128"/>
      </rPr>
      <t>　</t>
    </r>
    <r>
      <rPr>
        <b/>
        <sz val="10"/>
        <color theme="1"/>
        <rFont val="Century Gothic"/>
        <family val="2"/>
      </rPr>
      <t>cadet 2/48</t>
    </r>
    <phoneticPr fontId="14"/>
  </si>
  <si>
    <r>
      <t>knit hem parts</t>
    </r>
    <r>
      <rPr>
        <b/>
        <sz val="10"/>
        <color theme="1"/>
        <rFont val="Yu Gothic"/>
        <family val="2"/>
        <charset val="128"/>
      </rPr>
      <t>　</t>
    </r>
    <r>
      <rPr>
        <b/>
        <sz val="10"/>
        <color theme="1"/>
        <rFont val="Century Gothic"/>
        <family val="2"/>
      </rPr>
      <t>cadet 2/48</t>
    </r>
    <phoneticPr fontId="14"/>
  </si>
  <si>
    <t>リブ丸編み　先染め　編み立てリブ</t>
    <rPh sb="1" eb="2">
      <t>ア</t>
    </rPh>
    <rPh sb="2" eb="3">
      <t>マル</t>
    </rPh>
    <rPh sb="5" eb="7">
      <t>サキゾ</t>
    </rPh>
    <rPh sb="9" eb="10">
      <t>ア</t>
    </rPh>
    <rPh sb="11" eb="12">
      <t>タ</t>
    </rPh>
    <phoneticPr fontId="14"/>
  </si>
  <si>
    <r>
      <t>14CMW</t>
    </r>
    <r>
      <rPr>
        <b/>
        <sz val="10"/>
        <color theme="1"/>
        <rFont val="ＭＳ Ｐゴシック"/>
        <family val="2"/>
        <charset val="128"/>
      </rPr>
      <t>×16.4</t>
    </r>
    <r>
      <rPr>
        <b/>
        <sz val="10"/>
        <color theme="1"/>
        <rFont val="Century Gothic"/>
        <family val="2"/>
      </rPr>
      <t>CM</t>
    </r>
    <phoneticPr fontId="14"/>
  </si>
  <si>
    <r>
      <t>90.4CM</t>
    </r>
    <r>
      <rPr>
        <b/>
        <sz val="10"/>
        <color theme="1"/>
        <rFont val="ＭＳ Ｐゴシック"/>
        <family val="2"/>
        <charset val="128"/>
      </rPr>
      <t>×</t>
    </r>
    <r>
      <rPr>
        <b/>
        <sz val="10"/>
        <color theme="1"/>
        <rFont val="Century Gothic"/>
        <family val="2"/>
      </rPr>
      <t>18.4CM</t>
    </r>
    <phoneticPr fontId="14"/>
  </si>
  <si>
    <t>bardog WOVEN NAME</t>
    <phoneticPr fontId="14"/>
  </si>
  <si>
    <r>
      <t>STYLE</t>
    </r>
    <r>
      <rPr>
        <b/>
        <sz val="10"/>
        <rFont val="Yu Gothic"/>
        <family val="2"/>
        <charset val="128"/>
      </rPr>
      <t>：bd25-005,bd25-006,bd25-007</t>
    </r>
    <phoneticPr fontId="14"/>
  </si>
  <si>
    <t>1-4</t>
    <phoneticPr fontId="14"/>
  </si>
  <si>
    <t>knit collar parts　cadet 2/48</t>
  </si>
  <si>
    <t>knit sleeve parts　cadet 2/48</t>
  </si>
  <si>
    <t>knit hem parts　cadet 2/48</t>
  </si>
  <si>
    <t xml:space="preserve">25SY-03 </t>
    <phoneticPr fontId="14"/>
  </si>
  <si>
    <t>NO.</t>
    <phoneticPr fontId="14"/>
  </si>
  <si>
    <r>
      <t>WOOL30%</t>
    </r>
    <r>
      <rPr>
        <sz val="24"/>
        <rFont val="ＭＳ Ｐゴシック"/>
        <family val="3"/>
        <charset val="128"/>
      </rPr>
      <t>　</t>
    </r>
    <r>
      <rPr>
        <sz val="24"/>
        <rFont val="Century Gothic"/>
        <family val="2"/>
      </rPr>
      <t>ACRYLIC70</t>
    </r>
    <r>
      <rPr>
        <sz val="24"/>
        <rFont val="ＭＳ Ｐゴシック"/>
        <family val="3"/>
        <charset val="128"/>
      </rPr>
      <t>％</t>
    </r>
  </si>
  <si>
    <t>innsoniaWOVEN quality tag</t>
    <phoneticPr fontId="14"/>
  </si>
  <si>
    <t>innsonia metal parts</t>
    <phoneticPr fontId="14"/>
  </si>
  <si>
    <r>
      <t>STYLE</t>
    </r>
    <r>
      <rPr>
        <b/>
        <sz val="10"/>
        <rFont val="Yu Gothic"/>
        <family val="2"/>
        <charset val="128"/>
      </rPr>
      <t>：25SY-03,25SY-05,24SY-42</t>
    </r>
    <phoneticPr fontId="14"/>
  </si>
  <si>
    <t>8/22</t>
    <phoneticPr fontId="14"/>
  </si>
  <si>
    <t>4CARTONS</t>
    <phoneticPr fontId="14"/>
  </si>
  <si>
    <t xml:space="preserve"> C/NO. 1-4</t>
    <phoneticPr fontId="14"/>
  </si>
  <si>
    <t>Aug, 25 2025</t>
    <phoneticPr fontId="14"/>
  </si>
  <si>
    <t xml:space="preserve"> SY-6800825-VT-DD-01</t>
    <phoneticPr fontId="14"/>
  </si>
  <si>
    <t>08500045562</t>
    <phoneticPr fontId="14"/>
  </si>
  <si>
    <t>c/#001 BLACK</t>
    <phoneticPr fontId="14"/>
  </si>
  <si>
    <t>綾織　先染め　ツイル</t>
    <rPh sb="0" eb="1">
      <t>アヤ</t>
    </rPh>
    <rPh sb="1" eb="2">
      <t>オリ</t>
    </rPh>
    <rPh sb="3" eb="4">
      <t>サキ</t>
    </rPh>
    <phoneticPr fontId="14"/>
  </si>
  <si>
    <r>
      <t>WIDTH:146CM (230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4"/>
  </si>
  <si>
    <t>長繊維、プリント加工あり</t>
    <rPh sb="0" eb="1">
      <t>ナガ</t>
    </rPh>
    <rPh sb="1" eb="3">
      <t>センイ</t>
    </rPh>
    <phoneticPr fontId="14"/>
  </si>
  <si>
    <t>4PACKAGES</t>
    <phoneticPr fontId="14"/>
  </si>
  <si>
    <t>186.5M. 870PCS.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</si>
</sst>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¥&quot;#,##0;[Red]&quot;¥&quot;\-#,##0"/>
    <numFmt numFmtId="41" formatCode="_ * #,##0_ ;_ * \-#,##0_ ;_ * &quot;-&quot;_ ;_ @_ "/>
    <numFmt numFmtId="26" formatCode="\$#,##0.00_);[Red]\(\$#,##0.00\)"/>
    <numFmt numFmtId="176" formatCode="_(* #,##0_);_(* \(#,##0\);_(* &quot;-&quot;_);_(@_)"/>
    <numFmt numFmtId="177" formatCode="&quot;¥&quot;#,##0_);\(&quot;¥&quot;#,##0\)"/>
    <numFmt numFmtId="178" formatCode="&quot;¥&quot;#,##0_);[Red]\(&quot;¥&quot;#,##0\)"/>
    <numFmt numFmtId="179" formatCode="#,##0.0"/>
    <numFmt numFmtId="180" formatCode="#,##0.0_);\(#,##0.0\)"/>
    <numFmt numFmtId="181" formatCode="_(* #,##0.0_);_(* \(#,##0.0\);_(* &quot;-&quot;_);_(@_)"/>
    <numFmt numFmtId="182" formatCode="[$€-410]\ #,##0.00_);[Red]\([$€-410]\ #,##0.00\)"/>
    <numFmt numFmtId="183" formatCode="[$€-410]\ #,##0.00;\-[$€-410]\ #,##0.00"/>
    <numFmt numFmtId="184" formatCode="m/d;@"/>
  </numFmts>
  <fonts count="67">
    <font>
      <sz val="12"/>
      <name val="新細明體"/>
      <family val="1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新細明體"/>
      <family val="1"/>
    </font>
    <font>
      <sz val="9"/>
      <name val="新細明體"/>
      <family val="1"/>
    </font>
    <font>
      <u/>
      <sz val="12"/>
      <color indexed="12"/>
      <name val="新細明體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ゴシック"/>
      <family val="3"/>
      <charset val="128"/>
    </font>
    <font>
      <b/>
      <u/>
      <sz val="10"/>
      <name val="Century Gothic"/>
      <family val="2"/>
    </font>
    <font>
      <b/>
      <i/>
      <sz val="10"/>
      <name val="Century Gothic"/>
      <family val="2"/>
    </font>
    <font>
      <u/>
      <sz val="10"/>
      <color indexed="12"/>
      <name val="Verdana"/>
      <family val="2"/>
    </font>
    <font>
      <b/>
      <sz val="10"/>
      <color indexed="10"/>
      <name val="Century Gothic"/>
      <family val="2"/>
    </font>
    <font>
      <sz val="10"/>
      <color indexed="10"/>
      <name val="Century Gothic"/>
      <family val="2"/>
    </font>
    <font>
      <b/>
      <sz val="10"/>
      <name val="Century Gothic"/>
      <family val="2"/>
    </font>
    <font>
      <b/>
      <i/>
      <sz val="1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color theme="1"/>
      <name val="Century Gothic"/>
      <family val="2"/>
    </font>
    <font>
      <b/>
      <sz val="10"/>
      <color rgb="FFFF0000"/>
      <name val="Century Gothic"/>
      <family val="2"/>
    </font>
    <font>
      <b/>
      <sz val="10"/>
      <color rgb="FFFF0000"/>
      <name val="ＭＳ Ｐゴシック"/>
      <family val="3"/>
      <charset val="128"/>
    </font>
    <font>
      <b/>
      <u/>
      <sz val="10"/>
      <color theme="3"/>
      <name val="Century Gothic"/>
      <family val="2"/>
    </font>
    <font>
      <b/>
      <u/>
      <sz val="10"/>
      <name val="ＭＳ Ｐゴシック"/>
      <family val="3"/>
      <charset val="128"/>
    </font>
    <font>
      <b/>
      <sz val="10"/>
      <color rgb="FFFF0000"/>
      <name val="ＭＳ Ｐゴシック"/>
      <family val="2"/>
      <charset val="128"/>
    </font>
    <font>
      <b/>
      <sz val="10"/>
      <name val="ＭＳ Ｐゴシック"/>
      <family val="2"/>
      <charset val="128"/>
    </font>
    <font>
      <b/>
      <u/>
      <sz val="10"/>
      <color theme="1"/>
      <name val="Century Gothic"/>
      <family val="2"/>
    </font>
    <font>
      <b/>
      <sz val="10"/>
      <color rgb="FFFF0000"/>
      <name val="MS PGothic"/>
      <family val="3"/>
      <charset val="128"/>
    </font>
    <font>
      <b/>
      <sz val="10"/>
      <name val="ＭＳ Ｐゴシック"/>
      <family val="3"/>
      <charset val="128"/>
      <scheme val="major"/>
    </font>
    <font>
      <sz val="11"/>
      <name val="ＭＳ Ｐゴシック"/>
      <family val="3"/>
      <charset val="128"/>
    </font>
    <font>
      <sz val="28"/>
      <name val="ＭＳ Ｐゴシック"/>
      <family val="3"/>
      <charset val="128"/>
      <scheme val="minor"/>
    </font>
    <font>
      <sz val="28"/>
      <name val="新細明體"/>
      <family val="1"/>
    </font>
    <font>
      <b/>
      <sz val="22"/>
      <name val="Century Gothic"/>
      <family val="2"/>
    </font>
    <font>
      <b/>
      <sz val="20"/>
      <name val="Century Gothic"/>
      <family val="2"/>
    </font>
    <font>
      <b/>
      <i/>
      <sz val="2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16"/>
      <name val="Century Gothic"/>
      <family val="2"/>
    </font>
    <font>
      <b/>
      <i/>
      <sz val="9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i/>
      <sz val="10"/>
      <name val="Century Gothic"/>
      <family val="2"/>
    </font>
    <font>
      <b/>
      <u/>
      <sz val="11"/>
      <name val="Century Gothic"/>
      <family val="2"/>
    </font>
    <font>
      <b/>
      <sz val="14"/>
      <name val="Century Gothic"/>
      <family val="2"/>
    </font>
    <font>
      <b/>
      <sz val="12"/>
      <color rgb="FFFF0000"/>
      <name val="Century Gothic"/>
      <family val="2"/>
    </font>
    <font>
      <b/>
      <sz val="10"/>
      <name val="Century Gothic"/>
      <family val="2"/>
      <charset val="128"/>
    </font>
    <font>
      <b/>
      <sz val="10"/>
      <color theme="1"/>
      <name val="Yu Gothic"/>
      <family val="2"/>
      <charset val="128"/>
    </font>
    <font>
      <b/>
      <sz val="10"/>
      <color theme="1"/>
      <name val="Yu Gothic"/>
      <family val="3"/>
      <charset val="128"/>
    </font>
    <font>
      <b/>
      <sz val="10"/>
      <color theme="1"/>
      <name val="Microsoft YaHei"/>
      <family val="3"/>
      <charset val="134"/>
    </font>
    <font>
      <b/>
      <sz val="18"/>
      <name val="ＭＳ Ｐゴシック"/>
      <family val="3"/>
      <charset val="128"/>
      <scheme val="minor"/>
    </font>
    <font>
      <sz val="18"/>
      <name val="新細明體"/>
      <family val="1"/>
    </font>
    <font>
      <sz val="18"/>
      <name val="ＭＳ Ｐゴシック"/>
      <family val="1"/>
      <charset val="128"/>
    </font>
    <font>
      <b/>
      <sz val="26"/>
      <name val="新細明體"/>
    </font>
    <font>
      <b/>
      <sz val="24"/>
      <name val="Century Gothic"/>
      <family val="2"/>
    </font>
    <font>
      <sz val="24"/>
      <name val="Century Gothic"/>
      <family val="2"/>
    </font>
    <font>
      <b/>
      <sz val="24"/>
      <color rgb="FFFF0000"/>
      <name val="Century Gothic"/>
      <family val="2"/>
    </font>
    <font>
      <b/>
      <sz val="24"/>
      <color theme="1"/>
      <name val="Century Gothic"/>
      <family val="2"/>
    </font>
    <font>
      <b/>
      <sz val="10"/>
      <name val="Yu Gothic"/>
      <family val="2"/>
      <charset val="128"/>
    </font>
    <font>
      <sz val="6"/>
      <name val="ＭＳ Ｐゴシック"/>
      <family val="2"/>
      <charset val="128"/>
      <scheme val="minor"/>
    </font>
    <font>
      <b/>
      <sz val="10"/>
      <color theme="1"/>
      <name val="ＭＳ Ｐゴシック"/>
      <family val="2"/>
      <charset val="128"/>
    </font>
    <font>
      <sz val="24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4" fillId="0" borderId="0">
      <alignment vertical="center"/>
    </xf>
    <xf numFmtId="0" fontId="3" fillId="0" borderId="0">
      <alignment vertical="center"/>
    </xf>
    <xf numFmtId="6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6" fontId="8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13">
    <xf numFmtId="0" fontId="0" fillId="0" borderId="0" xfId="0">
      <alignment vertical="center"/>
    </xf>
    <xf numFmtId="0" fontId="11" fillId="0" borderId="0" xfId="0" applyFont="1">
      <alignment vertical="center"/>
    </xf>
    <xf numFmtId="0" fontId="12" fillId="0" borderId="0" xfId="0" applyFont="1" applyAlignment="1">
      <alignment vertical="center" shrinkToFit="1"/>
    </xf>
    <xf numFmtId="0" fontId="12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49" fontId="12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left" vertical="center" shrinkToFit="1"/>
    </xf>
    <xf numFmtId="0" fontId="12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2" fillId="2" borderId="0" xfId="0" applyFont="1" applyFill="1" applyAlignment="1">
      <alignment horizontal="left" vertical="center"/>
    </xf>
    <xf numFmtId="0" fontId="24" fillId="0" borderId="0" xfId="0" applyFont="1" applyAlignment="1">
      <alignment vertical="center" shrinkToFit="1"/>
    </xf>
    <xf numFmtId="49" fontId="12" fillId="0" borderId="0" xfId="0" applyNumberFormat="1" applyFont="1" applyAlignment="1">
      <alignment vertical="center" shrinkToFit="1"/>
    </xf>
    <xf numFmtId="0" fontId="18" fillId="0" borderId="0" xfId="1" applyNumberFormat="1" applyFont="1" applyFill="1" applyBorder="1" applyAlignment="1" applyProtection="1"/>
    <xf numFmtId="26" fontId="12" fillId="0" borderId="0" xfId="0" applyNumberFormat="1" applyFont="1" applyAlignment="1">
      <alignment horizontal="left" vertical="center" shrinkToFit="1"/>
    </xf>
    <xf numFmtId="178" fontId="12" fillId="0" borderId="0" xfId="0" applyNumberFormat="1" applyFont="1" applyAlignment="1">
      <alignment horizontal="left" vertical="center" shrinkToFit="1"/>
    </xf>
    <xf numFmtId="0" fontId="16" fillId="0" borderId="0" xfId="0" applyFont="1" applyAlignment="1">
      <alignment vertical="center" shrinkToFit="1"/>
    </xf>
    <xf numFmtId="0" fontId="12" fillId="0" borderId="4" xfId="0" applyFont="1" applyBorder="1" applyAlignment="1">
      <alignment horizontal="center" vertical="center"/>
    </xf>
    <xf numFmtId="0" fontId="25" fillId="0" borderId="0" xfId="0" applyFont="1" applyAlignment="1">
      <alignment vertical="center" shrinkToFit="1"/>
    </xf>
    <xf numFmtId="0" fontId="26" fillId="0" borderId="0" xfId="0" applyFont="1" applyAlignment="1">
      <alignment horizontal="left" vertical="center"/>
    </xf>
    <xf numFmtId="0" fontId="12" fillId="0" borderId="1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49" fontId="12" fillId="0" borderId="10" xfId="0" applyNumberFormat="1" applyFont="1" applyBorder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49" fontId="17" fillId="0" borderId="24" xfId="0" applyNumberFormat="1" applyFont="1" applyBorder="1" applyAlignment="1">
      <alignment horizontal="left" vertical="center"/>
    </xf>
    <xf numFmtId="49" fontId="12" fillId="3" borderId="0" xfId="0" applyNumberFormat="1" applyFont="1" applyFill="1" applyAlignment="1">
      <alignment horizontal="left" vertical="center"/>
    </xf>
    <xf numFmtId="0" fontId="12" fillId="3" borderId="0" xfId="0" applyFont="1" applyFill="1" applyAlignment="1">
      <alignment vertical="center" shrinkToFit="1"/>
    </xf>
    <xf numFmtId="177" fontId="21" fillId="3" borderId="0" xfId="0" applyNumberFormat="1" applyFont="1" applyFill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31" fillId="0" borderId="5" xfId="0" applyFont="1" applyBorder="1" applyAlignment="1">
      <alignment horizontal="left" vertical="center"/>
    </xf>
    <xf numFmtId="49" fontId="24" fillId="0" borderId="10" xfId="0" applyNumberFormat="1" applyFont="1" applyBorder="1" applyAlignment="1">
      <alignment horizontal="left" vertical="center"/>
    </xf>
    <xf numFmtId="0" fontId="24" fillId="0" borderId="10" xfId="0" applyFont="1" applyBorder="1" applyAlignment="1">
      <alignment vertical="center" wrapText="1"/>
    </xf>
    <xf numFmtId="179" fontId="24" fillId="0" borderId="10" xfId="0" applyNumberFormat="1" applyFont="1" applyBorder="1" applyAlignment="1">
      <alignment vertical="center" shrinkToFit="1"/>
    </xf>
    <xf numFmtId="49" fontId="32" fillId="0" borderId="10" xfId="0" quotePrefix="1" applyNumberFormat="1" applyFont="1" applyBorder="1" applyAlignment="1">
      <alignment horizontal="left" vertical="center"/>
    </xf>
    <xf numFmtId="179" fontId="24" fillId="0" borderId="11" xfId="0" applyNumberFormat="1" applyFont="1" applyBorder="1" applyAlignment="1">
      <alignment vertical="center" shrinkToFit="1"/>
    </xf>
    <xf numFmtId="49" fontId="29" fillId="0" borderId="11" xfId="0" quotePrefix="1" applyNumberFormat="1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left" vertical="center"/>
    </xf>
    <xf numFmtId="0" fontId="17" fillId="0" borderId="24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/>
    </xf>
    <xf numFmtId="49" fontId="16" fillId="0" borderId="10" xfId="0" applyNumberFormat="1" applyFont="1" applyBorder="1" applyAlignment="1">
      <alignment horizontal="left" vertical="center"/>
    </xf>
    <xf numFmtId="0" fontId="16" fillId="0" borderId="10" xfId="0" applyFont="1" applyBorder="1" applyAlignment="1">
      <alignment horizontal="center" vertical="center"/>
    </xf>
    <xf numFmtId="0" fontId="27" fillId="0" borderId="10" xfId="0" applyFont="1" applyBorder="1">
      <alignment vertical="center"/>
    </xf>
    <xf numFmtId="0" fontId="12" fillId="0" borderId="10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49" fontId="25" fillId="0" borderId="10" xfId="0" applyNumberFormat="1" applyFont="1" applyBorder="1" applyAlignment="1">
      <alignment horizontal="left" vertical="center"/>
    </xf>
    <xf numFmtId="0" fontId="16" fillId="0" borderId="10" xfId="0" applyFont="1" applyBorder="1">
      <alignment vertical="center"/>
    </xf>
    <xf numFmtId="26" fontId="16" fillId="0" borderId="10" xfId="0" applyNumberFormat="1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/>
    </xf>
    <xf numFmtId="49" fontId="12" fillId="0" borderId="6" xfId="0" applyNumberFormat="1" applyFont="1" applyBorder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0" fontId="16" fillId="0" borderId="6" xfId="0" applyFont="1" applyBorder="1">
      <alignment vertical="center"/>
    </xf>
    <xf numFmtId="26" fontId="16" fillId="0" borderId="6" xfId="0" applyNumberFormat="1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178" fontId="24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24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center" vertical="center" wrapText="1"/>
    </xf>
    <xf numFmtId="1" fontId="12" fillId="0" borderId="8" xfId="0" applyNumberFormat="1" applyFont="1" applyBorder="1" applyAlignment="1">
      <alignment horizontal="center" vertical="center"/>
    </xf>
    <xf numFmtId="178" fontId="24" fillId="0" borderId="10" xfId="0" applyNumberFormat="1" applyFont="1" applyBorder="1" applyAlignment="1">
      <alignment horizontal="right" vertical="center"/>
    </xf>
    <xf numFmtId="177" fontId="12" fillId="0" borderId="10" xfId="0" applyNumberFormat="1" applyFont="1" applyBorder="1" applyAlignment="1">
      <alignment horizontal="right" vertical="center"/>
    </xf>
    <xf numFmtId="0" fontId="24" fillId="0" borderId="11" xfId="0" applyFont="1" applyBorder="1" applyAlignment="1">
      <alignment horizontal="left" vertical="center"/>
    </xf>
    <xf numFmtId="179" fontId="24" fillId="0" borderId="11" xfId="0" applyNumberFormat="1" applyFont="1" applyBorder="1" applyAlignment="1">
      <alignment horizontal="center" vertical="center" shrinkToFit="1"/>
    </xf>
    <xf numFmtId="178" fontId="24" fillId="0" borderId="11" xfId="0" applyNumberFormat="1" applyFont="1" applyBorder="1" applyAlignment="1">
      <alignment horizontal="right" vertical="center"/>
    </xf>
    <xf numFmtId="177" fontId="12" fillId="0" borderId="11" xfId="0" applyNumberFormat="1" applyFont="1" applyBorder="1" applyAlignment="1">
      <alignment horizontal="right" vertical="center"/>
    </xf>
    <xf numFmtId="178" fontId="24" fillId="0" borderId="4" xfId="0" applyNumberFormat="1" applyFont="1" applyBorder="1" applyAlignment="1">
      <alignment horizontal="right" vertical="center"/>
    </xf>
    <xf numFmtId="177" fontId="12" fillId="0" borderId="4" xfId="0" applyNumberFormat="1" applyFont="1" applyBorder="1" applyAlignment="1">
      <alignment horizontal="right" vertical="center"/>
    </xf>
    <xf numFmtId="0" fontId="33" fillId="0" borderId="4" xfId="0" applyFont="1" applyBorder="1" applyAlignment="1">
      <alignment horizontal="center" vertical="center"/>
    </xf>
    <xf numFmtId="1" fontId="12" fillId="0" borderId="10" xfId="0" applyNumberFormat="1" applyFont="1" applyBorder="1" applyAlignment="1">
      <alignment horizontal="center" vertical="center"/>
    </xf>
    <xf numFmtId="180" fontId="12" fillId="0" borderId="8" xfId="2" applyNumberFormat="1" applyFont="1" applyFill="1" applyBorder="1" applyAlignment="1">
      <alignment horizontal="center" vertical="center"/>
    </xf>
    <xf numFmtId="177" fontId="12" fillId="0" borderId="8" xfId="0" applyNumberFormat="1" applyFont="1" applyBorder="1" applyAlignment="1">
      <alignment horizontal="center" vertical="center"/>
    </xf>
    <xf numFmtId="49" fontId="12" fillId="0" borderId="8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10" xfId="0" applyFont="1" applyBorder="1" applyAlignment="1">
      <alignment vertical="center" shrinkToFit="1"/>
    </xf>
    <xf numFmtId="49" fontId="12" fillId="0" borderId="10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35" fillId="0" borderId="0" xfId="0" applyFont="1">
      <alignment vertical="center"/>
    </xf>
    <xf numFmtId="0" fontId="35" fillId="0" borderId="37" xfId="0" applyFont="1" applyBorder="1">
      <alignment vertical="center"/>
    </xf>
    <xf numFmtId="0" fontId="35" fillId="0" borderId="0" xfId="0" applyFont="1" applyAlignment="1">
      <alignment horizontal="left" vertical="center"/>
    </xf>
    <xf numFmtId="0" fontId="35" fillId="0" borderId="38" xfId="0" applyFont="1" applyBorder="1">
      <alignment vertical="center"/>
    </xf>
    <xf numFmtId="0" fontId="35" fillId="0" borderId="39" xfId="0" applyFont="1" applyBorder="1">
      <alignment vertical="center"/>
    </xf>
    <xf numFmtId="0" fontId="36" fillId="0" borderId="0" xfId="0" applyFont="1">
      <alignment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0" fontId="12" fillId="0" borderId="1" xfId="0" applyFont="1" applyBorder="1">
      <alignment vertical="center"/>
    </xf>
    <xf numFmtId="0" fontId="41" fillId="0" borderId="1" xfId="0" applyFont="1" applyBorder="1">
      <alignment vertical="center"/>
    </xf>
    <xf numFmtId="0" fontId="44" fillId="0" borderId="0" xfId="0" applyFont="1">
      <alignment vertical="center"/>
    </xf>
    <xf numFmtId="0" fontId="42" fillId="0" borderId="2" xfId="0" applyFont="1" applyBorder="1">
      <alignment vertical="center"/>
    </xf>
    <xf numFmtId="0" fontId="44" fillId="0" borderId="3" xfId="0" applyFont="1" applyBorder="1">
      <alignment vertical="center"/>
    </xf>
    <xf numFmtId="0" fontId="44" fillId="0" borderId="2" xfId="0" applyFont="1" applyBorder="1">
      <alignment vertical="center"/>
    </xf>
    <xf numFmtId="0" fontId="12" fillId="0" borderId="40" xfId="0" applyFont="1" applyBorder="1" applyAlignment="1">
      <alignment horizontal="left" vertical="center"/>
    </xf>
    <xf numFmtId="0" fontId="12" fillId="0" borderId="41" xfId="0" applyFont="1" applyBorder="1">
      <alignment vertical="center"/>
    </xf>
    <xf numFmtId="0" fontId="42" fillId="0" borderId="42" xfId="0" applyFont="1" applyBorder="1">
      <alignment vertical="center"/>
    </xf>
    <xf numFmtId="0" fontId="44" fillId="0" borderId="42" xfId="0" applyFont="1" applyBorder="1" applyAlignment="1">
      <alignment horizontal="left" vertical="center"/>
    </xf>
    <xf numFmtId="0" fontId="12" fillId="0" borderId="42" xfId="0" applyFont="1" applyBorder="1" applyAlignment="1">
      <alignment horizontal="left" vertical="center"/>
    </xf>
    <xf numFmtId="49" fontId="12" fillId="0" borderId="41" xfId="0" applyNumberFormat="1" applyFont="1" applyBorder="1">
      <alignment vertical="center"/>
    </xf>
    <xf numFmtId="49" fontId="12" fillId="0" borderId="43" xfId="0" applyNumberFormat="1" applyFont="1" applyBorder="1">
      <alignment vertical="center"/>
    </xf>
    <xf numFmtId="0" fontId="42" fillId="0" borderId="44" xfId="0" applyFont="1" applyBorder="1">
      <alignment vertical="center"/>
    </xf>
    <xf numFmtId="0" fontId="25" fillId="5" borderId="42" xfId="0" applyFont="1" applyFill="1" applyBorder="1" applyAlignment="1">
      <alignment horizontal="left" vertical="center"/>
    </xf>
    <xf numFmtId="0" fontId="44" fillId="0" borderId="42" xfId="0" applyFont="1" applyBorder="1">
      <alignment vertical="center"/>
    </xf>
    <xf numFmtId="0" fontId="12" fillId="0" borderId="7" xfId="0" applyFont="1" applyBorder="1">
      <alignment vertical="center"/>
    </xf>
    <xf numFmtId="0" fontId="42" fillId="0" borderId="41" xfId="0" applyFont="1" applyBorder="1">
      <alignment vertical="center"/>
    </xf>
    <xf numFmtId="0" fontId="42" fillId="0" borderId="40" xfId="0" applyFont="1" applyBorder="1">
      <alignment vertical="center"/>
    </xf>
    <xf numFmtId="0" fontId="44" fillId="0" borderId="0" xfId="0" applyFont="1" applyAlignment="1">
      <alignment horizontal="center"/>
    </xf>
    <xf numFmtId="0" fontId="44" fillId="0" borderId="0" xfId="0" applyFont="1" applyAlignment="1">
      <alignment horizontal="left"/>
    </xf>
    <xf numFmtId="0" fontId="45" fillId="0" borderId="0" xfId="0" applyFont="1">
      <alignment vertical="center"/>
    </xf>
    <xf numFmtId="0" fontId="46" fillId="0" borderId="0" xfId="0" applyFont="1" applyAlignment="1">
      <alignment horizontal="right"/>
    </xf>
    <xf numFmtId="0" fontId="12" fillId="0" borderId="0" xfId="0" applyFont="1" applyAlignment="1">
      <alignment horizontal="right" vertical="center"/>
    </xf>
    <xf numFmtId="0" fontId="17" fillId="0" borderId="45" xfId="0" applyFont="1" applyBorder="1" applyAlignment="1">
      <alignment horizontal="center" vertical="center"/>
    </xf>
    <xf numFmtId="0" fontId="17" fillId="0" borderId="45" xfId="0" applyFont="1" applyBorder="1">
      <alignment vertical="center"/>
    </xf>
    <xf numFmtId="0" fontId="17" fillId="0" borderId="5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0" fontId="47" fillId="0" borderId="0" xfId="0" applyFont="1">
      <alignment vertical="center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horizontal="left" vertical="center"/>
    </xf>
    <xf numFmtId="0" fontId="42" fillId="0" borderId="6" xfId="0" applyFont="1" applyBorder="1">
      <alignment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6" fillId="0" borderId="4" xfId="0" applyFont="1" applyBorder="1" applyAlignment="1">
      <alignment horizontal="center" vertical="center"/>
    </xf>
    <xf numFmtId="26" fontId="16" fillId="0" borderId="42" xfId="0" applyNumberFormat="1" applyFont="1" applyBorder="1" applyAlignment="1">
      <alignment horizontal="left" vertical="center"/>
    </xf>
    <xf numFmtId="0" fontId="12" fillId="0" borderId="42" xfId="0" applyFont="1" applyBorder="1">
      <alignment vertical="center"/>
    </xf>
    <xf numFmtId="26" fontId="16" fillId="0" borderId="0" xfId="0" applyNumberFormat="1" applyFont="1" applyAlignment="1">
      <alignment horizontal="left" vertical="center"/>
    </xf>
    <xf numFmtId="0" fontId="45" fillId="0" borderId="0" xfId="0" applyFont="1" applyAlignment="1">
      <alignment horizontal="center"/>
    </xf>
    <xf numFmtId="49" fontId="12" fillId="0" borderId="0" xfId="0" applyNumberFormat="1" applyFont="1">
      <alignment vertical="center"/>
    </xf>
    <xf numFmtId="180" fontId="24" fillId="0" borderId="4" xfId="2" applyNumberFormat="1" applyFont="1" applyFill="1" applyBorder="1" applyAlignment="1">
      <alignment horizontal="right" vertical="center"/>
    </xf>
    <xf numFmtId="1" fontId="24" fillId="0" borderId="4" xfId="2" applyNumberFormat="1" applyFont="1" applyFill="1" applyBorder="1" applyAlignment="1">
      <alignment horizontal="left" vertical="center"/>
    </xf>
    <xf numFmtId="177" fontId="24" fillId="0" borderId="42" xfId="2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center"/>
    </xf>
    <xf numFmtId="0" fontId="24" fillId="0" borderId="4" xfId="2" applyNumberFormat="1" applyFont="1" applyFill="1" applyBorder="1" applyAlignment="1">
      <alignment horizontal="right" vertical="center"/>
    </xf>
    <xf numFmtId="177" fontId="24" fillId="3" borderId="42" xfId="2" applyNumberFormat="1" applyFont="1" applyFill="1" applyBorder="1" applyAlignment="1">
      <alignment horizontal="right" vertical="center"/>
    </xf>
    <xf numFmtId="0" fontId="12" fillId="0" borderId="47" xfId="0" applyFont="1" applyBorder="1" applyAlignment="1">
      <alignment horizontal="left" vertical="center"/>
    </xf>
    <xf numFmtId="181" fontId="12" fillId="0" borderId="47" xfId="2" applyNumberFormat="1" applyFont="1" applyFill="1" applyBorder="1" applyAlignment="1">
      <alignment horizontal="left" vertical="center" indent="1"/>
    </xf>
    <xf numFmtId="182" fontId="24" fillId="0" borderId="47" xfId="0" applyNumberFormat="1" applyFont="1" applyBorder="1" applyAlignment="1">
      <alignment horizontal="left" vertical="center"/>
    </xf>
    <xf numFmtId="178" fontId="24" fillId="0" borderId="47" xfId="0" applyNumberFormat="1" applyFont="1" applyBorder="1" applyAlignment="1">
      <alignment horizontal="right" vertical="center"/>
    </xf>
    <xf numFmtId="0" fontId="12" fillId="0" borderId="0" xfId="0" quotePrefix="1" applyFont="1">
      <alignment vertical="center"/>
    </xf>
    <xf numFmtId="0" fontId="12" fillId="0" borderId="0" xfId="0" quotePrefix="1" applyFont="1" applyAlignment="1">
      <alignment horizontal="left" vertical="center"/>
    </xf>
    <xf numFmtId="26" fontId="12" fillId="0" borderId="0" xfId="0" applyNumberFormat="1" applyFont="1">
      <alignment vertical="center"/>
    </xf>
    <xf numFmtId="49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left"/>
    </xf>
    <xf numFmtId="183" fontId="12" fillId="0" borderId="0" xfId="0" applyNumberFormat="1" applyFont="1">
      <alignment vertical="center"/>
    </xf>
    <xf numFmtId="0" fontId="46" fillId="0" borderId="0" xfId="0" applyFont="1">
      <alignment vertical="center"/>
    </xf>
    <xf numFmtId="49" fontId="25" fillId="0" borderId="0" xfId="0" applyNumberFormat="1" applyFont="1">
      <alignment vertical="center"/>
    </xf>
    <xf numFmtId="0" fontId="25" fillId="0" borderId="0" xfId="0" applyFont="1" applyAlignment="1">
      <alignment horizontal="left" vertical="center"/>
    </xf>
    <xf numFmtId="49" fontId="25" fillId="5" borderId="0" xfId="0" applyNumberFormat="1" applyFont="1" applyFill="1" applyAlignment="1">
      <alignment horizontal="left" vertical="center"/>
    </xf>
    <xf numFmtId="49" fontId="25" fillId="0" borderId="0" xfId="0" applyNumberFormat="1" applyFont="1" applyAlignment="1">
      <alignment horizontal="left" vertical="center"/>
    </xf>
    <xf numFmtId="49" fontId="16" fillId="0" borderId="0" xfId="0" applyNumberFormat="1" applyFont="1" applyAlignment="1">
      <alignment horizontal="left" vertical="center"/>
    </xf>
    <xf numFmtId="0" fontId="16" fillId="0" borderId="0" xfId="0" applyFont="1">
      <alignment vertical="center"/>
    </xf>
    <xf numFmtId="49" fontId="42" fillId="0" borderId="0" xfId="0" applyNumberFormat="1" applyFont="1" applyAlignment="1">
      <alignment horizontal="right"/>
    </xf>
    <xf numFmtId="0" fontId="48" fillId="0" borderId="0" xfId="0" applyFont="1">
      <alignment vertical="center"/>
    </xf>
    <xf numFmtId="0" fontId="42" fillId="0" borderId="0" xfId="0" applyFont="1" applyAlignment="1">
      <alignment horizontal="center"/>
    </xf>
    <xf numFmtId="0" fontId="48" fillId="0" borderId="41" xfId="0" applyFont="1" applyBorder="1" applyAlignment="1">
      <alignment horizontal="left"/>
    </xf>
    <xf numFmtId="49" fontId="42" fillId="0" borderId="41" xfId="0" applyNumberFormat="1" applyFont="1" applyBorder="1" applyAlignment="1">
      <alignment horizontal="right"/>
    </xf>
    <xf numFmtId="49" fontId="42" fillId="0" borderId="0" xfId="0" applyNumberFormat="1" applyFont="1">
      <alignment vertical="center"/>
    </xf>
    <xf numFmtId="0" fontId="41" fillId="0" borderId="0" xfId="0" applyFont="1" applyAlignment="1">
      <alignment horizontal="center"/>
    </xf>
    <xf numFmtId="49" fontId="41" fillId="0" borderId="0" xfId="0" applyNumberFormat="1" applyFont="1">
      <alignment vertical="center"/>
    </xf>
    <xf numFmtId="49" fontId="0" fillId="0" borderId="0" xfId="0" applyNumberFormat="1" applyAlignment="1">
      <alignment horizontal="left" vertical="center"/>
    </xf>
    <xf numFmtId="49" fontId="49" fillId="0" borderId="0" xfId="0" applyNumberFormat="1" applyFont="1">
      <alignment vertical="center"/>
    </xf>
    <xf numFmtId="49" fontId="49" fillId="0" borderId="1" xfId="0" applyNumberFormat="1" applyFont="1" applyBorder="1" applyAlignment="1">
      <alignment horizontal="center" vertical="center"/>
    </xf>
    <xf numFmtId="49" fontId="49" fillId="0" borderId="1" xfId="0" applyNumberFormat="1" applyFont="1" applyBorder="1" applyAlignment="1">
      <alignment horizontal="left" vertical="center"/>
    </xf>
    <xf numFmtId="0" fontId="17" fillId="0" borderId="28" xfId="0" applyFont="1" applyBorder="1" applyAlignment="1">
      <alignment horizontal="center" vertical="center"/>
    </xf>
    <xf numFmtId="0" fontId="22" fillId="0" borderId="48" xfId="0" applyFont="1" applyBorder="1" applyAlignment="1">
      <alignment horizontal="center" vertical="center"/>
    </xf>
    <xf numFmtId="49" fontId="25" fillId="0" borderId="16" xfId="0" applyNumberFormat="1" applyFont="1" applyBorder="1">
      <alignment vertical="center"/>
    </xf>
    <xf numFmtId="0" fontId="17" fillId="0" borderId="0" xfId="0" applyFont="1">
      <alignment vertical="center"/>
    </xf>
    <xf numFmtId="49" fontId="50" fillId="0" borderId="0" xfId="0" applyNumberFormat="1" applyFont="1">
      <alignment vertical="center"/>
    </xf>
    <xf numFmtId="0" fontId="25" fillId="5" borderId="5" xfId="0" applyFont="1" applyFill="1" applyBorder="1" applyAlignment="1">
      <alignment horizontal="left" vertical="center"/>
    </xf>
    <xf numFmtId="1" fontId="12" fillId="0" borderId="5" xfId="0" applyNumberFormat="1" applyFont="1" applyBorder="1" applyAlignment="1">
      <alignment horizontal="center" vertical="center"/>
    </xf>
    <xf numFmtId="181" fontId="12" fillId="0" borderId="47" xfId="2" applyNumberFormat="1" applyFont="1" applyFill="1" applyBorder="1" applyAlignment="1">
      <alignment vertical="center"/>
    </xf>
    <xf numFmtId="0" fontId="12" fillId="0" borderId="47" xfId="0" applyFont="1" applyBorder="1">
      <alignment vertical="center"/>
    </xf>
    <xf numFmtId="1" fontId="12" fillId="0" borderId="12" xfId="0" applyNumberFormat="1" applyFont="1" applyBorder="1" applyAlignment="1">
      <alignment horizontal="center" vertical="center"/>
    </xf>
    <xf numFmtId="181" fontId="12" fillId="0" borderId="47" xfId="2" applyNumberFormat="1" applyFont="1" applyFill="1" applyBorder="1" applyAlignment="1">
      <alignment horizontal="right" vertical="center"/>
    </xf>
    <xf numFmtId="0" fontId="24" fillId="0" borderId="8" xfId="0" applyFont="1" applyBorder="1" applyAlignment="1">
      <alignment horizontal="left" vertical="center"/>
    </xf>
    <xf numFmtId="178" fontId="24" fillId="0" borderId="8" xfId="0" applyNumberFormat="1" applyFont="1" applyBorder="1" applyAlignment="1">
      <alignment horizontal="right" vertical="center"/>
    </xf>
    <xf numFmtId="177" fontId="12" fillId="0" borderId="8" xfId="0" applyNumberFormat="1" applyFont="1" applyBorder="1" applyAlignment="1">
      <alignment horizontal="right" vertical="center"/>
    </xf>
    <xf numFmtId="49" fontId="24" fillId="0" borderId="8" xfId="0" applyNumberFormat="1" applyFont="1" applyBorder="1" applyAlignment="1">
      <alignment horizontal="left" vertical="center"/>
    </xf>
    <xf numFmtId="0" fontId="24" fillId="0" borderId="8" xfId="0" applyFont="1" applyBorder="1" applyAlignment="1">
      <alignment vertical="center" wrapText="1"/>
    </xf>
    <xf numFmtId="0" fontId="24" fillId="0" borderId="8" xfId="0" applyFont="1" applyBorder="1" applyAlignment="1">
      <alignment horizontal="center" vertical="center" wrapText="1"/>
    </xf>
    <xf numFmtId="0" fontId="15" fillId="0" borderId="4" xfId="0" applyFont="1" applyBorder="1">
      <alignment vertical="center"/>
    </xf>
    <xf numFmtId="0" fontId="12" fillId="0" borderId="30" xfId="0" applyFont="1" applyBorder="1">
      <alignment vertical="center"/>
    </xf>
    <xf numFmtId="0" fontId="42" fillId="0" borderId="23" xfId="0" applyFont="1" applyBorder="1">
      <alignment vertical="center"/>
    </xf>
    <xf numFmtId="0" fontId="12" fillId="0" borderId="43" xfId="0" applyFont="1" applyBorder="1">
      <alignment vertical="center"/>
    </xf>
    <xf numFmtId="0" fontId="42" fillId="0" borderId="7" xfId="0" applyFont="1" applyBorder="1">
      <alignment vertical="center"/>
    </xf>
    <xf numFmtId="49" fontId="51" fillId="3" borderId="40" xfId="0" applyNumberFormat="1" applyFont="1" applyFill="1" applyBorder="1" applyAlignment="1">
      <alignment horizontal="left" vertical="center"/>
    </xf>
    <xf numFmtId="49" fontId="55" fillId="0" borderId="0" xfId="0" applyNumberFormat="1" applyFont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56" fillId="0" borderId="0" xfId="0" applyFont="1">
      <alignment vertical="center"/>
    </xf>
    <xf numFmtId="0" fontId="56" fillId="0" borderId="0" xfId="0" applyFont="1" applyAlignment="1">
      <alignment vertical="center" wrapText="1"/>
    </xf>
    <xf numFmtId="0" fontId="58" fillId="0" borderId="0" xfId="0" applyFont="1" applyAlignment="1">
      <alignment horizontal="center" vertical="center"/>
    </xf>
    <xf numFmtId="49" fontId="59" fillId="0" borderId="0" xfId="0" applyNumberFormat="1" applyFont="1" applyAlignment="1">
      <alignment horizontal="center" vertical="center"/>
    </xf>
    <xf numFmtId="49" fontId="59" fillId="0" borderId="6" xfId="0" applyNumberFormat="1" applyFont="1" applyBorder="1" applyAlignment="1">
      <alignment horizontal="center" vertical="center" wrapText="1"/>
    </xf>
    <xf numFmtId="0" fontId="60" fillId="0" borderId="6" xfId="0" applyFont="1" applyBorder="1" applyAlignment="1">
      <alignment horizontal="center" vertical="center" wrapText="1"/>
    </xf>
    <xf numFmtId="0" fontId="60" fillId="0" borderId="6" xfId="0" applyFont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1" fillId="3" borderId="53" xfId="0" applyFont="1" applyFill="1" applyBorder="1" applyAlignment="1">
      <alignment horizontal="center" vertical="center"/>
    </xf>
    <xf numFmtId="49" fontId="62" fillId="0" borderId="5" xfId="0" quotePrefix="1" applyNumberFormat="1" applyFont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 wrapText="1"/>
    </xf>
    <xf numFmtId="0" fontId="62" fillId="0" borderId="5" xfId="0" quotePrefix="1" applyFont="1" applyBorder="1" applyAlignment="1">
      <alignment horizontal="center" vertical="center" wrapText="1"/>
    </xf>
    <xf numFmtId="0" fontId="59" fillId="0" borderId="5" xfId="0" applyFont="1" applyBorder="1" applyAlignment="1">
      <alignment horizontal="center" vertical="center" wrapText="1"/>
    </xf>
    <xf numFmtId="0" fontId="60" fillId="0" borderId="5" xfId="0" applyFont="1" applyBorder="1" applyAlignment="1">
      <alignment horizontal="center" vertical="center" wrapText="1"/>
    </xf>
    <xf numFmtId="0" fontId="59" fillId="0" borderId="25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5" fillId="0" borderId="12" xfId="0" applyFont="1" applyBorder="1">
      <alignment vertical="center"/>
    </xf>
    <xf numFmtId="0" fontId="52" fillId="0" borderId="10" xfId="0" applyFont="1" applyBorder="1" applyAlignment="1">
      <alignment vertical="center" wrapText="1"/>
    </xf>
    <xf numFmtId="1" fontId="12" fillId="0" borderId="4" xfId="0" applyNumberFormat="1" applyFont="1" applyBorder="1" applyAlignment="1">
      <alignment horizontal="center" vertical="center"/>
    </xf>
    <xf numFmtId="49" fontId="25" fillId="3" borderId="29" xfId="0" applyNumberFormat="1" applyFont="1" applyFill="1" applyBorder="1">
      <alignment vertical="center"/>
    </xf>
    <xf numFmtId="49" fontId="33" fillId="0" borderId="4" xfId="0" applyNumberFormat="1" applyFont="1" applyBorder="1">
      <alignment vertical="center"/>
    </xf>
    <xf numFmtId="49" fontId="12" fillId="0" borderId="5" xfId="0" applyNumberFormat="1" applyFont="1" applyBorder="1" applyAlignment="1">
      <alignment horizontal="left" vertical="center"/>
    </xf>
    <xf numFmtId="0" fontId="12" fillId="0" borderId="5" xfId="0" applyFont="1" applyBorder="1">
      <alignment vertical="center"/>
    </xf>
    <xf numFmtId="0" fontId="0" fillId="0" borderId="43" xfId="0" applyBorder="1">
      <alignment vertical="center"/>
    </xf>
    <xf numFmtId="0" fontId="0" fillId="0" borderId="8" xfId="0" applyBorder="1">
      <alignment vertical="center"/>
    </xf>
    <xf numFmtId="0" fontId="12" fillId="0" borderId="49" xfId="0" applyFont="1" applyBorder="1" applyAlignment="1">
      <alignment horizontal="center" vertical="center"/>
    </xf>
    <xf numFmtId="177" fontId="12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180" fontId="12" fillId="0" borderId="5" xfId="2" applyNumberFormat="1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 wrapText="1"/>
    </xf>
    <xf numFmtId="179" fontId="24" fillId="0" borderId="8" xfId="0" applyNumberFormat="1" applyFont="1" applyBorder="1" applyAlignment="1">
      <alignment vertical="center" shrinkToFit="1"/>
    </xf>
    <xf numFmtId="49" fontId="24" fillId="0" borderId="8" xfId="0" quotePrefix="1" applyNumberFormat="1" applyFont="1" applyBorder="1" applyAlignment="1">
      <alignment horizontal="left" vertical="center"/>
    </xf>
    <xf numFmtId="0" fontId="49" fillId="0" borderId="11" xfId="0" applyFont="1" applyBorder="1">
      <alignment vertical="center"/>
    </xf>
    <xf numFmtId="6" fontId="12" fillId="0" borderId="5" xfId="12" applyFont="1" applyFill="1" applyBorder="1" applyAlignment="1">
      <alignment horizontal="right" vertical="center"/>
    </xf>
    <xf numFmtId="6" fontId="12" fillId="0" borderId="8" xfId="12" applyFont="1" applyFill="1" applyBorder="1" applyAlignment="1">
      <alignment horizontal="right" vertical="center"/>
    </xf>
    <xf numFmtId="0" fontId="24" fillId="0" borderId="12" xfId="0" applyFont="1" applyBorder="1" applyAlignment="1">
      <alignment horizontal="left" vertical="center"/>
    </xf>
    <xf numFmtId="179" fontId="24" fillId="0" borderId="12" xfId="0" applyNumberFormat="1" applyFont="1" applyBorder="1" applyAlignment="1">
      <alignment vertical="center" shrinkToFit="1"/>
    </xf>
    <xf numFmtId="0" fontId="25" fillId="3" borderId="5" xfId="0" applyFont="1" applyFill="1" applyBorder="1" applyAlignment="1">
      <alignment horizontal="left" vertical="center"/>
    </xf>
    <xf numFmtId="0" fontId="12" fillId="0" borderId="6" xfId="0" applyFont="1" applyBorder="1">
      <alignment vertical="center"/>
    </xf>
    <xf numFmtId="180" fontId="12" fillId="0" borderId="4" xfId="2" applyNumberFormat="1" applyFont="1" applyFill="1" applyBorder="1" applyAlignment="1">
      <alignment horizontal="center" vertical="center"/>
    </xf>
    <xf numFmtId="1" fontId="12" fillId="0" borderId="57" xfId="0" applyNumberFormat="1" applyFont="1" applyBorder="1" applyAlignment="1">
      <alignment horizontal="center" vertical="center"/>
    </xf>
    <xf numFmtId="177" fontId="12" fillId="0" borderId="6" xfId="0" applyNumberFormat="1" applyFont="1" applyBorder="1" applyAlignment="1">
      <alignment horizontal="center" vertical="center"/>
    </xf>
    <xf numFmtId="6" fontId="12" fillId="0" borderId="4" xfId="12" applyFont="1" applyFill="1" applyBorder="1" applyAlignment="1">
      <alignment horizontal="right" vertical="center"/>
    </xf>
    <xf numFmtId="0" fontId="12" fillId="0" borderId="55" xfId="0" applyFont="1" applyBorder="1">
      <alignment vertical="center"/>
    </xf>
    <xf numFmtId="0" fontId="12" fillId="0" borderId="58" xfId="0" applyFont="1" applyBorder="1" applyAlignment="1">
      <alignment horizontal="center" vertical="center"/>
    </xf>
    <xf numFmtId="0" fontId="25" fillId="5" borderId="10" xfId="0" applyFont="1" applyFill="1" applyBorder="1" applyAlignment="1">
      <alignment horizontal="left" vertical="center"/>
    </xf>
    <xf numFmtId="0" fontId="12" fillId="0" borderId="58" xfId="0" applyFont="1" applyBorder="1">
      <alignment vertical="center"/>
    </xf>
    <xf numFmtId="176" fontId="12" fillId="0" borderId="58" xfId="0" applyNumberFormat="1" applyFont="1" applyBorder="1" applyAlignment="1">
      <alignment horizontal="right" vertical="center"/>
    </xf>
    <xf numFmtId="177" fontId="12" fillId="0" borderId="52" xfId="0" applyNumberFormat="1" applyFont="1" applyBorder="1">
      <alignment vertical="center"/>
    </xf>
    <xf numFmtId="49" fontId="33" fillId="0" borderId="4" xfId="0" applyNumberFormat="1" applyFont="1" applyBorder="1" applyAlignment="1">
      <alignment horizontal="left" vertical="center"/>
    </xf>
    <xf numFmtId="0" fontId="31" fillId="0" borderId="50" xfId="0" applyFont="1" applyBorder="1" applyAlignment="1">
      <alignment horizontal="left" vertical="center"/>
    </xf>
    <xf numFmtId="49" fontId="24" fillId="0" borderId="51" xfId="0" applyNumberFormat="1" applyFont="1" applyBorder="1" applyAlignment="1">
      <alignment horizontal="left" vertical="center"/>
    </xf>
    <xf numFmtId="49" fontId="29" fillId="0" borderId="7" xfId="0" quotePrefix="1" applyNumberFormat="1" applyFont="1" applyBorder="1" applyAlignment="1">
      <alignment horizontal="left" vertical="center"/>
    </xf>
    <xf numFmtId="0" fontId="24" fillId="0" borderId="4" xfId="0" applyFont="1" applyBorder="1" applyAlignment="1">
      <alignment horizontal="left" vertical="center"/>
    </xf>
    <xf numFmtId="179" fontId="24" fillId="0" borderId="4" xfId="0" applyNumberFormat="1" applyFont="1" applyBorder="1" applyAlignment="1">
      <alignment vertical="center" shrinkToFit="1"/>
    </xf>
    <xf numFmtId="179" fontId="24" fillId="0" borderId="4" xfId="0" applyNumberFormat="1" applyFont="1" applyBorder="1" applyAlignment="1">
      <alignment horizontal="center" vertical="center" shrinkToFit="1"/>
    </xf>
    <xf numFmtId="184" fontId="33" fillId="0" borderId="4" xfId="0" applyNumberFormat="1" applyFont="1" applyBorder="1" applyAlignment="1">
      <alignment horizontal="center" vertical="center"/>
    </xf>
    <xf numFmtId="49" fontId="33" fillId="0" borderId="4" xfId="0" applyNumberFormat="1" applyFont="1" applyBorder="1" applyAlignment="1">
      <alignment horizontal="center" vertical="center"/>
    </xf>
    <xf numFmtId="49" fontId="24" fillId="0" borderId="4" xfId="0" quotePrefix="1" applyNumberFormat="1" applyFont="1" applyBorder="1" applyAlignment="1">
      <alignment horizontal="left" vertical="center"/>
    </xf>
    <xf numFmtId="49" fontId="24" fillId="6" borderId="20" xfId="0" quotePrefix="1" applyNumberFormat="1" applyFont="1" applyFill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/>
    </xf>
    <xf numFmtId="179" fontId="12" fillId="0" borderId="20" xfId="0" applyNumberFormat="1" applyFont="1" applyBorder="1" applyAlignment="1">
      <alignment vertical="center" shrinkToFit="1"/>
    </xf>
    <xf numFmtId="179" fontId="12" fillId="0" borderId="20" xfId="0" applyNumberFormat="1" applyFont="1" applyBorder="1" applyAlignment="1">
      <alignment horizontal="center" vertical="center"/>
    </xf>
    <xf numFmtId="1" fontId="12" fillId="0" borderId="20" xfId="0" applyNumberFormat="1" applyFont="1" applyBorder="1" applyAlignment="1">
      <alignment horizontal="center" vertical="center"/>
    </xf>
    <xf numFmtId="177" fontId="12" fillId="0" borderId="20" xfId="0" applyNumberFormat="1" applyFont="1" applyBorder="1" applyAlignment="1">
      <alignment horizontal="right" vertical="center"/>
    </xf>
    <xf numFmtId="56" fontId="15" fillId="0" borderId="11" xfId="0" applyNumberFormat="1" applyFont="1" applyBorder="1" applyAlignment="1">
      <alignment horizontal="center" vertical="center"/>
    </xf>
    <xf numFmtId="180" fontId="24" fillId="0" borderId="47" xfId="0" applyNumberFormat="1" applyFont="1" applyBorder="1" applyAlignment="1">
      <alignment horizontal="right" vertical="center"/>
    </xf>
    <xf numFmtId="49" fontId="33" fillId="0" borderId="12" xfId="0" applyNumberFormat="1" applyFont="1" applyBorder="1" applyAlignment="1">
      <alignment horizontal="left" vertical="center"/>
    </xf>
    <xf numFmtId="49" fontId="29" fillId="0" borderId="51" xfId="0" quotePrefix="1" applyNumberFormat="1" applyFont="1" applyBorder="1" applyAlignment="1">
      <alignment horizontal="left" vertical="center"/>
    </xf>
    <xf numFmtId="49" fontId="26" fillId="0" borderId="56" xfId="0" quotePrefix="1" applyNumberFormat="1" applyFont="1" applyBorder="1" applyAlignment="1">
      <alignment horizontal="left" vertical="center"/>
    </xf>
    <xf numFmtId="0" fontId="24" fillId="6" borderId="11" xfId="0" applyFont="1" applyFill="1" applyBorder="1" applyAlignment="1">
      <alignment horizontal="left" vertical="center"/>
    </xf>
    <xf numFmtId="0" fontId="30" fillId="0" borderId="10" xfId="0" applyFont="1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6" xfId="0" applyBorder="1">
      <alignment vertical="center"/>
    </xf>
    <xf numFmtId="0" fontId="17" fillId="0" borderId="59" xfId="0" applyFont="1" applyBorder="1">
      <alignment vertical="center"/>
    </xf>
    <xf numFmtId="0" fontId="22" fillId="0" borderId="16" xfId="0" applyFont="1" applyBorder="1" applyAlignment="1">
      <alignment horizontal="center" vertical="center"/>
    </xf>
    <xf numFmtId="49" fontId="33" fillId="0" borderId="24" xfId="0" applyNumberFormat="1" applyFont="1" applyBorder="1">
      <alignment vertical="center"/>
    </xf>
    <xf numFmtId="0" fontId="0" fillId="0" borderId="54" xfId="0" applyBorder="1">
      <alignment vertical="center"/>
    </xf>
    <xf numFmtId="0" fontId="22" fillId="0" borderId="60" xfId="0" applyFont="1" applyBorder="1" applyAlignment="1">
      <alignment horizontal="center" vertical="center"/>
    </xf>
    <xf numFmtId="0" fontId="49" fillId="0" borderId="10" xfId="0" applyFont="1" applyBorder="1">
      <alignment vertical="center"/>
    </xf>
    <xf numFmtId="0" fontId="12" fillId="0" borderId="0" xfId="0" applyFont="1" applyAlignment="1">
      <alignment horizontal="left" vertical="center"/>
    </xf>
    <xf numFmtId="0" fontId="37" fillId="0" borderId="0" xfId="0" applyFont="1" applyAlignment="1">
      <alignment horizontal="center" vertical="center"/>
    </xf>
    <xf numFmtId="0" fontId="12" fillId="0" borderId="40" xfId="0" applyFont="1" applyBorder="1" applyAlignment="1">
      <alignment horizontal="left" vertical="center"/>
    </xf>
    <xf numFmtId="0" fontId="12" fillId="0" borderId="41" xfId="0" applyFont="1" applyBorder="1" applyAlignment="1">
      <alignment horizontal="left" vertical="center"/>
    </xf>
    <xf numFmtId="0" fontId="12" fillId="0" borderId="43" xfId="0" applyFont="1" applyBorder="1" applyAlignment="1">
      <alignment horizontal="left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181" fontId="24" fillId="0" borderId="47" xfId="2" applyNumberFormat="1" applyFont="1" applyFill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49" fontId="25" fillId="3" borderId="28" xfId="0" applyNumberFormat="1" applyFont="1" applyFill="1" applyBorder="1" applyAlignment="1">
      <alignment horizontal="center" vertical="center"/>
    </xf>
    <xf numFmtId="49" fontId="25" fillId="3" borderId="29" xfId="0" applyNumberFormat="1" applyFont="1" applyFill="1" applyBorder="1" applyAlignment="1">
      <alignment horizontal="center" vertical="center"/>
    </xf>
    <xf numFmtId="49" fontId="25" fillId="3" borderId="31" xfId="0" applyNumberFormat="1" applyFont="1" applyFill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59" fillId="0" borderId="35" xfId="0" applyFont="1" applyBorder="1" applyAlignment="1">
      <alignment horizontal="center" vertical="center"/>
    </xf>
    <xf numFmtId="0" fontId="59" fillId="0" borderId="30" xfId="0" applyFont="1" applyBorder="1" applyAlignment="1">
      <alignment horizontal="center" vertical="center"/>
    </xf>
    <xf numFmtId="0" fontId="59" fillId="0" borderId="32" xfId="0" applyFont="1" applyBorder="1" applyAlignment="1">
      <alignment horizontal="center" vertical="center"/>
    </xf>
    <xf numFmtId="49" fontId="49" fillId="0" borderId="0" xfId="0" applyNumberFormat="1" applyFont="1" applyAlignment="1">
      <alignment horizontal="center" vertical="center"/>
    </xf>
  </cellXfs>
  <cellStyles count="23">
    <cellStyle name="ハイパーリンク" xfId="1" builtinId="8"/>
    <cellStyle name="桁区切り" xfId="2" builtinId="6"/>
    <cellStyle name="桁区切り 2" xfId="3" xr:uid="{00000000-0005-0000-0000-000003000000}"/>
    <cellStyle name="桁区切り 2 2" xfId="15" xr:uid="{5C61111C-F371-4C81-86F9-BD520FFF074B}"/>
    <cellStyle name="桁区切り 3" xfId="14" xr:uid="{EBDFF5AB-3281-49C2-BE29-95A7DE61883D}"/>
    <cellStyle name="通貨" xfId="12" builtinId="7"/>
    <cellStyle name="通貨 2" xfId="21" xr:uid="{4D8042EF-C2FB-4F13-B13F-A7268521ABE0}"/>
    <cellStyle name="標準" xfId="0" builtinId="0"/>
    <cellStyle name="標準 2" xfId="4" xr:uid="{00000000-0005-0000-0000-000006000000}"/>
    <cellStyle name="標準 3" xfId="5" xr:uid="{00000000-0005-0000-0000-000007000000}"/>
    <cellStyle name="標準 4" xfId="6" xr:uid="{ACAB8A87-129D-420D-873C-108EB08CBDC7}"/>
    <cellStyle name="標準 4 2" xfId="7" xr:uid="{8A689DF7-0F38-48DF-A2E1-2578A44E0094}"/>
    <cellStyle name="標準 4 2 2" xfId="8" xr:uid="{C85A73DC-9311-4595-A34D-F27B3BFB3CEC}"/>
    <cellStyle name="標準 4 2 2 2" xfId="9" xr:uid="{61A41DB0-3BE9-4094-A5C1-CF005F445984}"/>
    <cellStyle name="標準 4 2 2 2 2" xfId="11" xr:uid="{73C9D90A-4087-4C89-AF2C-7BEE2C949CD1}"/>
    <cellStyle name="標準 4 2 2 2 2 2" xfId="13" xr:uid="{3602255E-FDAE-4EBA-BE0C-A4E749982C91}"/>
    <cellStyle name="標準 4 2 2 2 2 2 2" xfId="22" xr:uid="{C9681A79-8DB9-4923-AC08-74016E8964C8}"/>
    <cellStyle name="標準 4 2 2 2 2 3" xfId="20" xr:uid="{0F0F1EE8-60DC-4201-88DA-0E5D2C3DA7CF}"/>
    <cellStyle name="標準 4 2 2 2 3" xfId="19" xr:uid="{B4B96B00-34DE-4F00-81C0-E2190B3DD9B8}"/>
    <cellStyle name="標準 4 2 2 3" xfId="18" xr:uid="{832B135B-3CE4-4BE8-A0AC-DAB11A01B489}"/>
    <cellStyle name="標準 4 2 3" xfId="17" xr:uid="{FAF3DCF3-6224-4D5A-A3BB-D57E83C8056A}"/>
    <cellStyle name="標準 4 3" xfId="16" xr:uid="{825A816A-F86A-4057-90C0-6F16609CFDBB}"/>
    <cellStyle name="標準 5" xfId="10" xr:uid="{2B9876AE-5E37-473F-9835-F480CAEC330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jp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64770</xdr:colOff>
      <xdr:row>36</xdr:row>
      <xdr:rowOff>112395</xdr:rowOff>
    </xdr:from>
    <xdr:to>
      <xdr:col>12</xdr:col>
      <xdr:colOff>645795</xdr:colOff>
      <xdr:row>44</xdr:row>
      <xdr:rowOff>150495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41F035-D532-48E0-AF4E-B54806D7D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54120" y="6652895"/>
          <a:ext cx="3190875" cy="142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1127125</xdr:colOff>
      <xdr:row>3</xdr:row>
      <xdr:rowOff>111125</xdr:rowOff>
    </xdr:from>
    <xdr:to>
      <xdr:col>6</xdr:col>
      <xdr:colOff>8159995</xdr:colOff>
      <xdr:row>3</xdr:row>
      <xdr:rowOff>5111750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91B642B-D115-92EC-EC58-E05864B598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94"/>
        <a:stretch>
          <a:fillRect/>
        </a:stretch>
      </xdr:blipFill>
      <xdr:spPr>
        <a:xfrm>
          <a:off x="16954500" y="5143500"/>
          <a:ext cx="7032870" cy="5000625"/>
        </a:xfrm>
        <a:prstGeom prst="rect">
          <a:avLst/>
        </a:prstGeom>
      </xdr:spPr>
    </xdr:pic>
    <xdr:clientData/>
  </xdr:twoCellAnchor>
  <xdr:twoCellAnchor editAs="oneCell">
    <xdr:from>
      <xdr:col>6</xdr:col>
      <xdr:colOff>38874</xdr:colOff>
      <xdr:row>4</xdr:row>
      <xdr:rowOff>594500</xdr:rowOff>
    </xdr:from>
    <xdr:to>
      <xdr:col>6</xdr:col>
      <xdr:colOff>9509125</xdr:colOff>
      <xdr:row>4</xdr:row>
      <xdr:rowOff>3614268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2870A25E-CDBF-FCB6-4386-D15B7A1D5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66249" y="10833875"/>
          <a:ext cx="9470251" cy="3019768"/>
        </a:xfrm>
        <a:prstGeom prst="rect">
          <a:avLst/>
        </a:prstGeom>
      </xdr:spPr>
    </xdr:pic>
    <xdr:clientData/>
  </xdr:twoCellAnchor>
  <xdr:twoCellAnchor editAs="oneCell">
    <xdr:from>
      <xdr:col>6</xdr:col>
      <xdr:colOff>1665249</xdr:colOff>
      <xdr:row>2</xdr:row>
      <xdr:rowOff>238124</xdr:rowOff>
    </xdr:from>
    <xdr:to>
      <xdr:col>6</xdr:col>
      <xdr:colOff>9017000</xdr:colOff>
      <xdr:row>2</xdr:row>
      <xdr:rowOff>3225730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51E0861F-EAFA-AB81-54F5-066E854E17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905" b="14358"/>
        <a:stretch>
          <a:fillRect/>
        </a:stretch>
      </xdr:blipFill>
      <xdr:spPr>
        <a:xfrm>
          <a:off x="17492624" y="1746249"/>
          <a:ext cx="7351751" cy="2987606"/>
        </a:xfrm>
        <a:prstGeom prst="rect">
          <a:avLst/>
        </a:prstGeom>
      </xdr:spPr>
    </xdr:pic>
    <xdr:clientData/>
  </xdr:twoCellAnchor>
  <xdr:twoCellAnchor>
    <xdr:from>
      <xdr:col>6</xdr:col>
      <xdr:colOff>1444625</xdr:colOff>
      <xdr:row>3</xdr:row>
      <xdr:rowOff>206375</xdr:rowOff>
    </xdr:from>
    <xdr:to>
      <xdr:col>6</xdr:col>
      <xdr:colOff>3937000</xdr:colOff>
      <xdr:row>3</xdr:row>
      <xdr:rowOff>444500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147B706C-924B-0F51-2DDD-B56C78DC76C2}"/>
            </a:ext>
          </a:extLst>
        </xdr:cNvPr>
        <xdr:cNvSpPr/>
      </xdr:nvSpPr>
      <xdr:spPr bwMode="auto">
        <a:xfrm>
          <a:off x="17272000" y="5238750"/>
          <a:ext cx="2492375" cy="238125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142875</xdr:colOff>
      <xdr:row>4</xdr:row>
      <xdr:rowOff>349250</xdr:rowOff>
    </xdr:from>
    <xdr:to>
      <xdr:col>6</xdr:col>
      <xdr:colOff>2921000</xdr:colOff>
      <xdr:row>4</xdr:row>
      <xdr:rowOff>1238250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15D8F46D-71CE-4D7A-D4BA-C81153595875}"/>
            </a:ext>
          </a:extLst>
        </xdr:cNvPr>
        <xdr:cNvSpPr/>
      </xdr:nvSpPr>
      <xdr:spPr bwMode="auto">
        <a:xfrm>
          <a:off x="15970250" y="10588625"/>
          <a:ext cx="2778125" cy="889000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about:blank" TargetMode="External"/><Relationship Id="rId1" Type="http://schemas.openxmlformats.org/officeDocument/2006/relationships/externalLinkPath" Target="about:blank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HUNYA-SHARING\disk\&#32299;&#35069;&#20181;&#27096;&#26360;\&#22826;&#30000;\&#36664;&#20986;\SY-5800906-VT-DD-01%20.xlsx" TargetMode="External"/><Relationship Id="rId1" Type="http://schemas.openxmlformats.org/officeDocument/2006/relationships/externalLinkPath" Target="file:///C:\Users\19544\Downloads\SY-5800906-VT-DD-01%2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9544\Downloads\SY-4T601005-VT-DD-01%20(4).xlsx" TargetMode="External"/><Relationship Id="rId1" Type="http://schemas.openxmlformats.org/officeDocument/2006/relationships/externalLinkPath" Target="file:///\\10.251.98.9\fileshare\Users\19544\Downloads\SY-4T601005-VT-DD-01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縫製仕様書1-1"/>
      <sheetName val="縫製仕様書-1-2"/>
      <sheetName val="布帛"/>
      <sheetName val="縫製仕様書-2-1"/>
      <sheetName val="縫製仕様書-2-2 "/>
      <sheetName val="ネーム・品質"/>
      <sheetName val="shipper master"/>
      <sheetName val="invoice"/>
      <sheetName val="case mark"/>
      <sheetName val="NARITA"/>
      <sheetName val="LABEL"/>
      <sheetName val="inst"/>
      <sheetName val="goods master"/>
      <sheetName val="UNDER VALUE(SHUNYA)"/>
      <sheetName val="CC(Shunya)) (2)"/>
      <sheetName val="CC(Shunya))"/>
    </sheetNames>
    <sheetDataSet>
      <sheetData sheetId="0"/>
      <sheetData sheetId="1">
        <row r="5">
          <cell r="C5" t="str">
            <v>COTDJK</v>
          </cell>
        </row>
      </sheetData>
      <sheetData sheetId="2"/>
      <sheetData sheetId="3"/>
      <sheetData sheetId="4"/>
      <sheetData sheetId="5"/>
      <sheetData sheetId="6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  <row r="50">
          <cell r="C50" t="str">
            <v xml:space="preserve">VIVAN GARMENTS VIET NAM </v>
          </cell>
        </row>
        <row r="51">
          <cell r="C51" t="str">
            <v xml:space="preserve"> COMPANY LIMITED</v>
          </cell>
        </row>
        <row r="52">
          <cell r="C52" t="str">
            <v xml:space="preserve"> HOCHIMINH-CITY, VIETNAM</v>
          </cell>
        </row>
        <row r="54">
          <cell r="C54" t="str">
            <v xml:space="preserve"> MADE IN JAPAN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case mark "/>
      <sheetName val="invoice"/>
      <sheetName val="NARITA "/>
      <sheetName val="LABEL"/>
    </sheetNames>
    <sheetDataSet>
      <sheetData sheetId="0">
        <row r="2">
          <cell r="C2" t="str">
            <v xml:space="preserve"> SHUNYA CO., LTD.</v>
          </cell>
        </row>
        <row r="3">
          <cell r="C3" t="str">
            <v xml:space="preserve"> KENSHIN BLDG., 1F, 1-22-10 DOUGENZAKA,</v>
          </cell>
        </row>
        <row r="4">
          <cell r="C4" t="str">
            <v xml:space="preserve"> SHIBUYA-KU 150-0043</v>
          </cell>
        </row>
        <row r="5">
          <cell r="C5" t="str">
            <v xml:space="preserve"> TEL : +81(0)3-5459-1177</v>
          </cell>
        </row>
        <row r="9">
          <cell r="C9" t="str">
            <v>VIVAN GARMENTS VIET NAM COMPANY LIMITED</v>
          </cell>
        </row>
        <row r="10">
          <cell r="C10" t="str">
            <v>D17 Street , Sai Gon South Residential Area</v>
          </cell>
        </row>
        <row r="11">
          <cell r="C11" t="str">
            <v>Hamlet 3 , Long Hau Commune , Can Giuoc District,</v>
          </cell>
        </row>
        <row r="12">
          <cell r="C12" t="str">
            <v xml:space="preserve"> Long An Province , VietNam</v>
          </cell>
        </row>
        <row r="13">
          <cell r="C13" t="str">
            <v xml:space="preserve"> TEL : ( 084 ) 097 22 00 798  ATTN : MR. TUAN</v>
          </cell>
        </row>
        <row r="15">
          <cell r="C15" t="str">
            <v xml:space="preserve"> - SAME AS BUYER -</v>
          </cell>
        </row>
        <row r="21">
          <cell r="C21" t="str">
            <v xml:space="preserve"> NO COMMERCIAL</v>
          </cell>
        </row>
        <row r="24">
          <cell r="C24" t="str">
            <v xml:space="preserve"> AIRCRAFT</v>
          </cell>
        </row>
        <row r="32">
          <cell r="C32" t="str">
            <v xml:space="preserve"> TOKYO, JAPAN</v>
          </cell>
        </row>
        <row r="33">
          <cell r="C33" t="str">
            <v xml:space="preserve"> HOCHIMINH-CITY, VIETNAM</v>
          </cell>
        </row>
        <row r="36">
          <cell r="C36" t="str">
            <v>FABRIC &amp; PARTS FOR WEAR &amp; SAMPLE CLOTHES</v>
          </cell>
        </row>
        <row r="38">
          <cell r="C38" t="str">
            <v>- DETAILS AS PER ATTACHED SHEET -</v>
          </cell>
        </row>
        <row r="48">
          <cell r="C48" t="str">
            <v>F.O.B. TOKYO IN YEN</v>
          </cell>
        </row>
        <row r="60">
          <cell r="C60" t="str">
            <v>COUNTRY OF ORIGIN : JAPAN</v>
          </cell>
        </row>
        <row r="63">
          <cell r="C63" t="str">
            <v>" THESE GOODS WILL BE RETURN TO JAPAN</v>
          </cell>
        </row>
        <row r="64">
          <cell r="C64" t="str">
            <v xml:space="preserve">  AFTER MANUFACTURED AT VIET NAM "</v>
          </cell>
        </row>
      </sheetData>
      <sheetData sheetId="1"/>
      <sheetData sheetId="2"/>
      <sheetData sheetId="3">
        <row r="28">
          <cell r="F28" t="str">
            <v>M.</v>
          </cell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 (2)"/>
      <sheetName val="NARITA"/>
      <sheetName val="NARITA (2)"/>
      <sheetName val="サンプル製品カタログ"/>
      <sheetName val="LABEL"/>
      <sheetName val="LABEL②"/>
    </sheetNames>
    <sheetDataSet>
      <sheetData sheetId="0"/>
      <sheetData sheetId="1">
        <row r="24">
          <cell r="B24" t="str">
            <v>FABRIC &amp; PARTS FOR WEAR &amp; SAMPLE CLOTHES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49"/>
  <sheetViews>
    <sheetView workbookViewId="0">
      <selection activeCell="E12" sqref="E12"/>
    </sheetView>
  </sheetViews>
  <sheetFormatPr defaultColWidth="9" defaultRowHeight="12.5"/>
  <cols>
    <col min="1" max="1" width="3.90625" style="7" customWidth="1"/>
    <col min="2" max="2" width="21.36328125" style="3" customWidth="1"/>
    <col min="3" max="3" width="63.08984375" style="2" customWidth="1"/>
    <col min="4" max="16384" width="9" style="1"/>
  </cols>
  <sheetData>
    <row r="1" spans="1:3" s="3" customFormat="1" ht="25.5" customHeight="1">
      <c r="A1" s="7">
        <v>1</v>
      </c>
      <c r="B1" s="7" t="s">
        <v>1</v>
      </c>
      <c r="C1" s="2" t="s">
        <v>0</v>
      </c>
    </row>
    <row r="2" spans="1:3" s="8" customFormat="1">
      <c r="A2" s="7">
        <f>A1+1</f>
        <v>2</v>
      </c>
      <c r="B2" s="4" t="s">
        <v>5</v>
      </c>
      <c r="C2" s="4" t="s">
        <v>65</v>
      </c>
    </row>
    <row r="3" spans="1:3">
      <c r="A3" s="7">
        <f>A2+1</f>
        <v>3</v>
      </c>
      <c r="B3" s="4" t="s">
        <v>3</v>
      </c>
      <c r="C3" s="2" t="s">
        <v>66</v>
      </c>
    </row>
    <row r="4" spans="1:3">
      <c r="A4" s="7">
        <f t="shared" ref="A4:A68" si="0">A3+1</f>
        <v>4</v>
      </c>
      <c r="B4" s="4" t="s">
        <v>2</v>
      </c>
      <c r="C4" s="2" t="s">
        <v>67</v>
      </c>
    </row>
    <row r="5" spans="1:3" s="8" customFormat="1">
      <c r="A5" s="7">
        <f t="shared" si="0"/>
        <v>5</v>
      </c>
      <c r="B5" s="4" t="s">
        <v>4</v>
      </c>
      <c r="C5" s="4" t="s">
        <v>68</v>
      </c>
    </row>
    <row r="6" spans="1:3" s="8" customFormat="1">
      <c r="A6" s="7">
        <f t="shared" si="0"/>
        <v>6</v>
      </c>
      <c r="B6" s="4" t="s">
        <v>6</v>
      </c>
      <c r="C6" s="3"/>
    </row>
    <row r="7" spans="1:3" s="8" customFormat="1">
      <c r="A7" s="7">
        <f t="shared" si="0"/>
        <v>7</v>
      </c>
      <c r="B7" s="4" t="s">
        <v>7</v>
      </c>
      <c r="C7" s="4"/>
    </row>
    <row r="8" spans="1:3" s="8" customFormat="1">
      <c r="A8" s="7">
        <f t="shared" si="0"/>
        <v>8</v>
      </c>
      <c r="B8" s="4" t="s">
        <v>8</v>
      </c>
      <c r="C8" s="4"/>
    </row>
    <row r="9" spans="1:3" s="8" customFormat="1">
      <c r="A9" s="7">
        <f t="shared" si="0"/>
        <v>9</v>
      </c>
      <c r="B9" s="9" t="s">
        <v>76</v>
      </c>
      <c r="C9" s="4" t="s">
        <v>100</v>
      </c>
    </row>
    <row r="10" spans="1:3" s="8" customFormat="1">
      <c r="A10" s="7">
        <f t="shared" si="0"/>
        <v>10</v>
      </c>
      <c r="B10" s="9" t="s">
        <v>77</v>
      </c>
      <c r="C10" s="4" t="s">
        <v>142</v>
      </c>
    </row>
    <row r="11" spans="1:3" s="8" customFormat="1">
      <c r="A11" s="7">
        <f t="shared" si="0"/>
        <v>11</v>
      </c>
      <c r="B11" s="9" t="s">
        <v>78</v>
      </c>
      <c r="C11" s="2" t="s">
        <v>101</v>
      </c>
    </row>
    <row r="12" spans="1:3" s="8" customFormat="1">
      <c r="A12" s="7">
        <f t="shared" si="0"/>
        <v>12</v>
      </c>
      <c r="B12" s="9" t="s">
        <v>79</v>
      </c>
      <c r="C12" s="2" t="s">
        <v>102</v>
      </c>
    </row>
    <row r="13" spans="1:3" s="8" customFormat="1">
      <c r="A13" s="7">
        <f t="shared" si="0"/>
        <v>13</v>
      </c>
      <c r="B13" s="9" t="s">
        <v>9</v>
      </c>
      <c r="C13" s="3" t="s">
        <v>105</v>
      </c>
    </row>
    <row r="14" spans="1:3" s="8" customFormat="1" ht="13.5">
      <c r="A14" s="7">
        <f t="shared" si="0"/>
        <v>14</v>
      </c>
      <c r="B14" s="9" t="s">
        <v>10</v>
      </c>
      <c r="C14" s="12"/>
    </row>
    <row r="15" spans="1:3" s="8" customFormat="1">
      <c r="A15" s="7">
        <f t="shared" si="0"/>
        <v>15</v>
      </c>
      <c r="B15" s="4" t="s">
        <v>11</v>
      </c>
      <c r="C15" s="4" t="s">
        <v>69</v>
      </c>
    </row>
    <row r="16" spans="1:3" s="8" customFormat="1">
      <c r="A16" s="7">
        <f t="shared" si="0"/>
        <v>16</v>
      </c>
      <c r="B16" s="4" t="s">
        <v>12</v>
      </c>
      <c r="C16" s="2"/>
    </row>
    <row r="17" spans="1:3" s="8" customFormat="1">
      <c r="A17" s="7">
        <f t="shared" si="0"/>
        <v>17</v>
      </c>
      <c r="B17" s="4" t="s">
        <v>13</v>
      </c>
      <c r="C17" s="2"/>
    </row>
    <row r="18" spans="1:3" s="8" customFormat="1">
      <c r="A18" s="7">
        <f t="shared" si="0"/>
        <v>18</v>
      </c>
      <c r="B18" s="4" t="s">
        <v>14</v>
      </c>
      <c r="C18" s="3"/>
    </row>
    <row r="19" spans="1:3" s="8" customFormat="1">
      <c r="A19" s="7">
        <f t="shared" si="0"/>
        <v>19</v>
      </c>
      <c r="B19" s="4" t="s">
        <v>15</v>
      </c>
      <c r="C19" s="4"/>
    </row>
    <row r="20" spans="1:3" s="8" customFormat="1">
      <c r="A20" s="7">
        <f t="shared" si="0"/>
        <v>20</v>
      </c>
      <c r="B20" s="4" t="s">
        <v>16</v>
      </c>
      <c r="C20" s="4"/>
    </row>
    <row r="21" spans="1:3" s="8" customFormat="1">
      <c r="A21" s="7">
        <f t="shared" si="0"/>
        <v>21</v>
      </c>
      <c r="B21" s="4" t="s">
        <v>10</v>
      </c>
      <c r="C21" s="10" t="s">
        <v>84</v>
      </c>
    </row>
    <row r="22" spans="1:3" s="8" customFormat="1">
      <c r="A22" s="7">
        <f t="shared" si="0"/>
        <v>22</v>
      </c>
      <c r="B22" s="4" t="s">
        <v>17</v>
      </c>
      <c r="C22" s="10"/>
    </row>
    <row r="23" spans="1:3" s="8" customFormat="1">
      <c r="A23" s="7">
        <f t="shared" si="0"/>
        <v>23</v>
      </c>
      <c r="B23" s="4" t="s">
        <v>18</v>
      </c>
      <c r="C23" s="10"/>
    </row>
    <row r="24" spans="1:3" s="8" customFormat="1">
      <c r="A24" s="7">
        <f t="shared" si="0"/>
        <v>24</v>
      </c>
      <c r="B24" s="4" t="s">
        <v>19</v>
      </c>
      <c r="C24" s="4" t="s">
        <v>80</v>
      </c>
    </row>
    <row r="25" spans="1:3" s="8" customFormat="1">
      <c r="A25" s="7">
        <f t="shared" si="0"/>
        <v>25</v>
      </c>
      <c r="B25" s="9" t="s">
        <v>20</v>
      </c>
      <c r="C25" s="25" t="s">
        <v>196</v>
      </c>
    </row>
    <row r="26" spans="1:3">
      <c r="A26" s="7">
        <f t="shared" si="0"/>
        <v>26</v>
      </c>
      <c r="B26" s="9" t="s">
        <v>21</v>
      </c>
      <c r="C26" s="26" t="s">
        <v>197</v>
      </c>
    </row>
    <row r="27" spans="1:3">
      <c r="A27" s="7">
        <f t="shared" si="0"/>
        <v>27</v>
      </c>
      <c r="B27" s="9" t="s">
        <v>22</v>
      </c>
      <c r="C27" s="26" t="str">
        <f>C26</f>
        <v xml:space="preserve"> SY-6800825-VT-DD-01</v>
      </c>
    </row>
    <row r="28" spans="1:3">
      <c r="A28" s="7">
        <f t="shared" si="0"/>
        <v>28</v>
      </c>
      <c r="B28" s="9" t="s">
        <v>23</v>
      </c>
      <c r="C28" s="11"/>
    </row>
    <row r="29" spans="1:3">
      <c r="A29" s="7">
        <f t="shared" si="0"/>
        <v>29</v>
      </c>
      <c r="B29" s="9" t="s">
        <v>24</v>
      </c>
      <c r="C29" s="11"/>
    </row>
    <row r="30" spans="1:3">
      <c r="A30" s="7">
        <f t="shared" si="0"/>
        <v>30</v>
      </c>
      <c r="B30" s="9" t="s">
        <v>25</v>
      </c>
    </row>
    <row r="31" spans="1:3">
      <c r="A31" s="7">
        <f t="shared" si="0"/>
        <v>31</v>
      </c>
      <c r="B31" s="4" t="s">
        <v>26</v>
      </c>
    </row>
    <row r="32" spans="1:3">
      <c r="A32" s="7">
        <f t="shared" si="0"/>
        <v>32</v>
      </c>
      <c r="B32" s="4" t="s">
        <v>27</v>
      </c>
      <c r="C32" s="2" t="s">
        <v>28</v>
      </c>
    </row>
    <row r="33" spans="1:3">
      <c r="A33" s="7">
        <f t="shared" si="0"/>
        <v>33</v>
      </c>
      <c r="B33" s="9" t="s">
        <v>29</v>
      </c>
      <c r="C33" s="2" t="s">
        <v>70</v>
      </c>
    </row>
    <row r="34" spans="1:3">
      <c r="A34" s="7">
        <f t="shared" si="0"/>
        <v>34</v>
      </c>
      <c r="B34" s="4" t="s">
        <v>30</v>
      </c>
    </row>
    <row r="35" spans="1:3">
      <c r="A35" s="7">
        <f t="shared" si="0"/>
        <v>35</v>
      </c>
      <c r="B35" s="4" t="s">
        <v>31</v>
      </c>
      <c r="C35" s="2" t="s">
        <v>64</v>
      </c>
    </row>
    <row r="36" spans="1:3">
      <c r="A36" s="7">
        <f t="shared" si="0"/>
        <v>36</v>
      </c>
      <c r="B36" s="9" t="s">
        <v>32</v>
      </c>
      <c r="C36" s="15" t="s">
        <v>104</v>
      </c>
    </row>
    <row r="37" spans="1:3">
      <c r="A37" s="7">
        <f t="shared" si="0"/>
        <v>37</v>
      </c>
      <c r="B37" s="9" t="s">
        <v>33</v>
      </c>
    </row>
    <row r="38" spans="1:3">
      <c r="A38" s="7">
        <f t="shared" si="0"/>
        <v>38</v>
      </c>
      <c r="B38" s="4" t="s">
        <v>34</v>
      </c>
      <c r="C38" s="11" t="s">
        <v>35</v>
      </c>
    </row>
    <row r="39" spans="1:3">
      <c r="A39" s="7">
        <f t="shared" si="0"/>
        <v>39</v>
      </c>
      <c r="B39" s="4" t="s">
        <v>36</v>
      </c>
      <c r="C39" s="11"/>
    </row>
    <row r="40" spans="1:3">
      <c r="A40" s="7">
        <f t="shared" si="0"/>
        <v>40</v>
      </c>
      <c r="B40" s="4" t="s">
        <v>37</v>
      </c>
    </row>
    <row r="41" spans="1:3">
      <c r="A41" s="7">
        <f t="shared" si="0"/>
        <v>41</v>
      </c>
      <c r="B41" s="4" t="s">
        <v>38</v>
      </c>
    </row>
    <row r="42" spans="1:3">
      <c r="A42" s="7">
        <f t="shared" si="0"/>
        <v>42</v>
      </c>
      <c r="B42" s="4" t="s">
        <v>39</v>
      </c>
    </row>
    <row r="43" spans="1:3">
      <c r="A43" s="7">
        <f t="shared" si="0"/>
        <v>43</v>
      </c>
      <c r="B43" s="9" t="s">
        <v>40</v>
      </c>
      <c r="C43" s="2" t="s">
        <v>204</v>
      </c>
    </row>
    <row r="44" spans="1:3">
      <c r="A44" s="7">
        <f t="shared" si="0"/>
        <v>44</v>
      </c>
      <c r="B44" s="4" t="s">
        <v>41</v>
      </c>
      <c r="C44" s="13"/>
    </row>
    <row r="45" spans="1:3">
      <c r="A45" s="7">
        <f t="shared" si="0"/>
        <v>45</v>
      </c>
      <c r="B45" s="9" t="s">
        <v>42</v>
      </c>
      <c r="C45" s="27">
        <f>invoice!M30</f>
        <v>563695</v>
      </c>
    </row>
    <row r="46" spans="1:3">
      <c r="A46" s="7">
        <f t="shared" si="0"/>
        <v>46</v>
      </c>
      <c r="B46" s="4" t="s">
        <v>43</v>
      </c>
      <c r="C46" s="14"/>
    </row>
    <row r="47" spans="1:3">
      <c r="A47" s="7">
        <f t="shared" si="0"/>
        <v>47</v>
      </c>
      <c r="B47" s="4" t="s">
        <v>43</v>
      </c>
      <c r="C47" s="13"/>
    </row>
    <row r="48" spans="1:3">
      <c r="A48" s="7">
        <f t="shared" si="0"/>
        <v>48</v>
      </c>
      <c r="B48" s="4" t="s">
        <v>31</v>
      </c>
      <c r="C48" s="15" t="s">
        <v>64</v>
      </c>
    </row>
    <row r="49" spans="1:3">
      <c r="A49" s="7">
        <f t="shared" si="0"/>
        <v>49</v>
      </c>
      <c r="B49" s="9" t="s">
        <v>44</v>
      </c>
      <c r="C49" s="2" t="str">
        <f>C27</f>
        <v xml:space="preserve"> SY-6800825-VT-DD-01</v>
      </c>
    </row>
    <row r="50" spans="1:3">
      <c r="A50" s="7">
        <f t="shared" si="0"/>
        <v>50</v>
      </c>
      <c r="B50" s="9" t="s">
        <v>45</v>
      </c>
      <c r="C50" s="4" t="s">
        <v>100</v>
      </c>
    </row>
    <row r="51" spans="1:3">
      <c r="A51" s="7">
        <f t="shared" si="0"/>
        <v>51</v>
      </c>
      <c r="B51" s="9" t="s">
        <v>46</v>
      </c>
      <c r="C51" s="4" t="s">
        <v>142</v>
      </c>
    </row>
    <row r="52" spans="1:3">
      <c r="A52" s="7">
        <f t="shared" si="0"/>
        <v>52</v>
      </c>
      <c r="B52" s="9" t="s">
        <v>47</v>
      </c>
      <c r="C52" s="2" t="s">
        <v>101</v>
      </c>
    </row>
    <row r="53" spans="1:3">
      <c r="A53" s="7">
        <f t="shared" si="0"/>
        <v>53</v>
      </c>
      <c r="B53" s="9" t="s">
        <v>48</v>
      </c>
      <c r="C53" s="2" t="s">
        <v>102</v>
      </c>
    </row>
    <row r="54" spans="1:3">
      <c r="A54" s="7">
        <f t="shared" si="0"/>
        <v>54</v>
      </c>
      <c r="B54" s="9" t="s">
        <v>49</v>
      </c>
      <c r="C54" s="3" t="s">
        <v>103</v>
      </c>
    </row>
    <row r="55" spans="1:3">
      <c r="A55" s="7">
        <f t="shared" si="0"/>
        <v>55</v>
      </c>
      <c r="B55" s="28" t="s">
        <v>50</v>
      </c>
      <c r="C55" s="26" t="s">
        <v>203</v>
      </c>
    </row>
    <row r="56" spans="1:3">
      <c r="A56" s="7">
        <f t="shared" si="0"/>
        <v>56</v>
      </c>
      <c r="B56" s="4" t="s">
        <v>51</v>
      </c>
      <c r="C56" s="4"/>
    </row>
    <row r="57" spans="1:3">
      <c r="A57" s="7">
        <f t="shared" si="0"/>
        <v>57</v>
      </c>
      <c r="B57" s="4"/>
    </row>
    <row r="58" spans="1:3">
      <c r="A58" s="7">
        <f t="shared" si="0"/>
        <v>58</v>
      </c>
      <c r="B58" s="4"/>
    </row>
    <row r="59" spans="1:3">
      <c r="A59" s="7">
        <f t="shared" si="0"/>
        <v>59</v>
      </c>
      <c r="B59" s="4"/>
    </row>
    <row r="60" spans="1:3">
      <c r="A60" s="7">
        <f t="shared" si="0"/>
        <v>60</v>
      </c>
      <c r="B60" s="4" t="s">
        <v>52</v>
      </c>
      <c r="C60" s="2" t="s">
        <v>159</v>
      </c>
    </row>
    <row r="61" spans="1:3">
      <c r="A61" s="7">
        <f t="shared" si="0"/>
        <v>61</v>
      </c>
      <c r="B61" s="4" t="s">
        <v>53</v>
      </c>
    </row>
    <row r="62" spans="1:3">
      <c r="A62" s="7">
        <f t="shared" si="0"/>
        <v>62</v>
      </c>
      <c r="B62" s="4"/>
    </row>
    <row r="63" spans="1:3">
      <c r="A63" s="7">
        <f t="shared" si="0"/>
        <v>63</v>
      </c>
      <c r="B63" s="18" t="s">
        <v>81</v>
      </c>
      <c r="C63" s="17" t="s">
        <v>82</v>
      </c>
    </row>
    <row r="64" spans="1:3">
      <c r="A64" s="7">
        <f t="shared" si="0"/>
        <v>64</v>
      </c>
      <c r="B64" s="4"/>
      <c r="C64" s="17" t="s">
        <v>83</v>
      </c>
    </row>
    <row r="65" spans="1:3">
      <c r="A65" s="7">
        <f t="shared" si="0"/>
        <v>65</v>
      </c>
      <c r="B65" s="4"/>
    </row>
    <row r="66" spans="1:3">
      <c r="A66" s="7">
        <f t="shared" si="0"/>
        <v>66</v>
      </c>
      <c r="B66" s="4"/>
    </row>
    <row r="67" spans="1:3">
      <c r="A67" s="7">
        <f t="shared" si="0"/>
        <v>67</v>
      </c>
      <c r="B67" s="4" t="s">
        <v>54</v>
      </c>
      <c r="C67" s="6"/>
    </row>
    <row r="68" spans="1:3">
      <c r="A68" s="7">
        <f t="shared" si="0"/>
        <v>68</v>
      </c>
      <c r="B68" s="9" t="s">
        <v>55</v>
      </c>
      <c r="C68" s="2" t="s">
        <v>75</v>
      </c>
    </row>
    <row r="69" spans="1:3">
      <c r="A69" s="7">
        <f t="shared" ref="A69:A86" si="1">A68+1</f>
        <v>69</v>
      </c>
      <c r="B69" s="4" t="s">
        <v>56</v>
      </c>
      <c r="C69" s="2" t="s">
        <v>73</v>
      </c>
    </row>
    <row r="70" spans="1:3">
      <c r="A70" s="7">
        <f t="shared" si="1"/>
        <v>70</v>
      </c>
      <c r="B70" s="4" t="s">
        <v>57</v>
      </c>
    </row>
    <row r="71" spans="1:3">
      <c r="A71" s="7">
        <f t="shared" si="1"/>
        <v>71</v>
      </c>
      <c r="B71" s="4"/>
    </row>
    <row r="72" spans="1:3">
      <c r="A72" s="7">
        <f t="shared" si="1"/>
        <v>72</v>
      </c>
      <c r="B72" s="4"/>
    </row>
    <row r="73" spans="1:3">
      <c r="A73" s="7">
        <f t="shared" si="1"/>
        <v>73</v>
      </c>
      <c r="B73" s="4"/>
    </row>
    <row r="74" spans="1:3">
      <c r="A74" s="7">
        <f t="shared" si="1"/>
        <v>74</v>
      </c>
      <c r="B74" s="4"/>
    </row>
    <row r="75" spans="1:3">
      <c r="A75" s="7">
        <f t="shared" si="1"/>
        <v>75</v>
      </c>
      <c r="B75" s="4" t="s">
        <v>58</v>
      </c>
      <c r="C75" s="2" t="s">
        <v>72</v>
      </c>
    </row>
    <row r="76" spans="1:3">
      <c r="A76" s="7">
        <f t="shared" si="1"/>
        <v>76</v>
      </c>
      <c r="B76" s="4" t="s">
        <v>59</v>
      </c>
      <c r="C76" s="4"/>
    </row>
    <row r="77" spans="1:3">
      <c r="A77" s="7">
        <f t="shared" si="1"/>
        <v>77</v>
      </c>
      <c r="B77" s="4"/>
    </row>
    <row r="78" spans="1:3">
      <c r="A78" s="7">
        <f t="shared" si="1"/>
        <v>78</v>
      </c>
      <c r="B78" s="4" t="s">
        <v>60</v>
      </c>
      <c r="C78" s="2" t="s">
        <v>74</v>
      </c>
    </row>
    <row r="79" spans="1:3">
      <c r="A79" s="7">
        <f t="shared" si="1"/>
        <v>79</v>
      </c>
      <c r="B79" s="4" t="s">
        <v>61</v>
      </c>
      <c r="C79" s="2" t="s">
        <v>74</v>
      </c>
    </row>
    <row r="80" spans="1:3">
      <c r="A80" s="7">
        <f t="shared" si="1"/>
        <v>80</v>
      </c>
      <c r="B80" s="4"/>
    </row>
    <row r="81" spans="1:3">
      <c r="A81" s="7">
        <f t="shared" si="1"/>
        <v>81</v>
      </c>
      <c r="B81" s="4" t="s">
        <v>62</v>
      </c>
      <c r="C81" s="25" t="s">
        <v>196</v>
      </c>
    </row>
    <row r="82" spans="1:3">
      <c r="A82" s="7">
        <f t="shared" si="1"/>
        <v>82</v>
      </c>
      <c r="B82" s="4"/>
    </row>
    <row r="83" spans="1:3">
      <c r="A83" s="7">
        <f t="shared" si="1"/>
        <v>83</v>
      </c>
      <c r="B83" s="4" t="s">
        <v>63</v>
      </c>
      <c r="C83" s="2" t="s">
        <v>71</v>
      </c>
    </row>
    <row r="84" spans="1:3">
      <c r="A84" s="7">
        <f t="shared" si="1"/>
        <v>84</v>
      </c>
      <c r="B84" s="4"/>
    </row>
    <row r="85" spans="1:3">
      <c r="A85" s="7">
        <f t="shared" si="1"/>
        <v>85</v>
      </c>
      <c r="B85" s="4"/>
    </row>
    <row r="86" spans="1:3">
      <c r="A86" s="7">
        <f t="shared" si="1"/>
        <v>86</v>
      </c>
      <c r="B86" s="4"/>
    </row>
    <row r="87" spans="1:3">
      <c r="B87" s="4"/>
    </row>
    <row r="88" spans="1:3">
      <c r="B88" s="4"/>
    </row>
    <row r="89" spans="1:3">
      <c r="B89" s="4"/>
    </row>
    <row r="90" spans="1:3">
      <c r="B90" s="4"/>
    </row>
    <row r="91" spans="1:3">
      <c r="B91" s="4"/>
    </row>
    <row r="92" spans="1:3">
      <c r="B92" s="4"/>
    </row>
    <row r="93" spans="1:3">
      <c r="B93" s="4"/>
    </row>
    <row r="95" spans="1:3">
      <c r="B95" s="4"/>
    </row>
    <row r="96" spans="1:3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  <row r="121" spans="2:2">
      <c r="B121" s="4"/>
    </row>
    <row r="122" spans="2:2">
      <c r="B122" s="4"/>
    </row>
    <row r="123" spans="2:2">
      <c r="B123" s="4"/>
    </row>
    <row r="124" spans="2:2">
      <c r="B124" s="4"/>
    </row>
    <row r="125" spans="2:2">
      <c r="B125" s="4"/>
    </row>
    <row r="126" spans="2:2">
      <c r="B126" s="4"/>
    </row>
    <row r="127" spans="2:2">
      <c r="B127" s="4"/>
    </row>
    <row r="128" spans="2:2">
      <c r="B128" s="4"/>
    </row>
    <row r="129" spans="2:2">
      <c r="B129" s="4"/>
    </row>
    <row r="130" spans="2:2">
      <c r="B130" s="4"/>
    </row>
    <row r="131" spans="2:2">
      <c r="B131" s="4"/>
    </row>
    <row r="132" spans="2:2">
      <c r="B132" s="4"/>
    </row>
    <row r="133" spans="2:2">
      <c r="B133" s="4"/>
    </row>
    <row r="134" spans="2:2">
      <c r="B134" s="4"/>
    </row>
    <row r="135" spans="2:2">
      <c r="B135" s="4"/>
    </row>
    <row r="136" spans="2:2">
      <c r="B136" s="4"/>
    </row>
    <row r="137" spans="2:2">
      <c r="B137" s="4"/>
    </row>
    <row r="138" spans="2:2">
      <c r="B138" s="4"/>
    </row>
    <row r="139" spans="2:2">
      <c r="B139" s="4"/>
    </row>
    <row r="140" spans="2:2">
      <c r="B140" s="4"/>
    </row>
    <row r="141" spans="2:2">
      <c r="B141" s="4"/>
    </row>
    <row r="142" spans="2:2">
      <c r="B142" s="4"/>
    </row>
    <row r="143" spans="2:2">
      <c r="B143" s="4"/>
    </row>
    <row r="144" spans="2:2">
      <c r="B144" s="4"/>
    </row>
    <row r="145" spans="2:2">
      <c r="B145" s="4"/>
    </row>
    <row r="146" spans="2:2">
      <c r="B146" s="4"/>
    </row>
    <row r="147" spans="2:2">
      <c r="B147" s="4"/>
    </row>
    <row r="148" spans="2:2">
      <c r="B148" s="4"/>
    </row>
    <row r="149" spans="2:2">
      <c r="B149" s="4"/>
    </row>
  </sheetData>
  <phoneticPr fontId="14"/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585B-2836-4BDA-9250-F13773F4C007}">
  <dimension ref="A1:O34"/>
  <sheetViews>
    <sheetView zoomScale="50" zoomScaleNormal="50" workbookViewId="0">
      <selection activeCell="A18" sqref="A18"/>
    </sheetView>
  </sheetViews>
  <sheetFormatPr defaultRowHeight="15"/>
  <cols>
    <col min="1" max="1" width="7.6328125" customWidth="1"/>
    <col min="7" max="7" width="18.08984375" customWidth="1"/>
    <col min="8" max="8" width="3.90625" customWidth="1"/>
  </cols>
  <sheetData>
    <row r="1" spans="1:15" s="95" customFormat="1" ht="32.25" customHeight="1">
      <c r="H1" s="96"/>
    </row>
    <row r="2" spans="1:15" s="95" customFormat="1" ht="32.5">
      <c r="A2" s="95" t="str">
        <f>'shipper master'!C26</f>
        <v xml:space="preserve"> SY-6800825-VT-DD-01</v>
      </c>
      <c r="H2" s="96"/>
      <c r="I2" s="95" t="str">
        <f>'shipper master'!C26</f>
        <v xml:space="preserve"> SY-6800825-VT-DD-01</v>
      </c>
    </row>
    <row r="3" spans="1:15" s="95" customFormat="1" ht="32.5">
      <c r="A3" s="95" t="str">
        <f>'[1]shipper master'!C50</f>
        <v xml:space="preserve">VIVAN GARMENTS VIET NAM </v>
      </c>
      <c r="H3" s="96"/>
      <c r="I3" s="95" t="str">
        <f>'[1]shipper master'!C50</f>
        <v xml:space="preserve">VIVAN GARMENTS VIET NAM </v>
      </c>
    </row>
    <row r="4" spans="1:15" s="95" customFormat="1" ht="32.5">
      <c r="A4" s="95" t="str">
        <f>'[1]shipper master'!C51</f>
        <v xml:space="preserve"> COMPANY LIMITED</v>
      </c>
      <c r="H4" s="96"/>
      <c r="I4" s="95" t="str">
        <f>'[1]shipper master'!C51</f>
        <v xml:space="preserve"> COMPANY LIMITED</v>
      </c>
    </row>
    <row r="5" spans="1:15" s="95" customFormat="1" ht="32.5">
      <c r="A5" s="95" t="str">
        <f>'[1]shipper master'!C52</f>
        <v xml:space="preserve"> HOCHIMINH-CITY, VIETNAM</v>
      </c>
      <c r="H5" s="96"/>
      <c r="I5" s="95" t="str">
        <f>'[1]shipper master'!C52</f>
        <v xml:space="preserve"> HOCHIMINH-CITY, VIETNAM</v>
      </c>
    </row>
    <row r="6" spans="1:15" s="95" customFormat="1" ht="32.5">
      <c r="A6" s="95" t="s">
        <v>108</v>
      </c>
      <c r="C6" s="95">
        <v>1</v>
      </c>
      <c r="D6" s="97"/>
      <c r="H6" s="96"/>
      <c r="I6" s="95" t="s">
        <v>108</v>
      </c>
      <c r="K6" s="95">
        <v>2</v>
      </c>
    </row>
    <row r="7" spans="1:15" s="95" customFormat="1" ht="32.25" customHeight="1">
      <c r="A7" s="95" t="str">
        <f>'[1]shipper master'!C54</f>
        <v xml:space="preserve"> MADE IN JAPAN</v>
      </c>
      <c r="H7" s="96"/>
      <c r="I7" s="95" t="str">
        <f>'[1]shipper master'!C54</f>
        <v xml:space="preserve"> MADE IN JAPAN</v>
      </c>
    </row>
    <row r="8" spans="1:15" s="95" customFormat="1" ht="19.5" customHeight="1">
      <c r="H8" s="96"/>
    </row>
    <row r="9" spans="1:15" s="95" customFormat="1" ht="19.5" customHeight="1">
      <c r="H9" s="96"/>
    </row>
    <row r="10" spans="1:15" s="95" customFormat="1" ht="19.5" customHeight="1">
      <c r="A10" s="98"/>
      <c r="B10" s="98"/>
      <c r="C10" s="98"/>
      <c r="D10" s="98"/>
      <c r="E10" s="98"/>
      <c r="F10" s="98"/>
      <c r="G10" s="98"/>
      <c r="H10" s="99"/>
      <c r="I10" s="98"/>
      <c r="J10" s="98"/>
      <c r="K10" s="98"/>
      <c r="L10" s="98"/>
      <c r="M10" s="98"/>
      <c r="N10" s="98"/>
      <c r="O10" s="98"/>
    </row>
    <row r="11" spans="1:15" s="95" customFormat="1" ht="19.5" customHeight="1">
      <c r="H11" s="96"/>
    </row>
    <row r="12" spans="1:15" s="95" customFormat="1" ht="19.5" customHeight="1">
      <c r="H12" s="96"/>
    </row>
    <row r="13" spans="1:15" s="95" customFormat="1" ht="32.5">
      <c r="A13" s="95" t="str">
        <f>'shipper master'!C26</f>
        <v xml:space="preserve"> SY-6800825-VT-DD-01</v>
      </c>
      <c r="H13" s="96"/>
      <c r="I13" s="95" t="str">
        <f>'shipper master'!C26</f>
        <v xml:space="preserve"> SY-6800825-VT-DD-01</v>
      </c>
    </row>
    <row r="14" spans="1:15" s="95" customFormat="1" ht="32.5">
      <c r="A14" s="95" t="str">
        <f>'[1]shipper master'!C50</f>
        <v xml:space="preserve">VIVAN GARMENTS VIET NAM </v>
      </c>
      <c r="H14" s="96"/>
      <c r="I14" s="95" t="str">
        <f>'[1]shipper master'!C50</f>
        <v xml:space="preserve">VIVAN GARMENTS VIET NAM </v>
      </c>
    </row>
    <row r="15" spans="1:15" s="95" customFormat="1" ht="32.5">
      <c r="A15" s="95" t="str">
        <f>'[1]shipper master'!C51</f>
        <v xml:space="preserve"> COMPANY LIMITED</v>
      </c>
      <c r="H15" s="96"/>
      <c r="I15" s="95" t="str">
        <f>'[1]shipper master'!C51</f>
        <v xml:space="preserve"> COMPANY LIMITED</v>
      </c>
    </row>
    <row r="16" spans="1:15" s="95" customFormat="1" ht="32.5">
      <c r="A16" s="95" t="str">
        <f>'[1]shipper master'!C52</f>
        <v xml:space="preserve"> HOCHIMINH-CITY, VIETNAM</v>
      </c>
      <c r="H16" s="96"/>
      <c r="I16" s="95" t="str">
        <f>'[1]shipper master'!C52</f>
        <v xml:space="preserve"> HOCHIMINH-CITY, VIETNAM</v>
      </c>
    </row>
    <row r="17" spans="1:11" s="95" customFormat="1" ht="32.5">
      <c r="A17" s="95" t="s">
        <v>108</v>
      </c>
      <c r="C17" s="95">
        <v>3</v>
      </c>
      <c r="H17" s="96"/>
      <c r="I17" s="95" t="s">
        <v>108</v>
      </c>
      <c r="K17" s="95">
        <v>4</v>
      </c>
    </row>
    <row r="18" spans="1:11" s="95" customFormat="1" ht="32.5">
      <c r="A18" s="95" t="str">
        <f>'[1]shipper master'!C54</f>
        <v xml:space="preserve"> MADE IN JAPAN</v>
      </c>
      <c r="H18" s="96"/>
      <c r="I18" s="95" t="str">
        <f>'[1]shipper master'!C54</f>
        <v xml:space="preserve"> MADE IN JAPAN</v>
      </c>
    </row>
    <row r="19" spans="1:11" s="100" customFormat="1" ht="34">
      <c r="A19" s="95"/>
    </row>
    <row r="20" spans="1:11" s="100" customFormat="1" ht="34"/>
    <row r="21" spans="1:11" s="100" customFormat="1" ht="34"/>
    <row r="22" spans="1:11" s="100" customFormat="1" ht="34"/>
    <row r="23" spans="1:11" s="100" customFormat="1" ht="34"/>
    <row r="24" spans="1:11" s="100" customFormat="1" ht="34"/>
    <row r="25" spans="1:11" s="100" customFormat="1" ht="34"/>
    <row r="26" spans="1:11" s="95" customFormat="1" ht="32.5"/>
    <row r="27" spans="1:11" s="95" customFormat="1" ht="32.5"/>
    <row r="28" spans="1:11" s="95" customFormat="1" ht="32.5"/>
    <row r="29" spans="1:11" s="95" customFormat="1" ht="32.5"/>
    <row r="30" spans="1:11" s="95" customFormat="1" ht="32.5"/>
    <row r="31" spans="1:11" s="95" customFormat="1" ht="32.5"/>
    <row r="32" spans="1:11" s="95" customFormat="1" ht="32.5"/>
    <row r="33" s="95" customFormat="1" ht="32.5"/>
    <row r="34" s="95" customFormat="1" ht="32.5"/>
  </sheetData>
  <phoneticPr fontId="14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566B-09EC-4DA3-BA5A-98BCA7A42B85}">
  <sheetPr>
    <tabColor rgb="FFFFFF00"/>
    <pageSetUpPr fitToPage="1"/>
  </sheetPr>
  <dimension ref="A1:M91"/>
  <sheetViews>
    <sheetView showZeros="0" tabSelected="1" view="pageBreakPreview" zoomScale="110" zoomScaleNormal="115" zoomScaleSheetLayoutView="110" workbookViewId="0">
      <selection activeCell="Q22" sqref="Q22"/>
    </sheetView>
  </sheetViews>
  <sheetFormatPr defaultColWidth="9" defaultRowHeight="16"/>
  <cols>
    <col min="1" max="1" width="8.6328125" style="104" customWidth="1"/>
    <col min="2" max="2" width="11.6328125" style="104" customWidth="1"/>
    <col min="3" max="3" width="4.81640625" style="104" customWidth="1"/>
    <col min="4" max="4" width="23.36328125" style="104" customWidth="1"/>
    <col min="5" max="5" width="6.08984375" style="104" customWidth="1"/>
    <col min="6" max="7" width="3.08984375" style="104" customWidth="1"/>
    <col min="8" max="8" width="2.90625" style="104" customWidth="1"/>
    <col min="9" max="9" width="3.08984375" style="104" hidden="1" customWidth="1"/>
    <col min="10" max="10" width="8.453125" style="104" customWidth="1"/>
    <col min="11" max="11" width="9.90625" style="104" customWidth="1"/>
    <col min="12" max="12" width="13" style="104" customWidth="1"/>
    <col min="13" max="13" width="13.90625" style="104" customWidth="1"/>
    <col min="14" max="16384" width="9" style="104"/>
  </cols>
  <sheetData>
    <row r="1" spans="1:13" s="101" customFormat="1" ht="32.25" customHeight="1">
      <c r="A1" s="289" t="s">
        <v>109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</row>
    <row r="2" spans="1:13" ht="23.25" customHeight="1">
      <c r="A2" s="102" t="str">
        <f>'[2]shipper master'!C2</f>
        <v xml:space="preserve"> SHUNYA CO., LTD.</v>
      </c>
      <c r="B2" s="103"/>
      <c r="C2" s="103"/>
      <c r="D2" s="103"/>
      <c r="E2" s="103"/>
      <c r="L2" s="105"/>
    </row>
    <row r="3" spans="1:13" ht="15.75" customHeight="1">
      <c r="A3" s="3" t="str">
        <f>'[2]shipper master'!C3</f>
        <v xml:space="preserve"> KENSHIN BLDG., 1F, 1-22-10 DOUGENZAKA,</v>
      </c>
      <c r="B3" s="103"/>
      <c r="C3" s="103"/>
      <c r="D3" s="103"/>
      <c r="E3" s="103"/>
      <c r="L3" s="105"/>
    </row>
    <row r="4" spans="1:13" ht="18" customHeight="1">
      <c r="A4" s="3" t="str">
        <f>'[2]shipper master'!C4</f>
        <v xml:space="preserve"> SHIBUYA-KU 150-0043</v>
      </c>
      <c r="B4" s="103"/>
      <c r="C4" s="103"/>
      <c r="D4" s="103"/>
      <c r="E4" s="103"/>
      <c r="F4" s="106"/>
      <c r="G4" s="106"/>
      <c r="H4" s="106"/>
      <c r="I4" s="106"/>
      <c r="J4" s="106"/>
      <c r="L4" s="3">
        <f>'[2]shipper master'!C6</f>
        <v>0</v>
      </c>
    </row>
    <row r="5" spans="1:13" ht="16.5" thickBot="1">
      <c r="A5" s="107" t="str">
        <f>'[2]shipper master'!C5</f>
        <v xml:space="preserve"> TEL : +81(0)3-5459-1177</v>
      </c>
      <c r="B5" s="103"/>
      <c r="C5" s="103"/>
      <c r="D5" s="103"/>
      <c r="L5" s="3">
        <f>'[2]shipper master'!C7</f>
        <v>0</v>
      </c>
      <c r="M5" s="108"/>
    </row>
    <row r="6" spans="1:13" ht="13.4" customHeight="1">
      <c r="A6" s="109" t="s">
        <v>110</v>
      </c>
      <c r="B6" s="110"/>
      <c r="C6" s="110"/>
      <c r="D6" s="110"/>
      <c r="E6" s="110"/>
      <c r="F6" s="111" t="s">
        <v>111</v>
      </c>
      <c r="G6" s="112"/>
      <c r="H6" s="112"/>
      <c r="I6" s="112"/>
      <c r="J6" s="110"/>
      <c r="K6" s="201"/>
      <c r="L6" s="111" t="s">
        <v>112</v>
      </c>
      <c r="M6" s="105"/>
    </row>
    <row r="7" spans="1:13" ht="13.4" customHeight="1">
      <c r="A7" s="3" t="str">
        <f>'[2]shipper master'!C9</f>
        <v>VIVAN GARMENTS VIET NAM COMPANY LIMITED</v>
      </c>
      <c r="B7" s="105"/>
      <c r="C7" s="105"/>
      <c r="D7" s="105"/>
      <c r="E7" s="105"/>
      <c r="F7" s="113" t="str">
        <f>'shipper master'!C26</f>
        <v xml:space="preserve"> SY-6800825-VT-DD-01</v>
      </c>
      <c r="G7" s="114"/>
      <c r="H7" s="114"/>
      <c r="I7" s="114"/>
      <c r="J7" s="114"/>
      <c r="K7" s="202"/>
      <c r="L7" s="115"/>
      <c r="M7" s="105"/>
    </row>
    <row r="8" spans="1:13" ht="13.4" customHeight="1">
      <c r="A8" s="3" t="str">
        <f>'[2]shipper master'!C10</f>
        <v>D17 Street , Sai Gon South Residential Area</v>
      </c>
      <c r="B8" s="105"/>
      <c r="C8" s="105"/>
      <c r="D8" s="105"/>
      <c r="E8" s="105"/>
      <c r="F8" s="116" t="s">
        <v>113</v>
      </c>
      <c r="G8" s="109"/>
      <c r="H8" s="109"/>
      <c r="I8" s="109"/>
      <c r="J8" s="105"/>
      <c r="K8" s="203"/>
      <c r="L8" s="117" t="str">
        <f>'shipper master'!C26</f>
        <v xml:space="preserve"> SY-6800825-VT-DD-01</v>
      </c>
      <c r="M8" s="105"/>
    </row>
    <row r="9" spans="1:13" ht="13.4" customHeight="1">
      <c r="A9" s="3" t="str">
        <f>'[2]shipper master'!C11</f>
        <v>Hamlet 3 , Long Hau Commune , Can Giuoc District,</v>
      </c>
      <c r="B9" s="105"/>
      <c r="C9" s="105"/>
      <c r="D9" s="105"/>
      <c r="E9" s="105"/>
      <c r="F9" s="204" t="str">
        <f>'shipper master'!C25</f>
        <v>Aug, 25 2025</v>
      </c>
      <c r="G9" s="118"/>
      <c r="H9" s="118"/>
      <c r="I9" s="118"/>
      <c r="J9" s="118"/>
      <c r="K9" s="119"/>
      <c r="L9" s="117" t="str">
        <f>'[1]shipper master'!C50</f>
        <v xml:space="preserve">VIVAN GARMENTS VIET NAM </v>
      </c>
      <c r="M9" s="105"/>
    </row>
    <row r="10" spans="1:13" ht="13.4" customHeight="1">
      <c r="A10" s="3" t="str">
        <f>'[2]shipper master'!C12</f>
        <v xml:space="preserve"> Long An Province , VietNam</v>
      </c>
      <c r="B10" s="105"/>
      <c r="C10" s="105"/>
      <c r="D10" s="105"/>
      <c r="E10" s="105"/>
      <c r="F10" s="116" t="s">
        <v>114</v>
      </c>
      <c r="G10" s="109"/>
      <c r="H10" s="109"/>
      <c r="I10" s="109"/>
      <c r="J10" s="105"/>
      <c r="K10" s="203"/>
      <c r="L10" s="117" t="str">
        <f>'[1]shipper master'!C51</f>
        <v xml:space="preserve"> COMPANY LIMITED</v>
      </c>
      <c r="M10" s="105"/>
    </row>
    <row r="11" spans="1:13" ht="13.4" customHeight="1">
      <c r="A11" s="114" t="str">
        <f>'[2]shipper master'!C13</f>
        <v xml:space="preserve"> TEL : ( 084 ) 097 22 00 798  ATTN : MR. TUAN</v>
      </c>
      <c r="B11" s="105"/>
      <c r="C11" s="105"/>
      <c r="D11" s="105"/>
      <c r="E11" s="124"/>
      <c r="F11" s="290" t="str">
        <f>'shipper master'!C26</f>
        <v xml:space="preserve"> SY-6800825-VT-DD-01</v>
      </c>
      <c r="G11" s="291"/>
      <c r="H11" s="291"/>
      <c r="I11" s="291"/>
      <c r="J11" s="291"/>
      <c r="K11" s="292"/>
      <c r="L11" s="117" t="str">
        <f>'[1]shipper master'!C52</f>
        <v xml:space="preserve"> HOCHIMINH-CITY, VIETNAM</v>
      </c>
      <c r="M11" s="105"/>
    </row>
    <row r="12" spans="1:13" ht="13.4" customHeight="1">
      <c r="A12" s="109" t="s">
        <v>115</v>
      </c>
      <c r="B12" s="120"/>
      <c r="C12" s="120"/>
      <c r="D12" s="120"/>
      <c r="E12" s="105"/>
      <c r="F12" s="116" t="s">
        <v>116</v>
      </c>
      <c r="G12" s="109"/>
      <c r="H12" s="109"/>
      <c r="I12" s="109"/>
      <c r="J12" s="105"/>
      <c r="K12" s="105"/>
      <c r="L12" s="121" t="s">
        <v>195</v>
      </c>
      <c r="M12" s="105"/>
    </row>
    <row r="13" spans="1:13" ht="13.4" customHeight="1">
      <c r="A13" s="3" t="str">
        <f>'[2]shipper master'!C15</f>
        <v xml:space="preserve"> - SAME AS BUYER -</v>
      </c>
      <c r="B13" s="105"/>
      <c r="C13" s="105"/>
      <c r="D13" s="105"/>
      <c r="E13" s="105"/>
      <c r="F13" s="290">
        <f>'[2]shipper master'!C30</f>
        <v>0</v>
      </c>
      <c r="G13" s="291"/>
      <c r="H13" s="291"/>
      <c r="I13" s="291"/>
      <c r="J13" s="291"/>
      <c r="K13" s="292"/>
      <c r="L13" s="117" t="s">
        <v>117</v>
      </c>
      <c r="M13" s="105"/>
    </row>
    <row r="14" spans="1:13" ht="13.4" customHeight="1">
      <c r="A14" s="3">
        <f>'[2]shipper master'!C16</f>
        <v>0</v>
      </c>
      <c r="B14" s="105"/>
      <c r="C14" s="105"/>
      <c r="D14" s="105"/>
      <c r="E14" s="105"/>
      <c r="F14" s="122" t="s">
        <v>24</v>
      </c>
      <c r="G14" s="3"/>
      <c r="H14" s="3"/>
      <c r="I14" s="3"/>
      <c r="J14" s="3"/>
      <c r="K14" s="123"/>
      <c r="L14" s="117"/>
      <c r="M14" s="105"/>
    </row>
    <row r="15" spans="1:13" ht="13.4" customHeight="1">
      <c r="A15" s="3">
        <f>'[2]shipper master'!C17</f>
        <v>0</v>
      </c>
      <c r="B15" s="105"/>
      <c r="C15" s="105"/>
      <c r="D15" s="105"/>
      <c r="E15" s="105"/>
      <c r="F15" s="290">
        <f>'[2]shipper master'!C29</f>
        <v>0</v>
      </c>
      <c r="G15" s="291"/>
      <c r="H15" s="291"/>
      <c r="I15" s="291"/>
      <c r="J15" s="291"/>
      <c r="K15" s="292"/>
      <c r="L15" s="143"/>
      <c r="M15" s="105"/>
    </row>
    <row r="16" spans="1:13" ht="13.4" customHeight="1">
      <c r="A16" s="3">
        <f>'[2]shipper master'!C18</f>
        <v>0</v>
      </c>
      <c r="B16" s="105"/>
      <c r="C16" s="105"/>
      <c r="D16" s="105"/>
      <c r="E16" s="105"/>
      <c r="F16" s="116" t="s">
        <v>118</v>
      </c>
      <c r="G16" s="109"/>
      <c r="H16" s="109"/>
      <c r="I16" s="109"/>
      <c r="J16" s="105"/>
      <c r="K16" s="105"/>
      <c r="L16" s="115"/>
      <c r="M16" s="105"/>
    </row>
    <row r="17" spans="1:13" ht="13.4" customHeight="1">
      <c r="A17" s="114">
        <f>'[2]shipper master'!C19</f>
        <v>0</v>
      </c>
      <c r="B17" s="124"/>
      <c r="C17" s="124"/>
      <c r="D17" s="124"/>
      <c r="E17" s="124"/>
      <c r="F17" s="293"/>
      <c r="G17" s="294"/>
      <c r="H17" s="294"/>
      <c r="I17" s="294"/>
      <c r="J17" s="294"/>
      <c r="K17" s="295"/>
      <c r="L17" s="115"/>
      <c r="M17" s="105"/>
    </row>
    <row r="18" spans="1:13" ht="13.4" customHeight="1">
      <c r="A18" s="109" t="s">
        <v>119</v>
      </c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15"/>
      <c r="M18" s="105"/>
    </row>
    <row r="19" spans="1:13" ht="13.4" customHeight="1">
      <c r="A19" s="114" t="str">
        <f>'[2]shipper master'!C21</f>
        <v xml:space="preserve"> NO COMMERCIAL</v>
      </c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5"/>
      <c r="M19" s="124"/>
    </row>
    <row r="20" spans="1:13" ht="13.4" customHeight="1">
      <c r="A20" s="109" t="s">
        <v>120</v>
      </c>
      <c r="B20" s="105"/>
      <c r="C20" s="105"/>
      <c r="D20" s="126" t="s">
        <v>121</v>
      </c>
      <c r="E20" s="127"/>
      <c r="F20" s="109" t="s">
        <v>122</v>
      </c>
      <c r="G20" s="109"/>
      <c r="H20" s="109"/>
      <c r="I20" s="109"/>
      <c r="J20" s="128" t="s">
        <v>123</v>
      </c>
      <c r="K20" s="129"/>
      <c r="L20" s="109" t="s">
        <v>124</v>
      </c>
      <c r="M20" s="105"/>
    </row>
    <row r="21" spans="1:13" s="1" customFormat="1" ht="13.4" customHeight="1" thickBot="1">
      <c r="A21" s="3" t="str">
        <f>'[2]shipper master'!C24</f>
        <v xml:space="preserve"> AIRCRAFT</v>
      </c>
      <c r="B21" s="107"/>
      <c r="C21" s="3"/>
      <c r="D21" s="130" t="str">
        <f>'[2]shipper master'!C32</f>
        <v xml:space="preserve"> TOKYO, JAPAN</v>
      </c>
      <c r="E21" s="4"/>
      <c r="F21" s="4"/>
      <c r="G21" s="4" t="str">
        <f>'[2]shipper master'!C33</f>
        <v xml:space="preserve"> HOCHIMINH-CITY, VIETNAM</v>
      </c>
      <c r="H21" s="3"/>
      <c r="I21" s="3"/>
      <c r="J21" s="107"/>
      <c r="K21" s="107"/>
      <c r="L21" s="4"/>
      <c r="M21" s="107"/>
    </row>
    <row r="22" spans="1:13" s="135" customFormat="1" ht="16.399999999999999" customHeight="1">
      <c r="A22" s="131" t="s">
        <v>125</v>
      </c>
      <c r="B22" s="131" t="s">
        <v>126</v>
      </c>
      <c r="C22" s="131"/>
      <c r="D22" s="132" t="s">
        <v>127</v>
      </c>
      <c r="E22" s="131" t="s">
        <v>128</v>
      </c>
      <c r="F22" s="132"/>
      <c r="G22" s="132"/>
      <c r="H22" s="132" t="s">
        <v>129</v>
      </c>
      <c r="I22" s="132"/>
      <c r="J22" s="132"/>
      <c r="K22" s="133" t="s">
        <v>130</v>
      </c>
      <c r="L22" s="131" t="s">
        <v>131</v>
      </c>
      <c r="M22" s="134" t="s">
        <v>132</v>
      </c>
    </row>
    <row r="23" spans="1:13" ht="13.4" customHeight="1">
      <c r="A23" s="136"/>
      <c r="B23" s="137"/>
      <c r="C23" s="137"/>
      <c r="D23" s="105"/>
      <c r="E23" s="137"/>
      <c r="F23" s="105"/>
      <c r="G23" s="105"/>
      <c r="H23" s="105"/>
      <c r="I23" s="105"/>
      <c r="J23" s="105"/>
      <c r="K23" s="138"/>
      <c r="L23" s="105"/>
      <c r="M23" s="115"/>
    </row>
    <row r="24" spans="1:13" s="1" customFormat="1" ht="13.4" customHeight="1">
      <c r="A24" s="139"/>
      <c r="B24" s="140" t="str">
        <f>'[2]shipper master'!C36</f>
        <v>FABRIC &amp; PARTS FOR WEAR &amp; SAMPLE CLOTHES</v>
      </c>
      <c r="C24" s="140"/>
      <c r="D24" s="4"/>
      <c r="E24" s="4"/>
      <c r="F24" s="4"/>
      <c r="G24" s="4"/>
      <c r="H24" s="4"/>
      <c r="I24" s="4"/>
      <c r="J24" s="4"/>
      <c r="K24" s="141"/>
      <c r="L24" s="142" t="str">
        <f>'[2]shipper master'!C48</f>
        <v>F.O.B. TOKYO IN YEN</v>
      </c>
      <c r="M24" s="143"/>
    </row>
    <row r="25" spans="1:13" s="1" customFormat="1" ht="13.4" customHeight="1">
      <c r="A25" s="139"/>
      <c r="B25" s="140"/>
      <c r="C25" s="140"/>
      <c r="D25" s="4"/>
      <c r="E25" s="4"/>
      <c r="F25" s="4"/>
      <c r="G25" s="4"/>
      <c r="H25" s="4"/>
      <c r="I25" s="4"/>
      <c r="J25" s="4"/>
      <c r="K25" s="141"/>
      <c r="L25" s="144"/>
      <c r="M25" s="143"/>
    </row>
    <row r="26" spans="1:13" s="1" customFormat="1" ht="13.4" customHeight="1">
      <c r="A26" s="145"/>
      <c r="B26" s="140">
        <f>'[2]shipper master'!C37</f>
        <v>0</v>
      </c>
      <c r="C26" s="140"/>
      <c r="D26" s="4"/>
      <c r="E26" s="4"/>
      <c r="F26" s="3"/>
      <c r="G26" s="3"/>
      <c r="H26" s="3"/>
      <c r="I26" s="3"/>
      <c r="J26" s="3"/>
      <c r="K26" s="147">
        <f>'NARITA '!E42</f>
        <v>186.5</v>
      </c>
      <c r="L26" s="148" t="s">
        <v>147</v>
      </c>
      <c r="M26" s="149">
        <f>'NARITA '!H42</f>
        <v>171995</v>
      </c>
    </row>
    <row r="27" spans="1:13" s="1" customFormat="1" ht="13.4" customHeight="1">
      <c r="A27" s="5"/>
      <c r="B27" s="4"/>
      <c r="C27" s="4"/>
      <c r="D27" s="3"/>
      <c r="E27" s="4"/>
      <c r="F27" s="4"/>
      <c r="G27" s="4"/>
      <c r="H27" s="4"/>
      <c r="I27" s="4"/>
      <c r="J27" s="4"/>
      <c r="K27" s="147">
        <f>'NARITA '!E43</f>
        <v>870</v>
      </c>
      <c r="L27" s="148" t="s">
        <v>144</v>
      </c>
      <c r="M27" s="149">
        <f>'NARITA '!H43</f>
        <v>391700</v>
      </c>
    </row>
    <row r="28" spans="1:13" s="1" customFormat="1" ht="13.4" customHeight="1">
      <c r="A28" s="150"/>
      <c r="B28" s="22" t="str">
        <f>'[2]shipper master'!C38</f>
        <v>- DETAILS AS PER ATTACHED SHEET -</v>
      </c>
      <c r="C28" s="22"/>
      <c r="D28" s="3"/>
      <c r="E28" s="4"/>
      <c r="F28" s="3"/>
      <c r="G28" s="3"/>
      <c r="H28" s="3"/>
      <c r="I28" s="3"/>
      <c r="J28" s="3"/>
      <c r="K28" s="147">
        <f>'NARITA '!E44</f>
        <v>0</v>
      </c>
      <c r="L28" s="148" t="s">
        <v>157</v>
      </c>
      <c r="M28" s="149">
        <f>'NARITA '!H44</f>
        <v>0</v>
      </c>
    </row>
    <row r="29" spans="1:13" s="1" customFormat="1" ht="13.4" customHeight="1">
      <c r="A29" s="150"/>
      <c r="B29" s="22"/>
      <c r="C29" s="22"/>
      <c r="D29" s="3"/>
      <c r="E29" s="4"/>
      <c r="F29" s="3"/>
      <c r="G29" s="3"/>
      <c r="H29" s="3"/>
      <c r="I29" s="3"/>
      <c r="J29" s="3"/>
      <c r="K29" s="151"/>
      <c r="L29" s="148"/>
      <c r="M29" s="152"/>
    </row>
    <row r="30" spans="1:13" s="1" customFormat="1" ht="17.25" customHeight="1" thickBot="1">
      <c r="A30" s="153"/>
      <c r="B30" s="154" t="s">
        <v>143</v>
      </c>
      <c r="C30" s="189"/>
      <c r="D30" s="192">
        <f>K26</f>
        <v>186.5</v>
      </c>
      <c r="E30" s="189" t="s">
        <v>146</v>
      </c>
      <c r="F30" s="296">
        <f>K27</f>
        <v>870</v>
      </c>
      <c r="G30" s="296"/>
      <c r="H30" s="296"/>
      <c r="I30" s="155" t="s">
        <v>85</v>
      </c>
      <c r="J30" s="155" t="s">
        <v>85</v>
      </c>
      <c r="K30" s="274">
        <f>K28</f>
        <v>0</v>
      </c>
      <c r="L30" s="190" t="s">
        <v>157</v>
      </c>
      <c r="M30" s="156">
        <f>SUM(M26:M29)</f>
        <v>563695</v>
      </c>
    </row>
    <row r="31" spans="1:13" s="1" customFormat="1" ht="13.4" customHeight="1" thickTop="1">
      <c r="A31" s="157"/>
      <c r="B31" s="158"/>
      <c r="C31" s="158"/>
      <c r="D31" s="3"/>
      <c r="E31" s="159"/>
      <c r="F31" s="3"/>
      <c r="G31" s="159"/>
      <c r="H31" s="3"/>
      <c r="I31" s="3"/>
      <c r="J31" s="3"/>
      <c r="K31" s="150"/>
      <c r="L31" s="160"/>
      <c r="M31" s="157"/>
    </row>
    <row r="32" spans="1:13" s="1" customFormat="1" ht="13.4" customHeight="1">
      <c r="A32" s="3"/>
      <c r="B32" s="4"/>
      <c r="C32" s="4"/>
      <c r="D32" s="3"/>
      <c r="E32" s="3"/>
      <c r="F32" s="3"/>
      <c r="G32" s="3"/>
      <c r="H32" s="3"/>
      <c r="I32" s="3"/>
      <c r="J32" s="3"/>
      <c r="K32" s="161"/>
      <c r="L32" s="160"/>
      <c r="M32" s="162"/>
    </row>
    <row r="33" spans="1:13" s="1" customFormat="1" ht="13.4" customHeight="1">
      <c r="A33" s="3" t="str">
        <f>'[2]shipper master'!C63</f>
        <v>" THESE GOODS WILL BE RETURN TO JAPAN</v>
      </c>
      <c r="B33" s="163"/>
      <c r="C33" s="163"/>
      <c r="D33" s="163"/>
      <c r="E33" s="163"/>
      <c r="F33" s="163"/>
      <c r="G33" s="3"/>
      <c r="H33" s="3"/>
      <c r="I33" s="3" t="s">
        <v>133</v>
      </c>
      <c r="J33" s="3"/>
      <c r="K33" s="161" t="s">
        <v>134</v>
      </c>
      <c r="L33" s="160"/>
      <c r="M33" s="3"/>
    </row>
    <row r="34" spans="1:13" s="1" customFormat="1" ht="13.4" customHeight="1">
      <c r="A34" s="288" t="str">
        <f>'[2]shipper master'!C64</f>
        <v xml:space="preserve">  AFTER MANUFACTURED AT VIET NAM "</v>
      </c>
      <c r="B34" s="288"/>
      <c r="C34" s="288"/>
      <c r="D34" s="288"/>
      <c r="E34" s="4"/>
      <c r="F34" s="3"/>
      <c r="G34" s="3"/>
      <c r="H34" s="3"/>
      <c r="I34" s="3" t="s">
        <v>135</v>
      </c>
      <c r="J34" s="3"/>
      <c r="K34" s="161" t="s">
        <v>136</v>
      </c>
      <c r="L34" s="160"/>
      <c r="M34" s="162"/>
    </row>
    <row r="35" spans="1:13" s="1" customFormat="1" ht="13.4" customHeight="1">
      <c r="A35" s="3"/>
      <c r="B35" s="4"/>
      <c r="C35" s="4"/>
      <c r="D35" s="4">
        <f>'[2]shipper master'!C58</f>
        <v>0</v>
      </c>
      <c r="E35" s="4"/>
      <c r="F35" s="3"/>
      <c r="G35" s="3"/>
      <c r="H35" s="3"/>
      <c r="I35" s="3"/>
      <c r="J35" s="3"/>
      <c r="K35" s="150"/>
      <c r="L35" s="160"/>
      <c r="M35" s="3"/>
    </row>
    <row r="36" spans="1:13" s="1" customFormat="1" ht="13.4" customHeight="1">
      <c r="A36" s="4" t="str">
        <f>'[2]shipper master'!C60</f>
        <v>COUNTRY OF ORIGIN : JAPAN</v>
      </c>
      <c r="B36" s="4"/>
      <c r="C36" s="4"/>
      <c r="D36" s="4"/>
      <c r="E36" s="4"/>
      <c r="F36" s="3"/>
      <c r="G36" s="3"/>
      <c r="H36" s="3"/>
      <c r="I36" s="3"/>
      <c r="J36" s="3"/>
      <c r="K36" s="150"/>
      <c r="L36" s="160"/>
      <c r="M36" s="3"/>
    </row>
    <row r="37" spans="1:13" s="1" customFormat="1" ht="13.4" customHeight="1">
      <c r="A37" s="4"/>
      <c r="B37" s="4"/>
      <c r="C37" s="4"/>
      <c r="D37" s="4"/>
      <c r="E37" s="4"/>
      <c r="F37" s="3"/>
      <c r="G37" s="3"/>
      <c r="H37" s="3"/>
      <c r="I37" s="3"/>
      <c r="J37" s="3"/>
      <c r="K37" s="150"/>
      <c r="L37" s="160"/>
      <c r="M37" s="3"/>
    </row>
    <row r="38" spans="1:13" s="1" customFormat="1" ht="13.4" customHeight="1">
      <c r="A38" s="164" t="s">
        <v>137</v>
      </c>
      <c r="B38" s="165"/>
      <c r="C38" s="165"/>
      <c r="D38" s="166" t="s">
        <v>194</v>
      </c>
      <c r="E38" s="4"/>
      <c r="F38" s="3"/>
      <c r="G38" s="3"/>
      <c r="H38" s="3"/>
      <c r="I38" s="3"/>
      <c r="J38" s="3"/>
      <c r="K38" s="150"/>
      <c r="L38" s="160"/>
      <c r="M38" s="3"/>
    </row>
    <row r="39" spans="1:13" s="1" customFormat="1" ht="13.4" customHeight="1">
      <c r="A39" s="164" t="s">
        <v>138</v>
      </c>
      <c r="B39" s="165"/>
      <c r="C39" s="165"/>
      <c r="D39" s="167" t="s">
        <v>139</v>
      </c>
      <c r="E39" s="4"/>
      <c r="F39" s="3"/>
      <c r="G39" s="3"/>
      <c r="H39" s="3"/>
      <c r="I39" s="3"/>
      <c r="J39" s="3"/>
      <c r="K39" s="150"/>
      <c r="L39" s="160"/>
      <c r="M39" s="3"/>
    </row>
    <row r="40" spans="1:13" s="1" customFormat="1" ht="13.4" customHeight="1">
      <c r="A40" s="146"/>
      <c r="B40" s="140"/>
      <c r="C40" s="140"/>
      <c r="D40" s="168"/>
      <c r="E40" s="140"/>
      <c r="F40" s="169"/>
      <c r="G40" s="169"/>
      <c r="H40" s="169"/>
      <c r="I40" s="3"/>
      <c r="J40" s="3"/>
      <c r="K40" s="150"/>
      <c r="L40" s="160"/>
      <c r="M40" s="3"/>
    </row>
    <row r="41" spans="1:13" ht="18" customHeight="1">
      <c r="A41" s="146"/>
      <c r="B41" s="105"/>
      <c r="C41" s="105"/>
      <c r="D41" s="105"/>
      <c r="E41" s="105"/>
      <c r="F41" s="105"/>
      <c r="G41" s="105"/>
      <c r="H41" s="137"/>
      <c r="I41" s="105"/>
      <c r="J41" s="105"/>
      <c r="K41" s="137"/>
      <c r="L41" s="170"/>
      <c r="M41" s="105"/>
    </row>
    <row r="42" spans="1:13" ht="13.4" customHeight="1">
      <c r="A42" s="105"/>
      <c r="B42" s="171"/>
      <c r="C42" s="171"/>
      <c r="D42" s="105"/>
      <c r="E42" s="105"/>
      <c r="F42" s="105"/>
      <c r="G42" s="105"/>
      <c r="H42" s="105"/>
      <c r="I42" s="105"/>
      <c r="J42" s="105"/>
      <c r="K42" s="172"/>
      <c r="L42" s="170"/>
      <c r="M42" s="105"/>
    </row>
    <row r="43" spans="1:13" ht="13.4" customHeight="1">
      <c r="A43" s="105"/>
      <c r="B43" s="171"/>
      <c r="C43" s="171"/>
      <c r="D43" s="105"/>
      <c r="E43" s="105"/>
      <c r="F43" s="105"/>
      <c r="G43" s="105"/>
      <c r="H43" s="105"/>
      <c r="I43" s="105"/>
      <c r="J43" s="105"/>
      <c r="K43" s="172"/>
      <c r="L43" s="170"/>
      <c r="M43" s="105"/>
    </row>
    <row r="44" spans="1:13" ht="13.4" customHeight="1">
      <c r="A44" s="105"/>
      <c r="B44" s="105"/>
      <c r="C44" s="105"/>
      <c r="D44" s="105"/>
      <c r="E44" s="105"/>
      <c r="F44" s="105"/>
      <c r="G44" s="105"/>
      <c r="H44" s="124"/>
      <c r="I44" s="124"/>
      <c r="J44" s="124"/>
      <c r="K44" s="173"/>
      <c r="L44" s="174"/>
      <c r="M44" s="124"/>
    </row>
    <row r="45" spans="1:13" ht="13.4" customHeight="1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72"/>
      <c r="L45" s="170"/>
      <c r="M45" s="105"/>
    </row>
    <row r="46" spans="1:13" ht="13.4" customHeight="1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72"/>
      <c r="L46" s="170"/>
      <c r="M46" s="105"/>
    </row>
    <row r="47" spans="1:13" ht="13.4" customHeight="1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72"/>
      <c r="L47" s="170"/>
      <c r="M47" s="105"/>
    </row>
    <row r="48" spans="1:13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72"/>
      <c r="L48" s="170"/>
      <c r="M48" s="105"/>
    </row>
    <row r="49" spans="1:13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72"/>
      <c r="L49" s="175"/>
      <c r="M49" s="105"/>
    </row>
    <row r="50" spans="1:13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72"/>
      <c r="L50" s="175"/>
      <c r="M50" s="105"/>
    </row>
    <row r="51" spans="1:13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72"/>
      <c r="L51" s="175"/>
      <c r="M51" s="105"/>
    </row>
    <row r="52" spans="1:13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72"/>
      <c r="L52" s="175"/>
      <c r="M52" s="105"/>
    </row>
    <row r="53" spans="1:13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72"/>
      <c r="L53" s="175"/>
      <c r="M53" s="105"/>
    </row>
    <row r="54" spans="1:13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72"/>
      <c r="L54" s="175"/>
      <c r="M54" s="105"/>
    </row>
    <row r="55" spans="1:13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72"/>
      <c r="L55" s="175"/>
      <c r="M55" s="105"/>
    </row>
    <row r="56" spans="1:13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72"/>
      <c r="L56" s="175"/>
      <c r="M56" s="105"/>
    </row>
    <row r="57" spans="1:13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72"/>
      <c r="L57" s="175"/>
      <c r="M57" s="105"/>
    </row>
    <row r="58" spans="1:13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72"/>
      <c r="L58" s="175"/>
      <c r="M58" s="105"/>
    </row>
    <row r="59" spans="1:13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72"/>
      <c r="L59" s="175"/>
      <c r="M59" s="105"/>
    </row>
    <row r="60" spans="1:13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72"/>
      <c r="L60" s="175"/>
      <c r="M60" s="105"/>
    </row>
    <row r="61" spans="1:13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72"/>
      <c r="L61" s="175"/>
      <c r="M61" s="105"/>
    </row>
    <row r="62" spans="1:13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72"/>
      <c r="L62" s="175"/>
      <c r="M62" s="105"/>
    </row>
    <row r="63" spans="1:13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72"/>
      <c r="L63" s="175"/>
      <c r="M63" s="105"/>
    </row>
    <row r="64" spans="1:13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72"/>
      <c r="L64" s="175"/>
      <c r="M64" s="105"/>
    </row>
    <row r="65" spans="1:13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72"/>
      <c r="L65" s="175"/>
      <c r="M65" s="105"/>
    </row>
    <row r="66" spans="1:13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72"/>
      <c r="L66" s="175"/>
      <c r="M66" s="105"/>
    </row>
    <row r="67" spans="1:13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72"/>
      <c r="L67" s="175"/>
      <c r="M67" s="105"/>
    </row>
    <row r="68" spans="1:13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72"/>
      <c r="L68" s="175"/>
      <c r="M68" s="105"/>
    </row>
    <row r="69" spans="1:13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72"/>
      <c r="L69" s="175"/>
      <c r="M69" s="105"/>
    </row>
    <row r="70" spans="1:13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72"/>
      <c r="L70" s="175"/>
      <c r="M70" s="105"/>
    </row>
    <row r="71" spans="1:13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72"/>
      <c r="L71" s="175"/>
      <c r="M71" s="105"/>
    </row>
    <row r="72" spans="1:13">
      <c r="K72" s="176"/>
      <c r="L72" s="177"/>
    </row>
    <row r="73" spans="1:13">
      <c r="K73" s="176"/>
      <c r="L73" s="177"/>
    </row>
    <row r="74" spans="1:13">
      <c r="L74" s="177"/>
    </row>
    <row r="75" spans="1:13">
      <c r="L75" s="177"/>
    </row>
    <row r="76" spans="1:13">
      <c r="L76" s="177"/>
    </row>
    <row r="77" spans="1:13">
      <c r="L77" s="177"/>
    </row>
    <row r="78" spans="1:13">
      <c r="L78" s="177"/>
    </row>
    <row r="79" spans="1:13">
      <c r="L79" s="177"/>
    </row>
    <row r="80" spans="1:13">
      <c r="L80" s="177"/>
    </row>
    <row r="81" spans="12:12">
      <c r="L81" s="177"/>
    </row>
    <row r="82" spans="12:12">
      <c r="L82" s="177"/>
    </row>
    <row r="83" spans="12:12">
      <c r="L83" s="177"/>
    </row>
    <row r="84" spans="12:12">
      <c r="L84" s="177"/>
    </row>
    <row r="85" spans="12:12">
      <c r="L85" s="177"/>
    </row>
    <row r="86" spans="12:12">
      <c r="L86" s="177"/>
    </row>
    <row r="87" spans="12:12">
      <c r="L87" s="177"/>
    </row>
    <row r="88" spans="12:12">
      <c r="L88" s="177"/>
    </row>
    <row r="89" spans="12:12">
      <c r="L89" s="177"/>
    </row>
    <row r="90" spans="12:12">
      <c r="L90" s="177"/>
    </row>
    <row r="91" spans="12:12">
      <c r="L91" s="177"/>
    </row>
  </sheetData>
  <mergeCells count="7">
    <mergeCell ref="A34:D34"/>
    <mergeCell ref="A1:M1"/>
    <mergeCell ref="F11:K11"/>
    <mergeCell ref="F13:K13"/>
    <mergeCell ref="F15:K15"/>
    <mergeCell ref="F17:K17"/>
    <mergeCell ref="F30:H30"/>
  </mergeCells>
  <phoneticPr fontId="14"/>
  <pageMargins left="0.39370078740157483" right="0.19685039370078741" top="0.59055118110236227" bottom="0.39370078740157483" header="0.51181102362204722" footer="0.51181102362204722"/>
  <pageSetup paperSize="9" scale="8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F2D7-8C5B-4657-9A89-31A2E6BE6E68}">
  <dimension ref="A1:N97"/>
  <sheetViews>
    <sheetView view="pageBreakPreview" zoomScale="70" zoomScaleNormal="90" zoomScaleSheetLayoutView="70" workbookViewId="0">
      <selection activeCell="L19" sqref="L19"/>
    </sheetView>
  </sheetViews>
  <sheetFormatPr defaultRowHeight="15"/>
  <cols>
    <col min="1" max="1" width="7.90625" style="7" customWidth="1"/>
    <col min="2" max="2" width="41.90625" style="22" customWidth="1"/>
    <col min="3" max="3" width="24.08984375" style="7" customWidth="1"/>
    <col min="4" max="4" width="60.36328125" style="3" customWidth="1"/>
    <col min="5" max="5" width="10.08984375" style="7" customWidth="1"/>
    <col min="6" max="6" width="5.6328125" style="7" customWidth="1"/>
    <col min="7" max="7" width="13.453125" style="7" customWidth="1"/>
    <col min="8" max="8" width="13.90625" style="7" customWidth="1"/>
    <col min="9" max="9" width="36" style="7" customWidth="1"/>
    <col min="10" max="10" width="14.453125" style="7" customWidth="1"/>
    <col min="11" max="11" width="11.453125" style="7" customWidth="1"/>
    <col min="12" max="12" width="25.36328125" style="7" customWidth="1"/>
    <col min="13" max="13" width="10.08984375" style="7" customWidth="1"/>
    <col min="14" max="14" width="7" style="7" customWidth="1"/>
  </cols>
  <sheetData>
    <row r="1" spans="1:14">
      <c r="A1" s="5"/>
      <c r="I1" s="5"/>
      <c r="J1" s="5"/>
      <c r="K1" s="5"/>
      <c r="L1" s="5"/>
      <c r="M1" s="5"/>
      <c r="N1" s="5"/>
    </row>
    <row r="2" spans="1:14" ht="15.5" thickBot="1">
      <c r="A2" s="297" t="s">
        <v>98</v>
      </c>
      <c r="B2" s="297"/>
      <c r="C2" s="297"/>
      <c r="D2" s="297"/>
      <c r="E2" s="297"/>
      <c r="F2" s="297"/>
      <c r="G2" s="297"/>
      <c r="H2" s="297"/>
      <c r="I2" s="36"/>
      <c r="L2" s="37"/>
      <c r="M2" s="37"/>
      <c r="N2" s="37"/>
    </row>
    <row r="3" spans="1:14" ht="15.5" thickBot="1">
      <c r="A3" s="38"/>
      <c r="B3" s="39"/>
      <c r="C3" s="38"/>
      <c r="D3" s="38"/>
      <c r="E3" s="38"/>
      <c r="F3" s="38"/>
      <c r="G3" s="38"/>
      <c r="H3" s="38"/>
      <c r="I3" s="36"/>
      <c r="L3" s="37"/>
      <c r="M3" s="37"/>
      <c r="N3" s="37"/>
    </row>
    <row r="4" spans="1:14" ht="21.75" customHeight="1" thickBot="1">
      <c r="A4" s="40" t="s">
        <v>36</v>
      </c>
      <c r="B4" s="24" t="s">
        <v>96</v>
      </c>
      <c r="C4" s="40" t="s">
        <v>86</v>
      </c>
      <c r="D4" s="23" t="s">
        <v>87</v>
      </c>
      <c r="E4" s="40" t="s">
        <v>88</v>
      </c>
      <c r="F4" s="298" t="s">
        <v>89</v>
      </c>
      <c r="G4" s="299"/>
      <c r="H4" s="41" t="s">
        <v>90</v>
      </c>
      <c r="I4" s="42" t="s">
        <v>91</v>
      </c>
      <c r="J4" s="43" t="s">
        <v>92</v>
      </c>
      <c r="K4" s="44" t="s">
        <v>93</v>
      </c>
      <c r="L4" s="45" t="s">
        <v>106</v>
      </c>
      <c r="M4" s="45" t="s">
        <v>94</v>
      </c>
      <c r="N4" s="46" t="s">
        <v>95</v>
      </c>
    </row>
    <row r="5" spans="1:14">
      <c r="A5" s="47"/>
      <c r="B5" s="48"/>
      <c r="C5" s="49"/>
      <c r="D5" s="50"/>
      <c r="E5" s="49"/>
      <c r="F5" s="49"/>
      <c r="G5" s="51"/>
      <c r="H5" s="51"/>
      <c r="I5" s="52"/>
      <c r="J5" s="53"/>
      <c r="K5" s="53"/>
      <c r="L5" s="53"/>
      <c r="M5" s="53"/>
      <c r="N5" s="54"/>
    </row>
    <row r="6" spans="1:14">
      <c r="A6" s="55"/>
      <c r="B6" s="56" t="s">
        <v>97</v>
      </c>
      <c r="C6" s="49"/>
      <c r="D6" s="57" t="str">
        <f>[3]invoice!B24</f>
        <v>FABRIC &amp; PARTS FOR WEAR &amp; SAMPLE CLOTHES</v>
      </c>
      <c r="E6" s="51"/>
      <c r="F6" s="51"/>
      <c r="G6" s="58" t="str">
        <f>'[1]shipper master'!C48</f>
        <v>F.O.B. TOKYO IN YEN</v>
      </c>
      <c r="H6" s="51"/>
      <c r="I6" s="59"/>
      <c r="J6" s="60"/>
      <c r="K6" s="60"/>
      <c r="L6" s="60"/>
      <c r="M6" s="60"/>
      <c r="N6" s="61"/>
    </row>
    <row r="7" spans="1:14" ht="15.5" thickBot="1">
      <c r="A7" s="62"/>
      <c r="B7" s="63"/>
      <c r="C7" s="64"/>
      <c r="D7" s="65" t="s">
        <v>107</v>
      </c>
      <c r="E7" s="64"/>
      <c r="F7" s="64"/>
      <c r="G7" s="66"/>
      <c r="H7" s="20"/>
      <c r="I7" s="67"/>
      <c r="J7" s="68"/>
      <c r="K7" s="68"/>
      <c r="L7" s="68"/>
      <c r="M7" s="69"/>
      <c r="N7" s="70"/>
    </row>
    <row r="8" spans="1:14" ht="15.65" customHeight="1">
      <c r="A8" s="300" t="s">
        <v>183</v>
      </c>
      <c r="B8" s="29"/>
      <c r="C8" s="29"/>
      <c r="D8" s="187" t="s">
        <v>167</v>
      </c>
      <c r="E8" s="71"/>
      <c r="F8" s="71"/>
      <c r="G8" s="72"/>
      <c r="H8" s="73"/>
      <c r="I8" s="303" t="s">
        <v>170</v>
      </c>
      <c r="J8" s="284"/>
      <c r="K8" s="73"/>
      <c r="L8" s="73"/>
      <c r="M8" s="73"/>
      <c r="N8" s="306">
        <v>4</v>
      </c>
    </row>
    <row r="9" spans="1:14">
      <c r="A9" s="301"/>
      <c r="B9" s="30" t="s">
        <v>162</v>
      </c>
      <c r="C9" s="193" t="s">
        <v>165</v>
      </c>
      <c r="D9" s="21" t="s">
        <v>145</v>
      </c>
      <c r="E9" s="198">
        <v>120</v>
      </c>
      <c r="F9" s="76" t="s">
        <v>146</v>
      </c>
      <c r="G9" s="194">
        <v>530</v>
      </c>
      <c r="H9" s="195">
        <f>E9*G9</f>
        <v>63600</v>
      </c>
      <c r="I9" s="304"/>
      <c r="J9" s="228"/>
      <c r="K9" s="51"/>
      <c r="L9" s="279"/>
      <c r="M9" s="51"/>
      <c r="N9" s="307"/>
    </row>
    <row r="10" spans="1:14" ht="16.5">
      <c r="A10" s="301"/>
      <c r="B10" s="21" t="s">
        <v>145</v>
      </c>
      <c r="C10" s="74"/>
      <c r="D10" s="225" t="s">
        <v>168</v>
      </c>
      <c r="E10" s="75"/>
      <c r="F10" s="76"/>
      <c r="G10" s="194"/>
      <c r="H10" s="195"/>
      <c r="I10" s="304"/>
      <c r="J10" s="228"/>
      <c r="K10" s="51"/>
      <c r="L10" s="51"/>
      <c r="M10" s="51"/>
      <c r="N10" s="307"/>
    </row>
    <row r="11" spans="1:14" ht="16.5">
      <c r="A11" s="301"/>
      <c r="B11" s="33" t="s">
        <v>163</v>
      </c>
      <c r="C11" s="74"/>
      <c r="D11" s="32" t="s">
        <v>169</v>
      </c>
      <c r="E11" s="75"/>
      <c r="F11" s="76"/>
      <c r="G11" s="77"/>
      <c r="H11" s="78"/>
      <c r="I11" s="304"/>
      <c r="J11" s="228"/>
      <c r="K11" s="51"/>
      <c r="L11" s="51"/>
      <c r="M11" s="51"/>
      <c r="N11" s="307"/>
    </row>
    <row r="12" spans="1:14" ht="15.5" thickBot="1">
      <c r="A12" s="301"/>
      <c r="B12" s="35" t="s">
        <v>164</v>
      </c>
      <c r="C12" s="79"/>
      <c r="D12" s="34"/>
      <c r="E12" s="80"/>
      <c r="F12" s="191"/>
      <c r="G12" s="81"/>
      <c r="H12" s="82"/>
      <c r="I12" s="304"/>
      <c r="J12" s="228"/>
      <c r="K12" s="51"/>
      <c r="L12" s="51"/>
      <c r="M12" s="51"/>
      <c r="N12" s="307"/>
    </row>
    <row r="13" spans="1:14" ht="15.5" thickBot="1">
      <c r="A13" s="301"/>
      <c r="B13" s="196"/>
      <c r="C13" s="193"/>
      <c r="D13" s="197"/>
      <c r="E13" s="237"/>
      <c r="F13" s="226"/>
      <c r="G13" s="83"/>
      <c r="H13" s="84"/>
      <c r="I13" s="304"/>
      <c r="J13" s="228"/>
      <c r="K13" s="51"/>
      <c r="L13" s="51"/>
      <c r="M13" s="51"/>
      <c r="N13" s="307"/>
    </row>
    <row r="14" spans="1:14" ht="15.65" customHeight="1">
      <c r="A14" s="301"/>
      <c r="B14" s="29"/>
      <c r="C14" s="29"/>
      <c r="D14" s="187" t="s">
        <v>167</v>
      </c>
      <c r="E14" s="71"/>
      <c r="F14" s="71"/>
      <c r="G14" s="72"/>
      <c r="H14" s="73"/>
      <c r="I14" s="304"/>
      <c r="J14" s="228"/>
      <c r="K14" s="51"/>
      <c r="L14" s="51"/>
      <c r="M14" s="51"/>
      <c r="N14" s="307"/>
    </row>
    <row r="15" spans="1:14">
      <c r="A15" s="301"/>
      <c r="B15" s="30" t="s">
        <v>198</v>
      </c>
      <c r="C15" s="193" t="s">
        <v>199</v>
      </c>
      <c r="D15" s="21" t="s">
        <v>145</v>
      </c>
      <c r="E15" s="198">
        <v>66.5</v>
      </c>
      <c r="F15" s="76" t="s">
        <v>146</v>
      </c>
      <c r="G15" s="194">
        <v>1630</v>
      </c>
      <c r="H15" s="195">
        <f>E15*G15</f>
        <v>108395</v>
      </c>
      <c r="I15" s="304"/>
      <c r="J15" s="228"/>
      <c r="K15" s="51"/>
      <c r="L15" s="279"/>
      <c r="M15" s="51"/>
      <c r="N15" s="307"/>
    </row>
    <row r="16" spans="1:14" ht="16.5">
      <c r="A16" s="301"/>
      <c r="B16" s="21" t="s">
        <v>145</v>
      </c>
      <c r="C16" s="74"/>
      <c r="D16" s="225" t="s">
        <v>168</v>
      </c>
      <c r="E16" s="75"/>
      <c r="F16" s="76"/>
      <c r="G16" s="77"/>
      <c r="H16" s="78"/>
      <c r="I16" s="304"/>
      <c r="J16" s="228"/>
      <c r="K16" s="51"/>
      <c r="L16" s="51"/>
      <c r="M16" s="51"/>
      <c r="N16" s="307"/>
    </row>
    <row r="17" spans="1:14" ht="16.5">
      <c r="A17" s="301"/>
      <c r="B17" s="33" t="s">
        <v>200</v>
      </c>
      <c r="C17" s="74"/>
      <c r="D17" s="32" t="s">
        <v>201</v>
      </c>
      <c r="E17" s="75"/>
      <c r="F17" s="76"/>
      <c r="G17" s="77"/>
      <c r="H17" s="78"/>
      <c r="I17" s="304"/>
      <c r="J17" s="228"/>
      <c r="K17" s="51"/>
      <c r="L17" s="51"/>
      <c r="M17" s="51"/>
      <c r="N17" s="307"/>
    </row>
    <row r="18" spans="1:14" ht="15.5" thickBot="1">
      <c r="A18" s="301"/>
      <c r="B18" s="35" t="s">
        <v>202</v>
      </c>
      <c r="C18" s="79"/>
      <c r="D18" s="34"/>
      <c r="E18" s="80"/>
      <c r="F18" s="191"/>
      <c r="G18" s="81"/>
      <c r="H18" s="82"/>
      <c r="I18" s="304"/>
      <c r="J18" s="228"/>
      <c r="K18" s="51"/>
      <c r="L18" s="51"/>
      <c r="M18" s="51"/>
      <c r="N18" s="307"/>
    </row>
    <row r="19" spans="1:14" ht="15.5" thickBot="1">
      <c r="A19" s="301"/>
      <c r="B19" s="196"/>
      <c r="C19" s="193"/>
      <c r="D19" s="197"/>
      <c r="E19" s="237"/>
      <c r="F19" s="226"/>
      <c r="G19" s="83"/>
      <c r="H19" s="84"/>
      <c r="I19" s="304"/>
      <c r="J19" s="228"/>
      <c r="K19" s="51"/>
      <c r="L19" s="51"/>
      <c r="M19" s="51"/>
      <c r="N19" s="307"/>
    </row>
    <row r="20" spans="1:14" ht="15.65" customHeight="1">
      <c r="A20" s="301"/>
      <c r="B20" s="258"/>
      <c r="C20" s="29"/>
      <c r="D20" s="187" t="s">
        <v>166</v>
      </c>
      <c r="E20" s="71"/>
      <c r="F20" s="71"/>
      <c r="G20" s="72"/>
      <c r="H20" s="73"/>
      <c r="I20" s="304"/>
      <c r="J20" s="265"/>
      <c r="K20" s="51"/>
      <c r="L20" s="51"/>
      <c r="M20" s="51"/>
      <c r="N20" s="307"/>
    </row>
    <row r="21" spans="1:14" ht="16.5">
      <c r="A21" s="301"/>
      <c r="B21" s="259" t="s">
        <v>173</v>
      </c>
      <c r="C21" s="74" t="s">
        <v>160</v>
      </c>
      <c r="D21" s="31" t="s">
        <v>156</v>
      </c>
      <c r="E21" s="75">
        <v>95</v>
      </c>
      <c r="F21" s="76" t="s">
        <v>85</v>
      </c>
      <c r="G21" s="77">
        <v>1000</v>
      </c>
      <c r="H21" s="78">
        <f>E21*G21</f>
        <v>95000</v>
      </c>
      <c r="I21" s="304"/>
      <c r="J21" s="264"/>
      <c r="K21" s="51"/>
      <c r="L21" s="279"/>
      <c r="M21" s="51"/>
      <c r="N21" s="307"/>
    </row>
    <row r="22" spans="1:14" ht="16.5">
      <c r="A22" s="301"/>
      <c r="B22" s="259" t="s">
        <v>156</v>
      </c>
      <c r="C22" s="74"/>
      <c r="D22" s="31" t="s">
        <v>174</v>
      </c>
      <c r="E22" s="75"/>
      <c r="F22" s="76"/>
      <c r="G22" s="77"/>
      <c r="H22" s="78"/>
      <c r="I22" s="304"/>
      <c r="J22" s="265"/>
      <c r="K22" s="51"/>
      <c r="L22" s="51"/>
      <c r="M22" s="51"/>
      <c r="N22" s="307"/>
    </row>
    <row r="23" spans="1:14">
      <c r="A23" s="301"/>
      <c r="B23" s="276" t="s">
        <v>171</v>
      </c>
      <c r="C23" s="74"/>
      <c r="D23" s="32" t="s">
        <v>175</v>
      </c>
      <c r="E23" s="75"/>
      <c r="F23" s="76"/>
      <c r="G23" s="77"/>
      <c r="H23" s="78"/>
      <c r="I23" s="304"/>
      <c r="J23" s="257"/>
      <c r="K23" s="51"/>
      <c r="L23" s="51"/>
      <c r="M23" s="51"/>
      <c r="N23" s="307"/>
    </row>
    <row r="24" spans="1:14" ht="15.5" thickBot="1">
      <c r="A24" s="301"/>
      <c r="B24" s="277" t="s">
        <v>172</v>
      </c>
      <c r="C24" s="243"/>
      <c r="D24" s="244"/>
      <c r="E24" s="80"/>
      <c r="F24" s="80"/>
      <c r="G24" s="81"/>
      <c r="H24" s="82"/>
      <c r="I24" s="304"/>
      <c r="J24" s="265" t="s">
        <v>193</v>
      </c>
      <c r="K24" s="51"/>
      <c r="L24" s="51"/>
      <c r="M24" s="51"/>
      <c r="N24" s="307"/>
    </row>
    <row r="25" spans="1:14" ht="15.5" thickBot="1">
      <c r="A25" s="301"/>
      <c r="B25" s="260"/>
      <c r="C25" s="261"/>
      <c r="D25" s="262"/>
      <c r="E25" s="263"/>
      <c r="F25" s="263"/>
      <c r="G25" s="83"/>
      <c r="H25" s="84"/>
      <c r="I25" s="304"/>
      <c r="J25" s="85"/>
      <c r="K25" s="51"/>
      <c r="L25" s="51"/>
      <c r="M25" s="51"/>
      <c r="N25" s="307"/>
    </row>
    <row r="26" spans="1:14" ht="15.65" customHeight="1">
      <c r="A26" s="301"/>
      <c r="B26" s="258"/>
      <c r="C26" s="29"/>
      <c r="D26" s="187" t="s">
        <v>166</v>
      </c>
      <c r="E26" s="71"/>
      <c r="F26" s="71"/>
      <c r="G26" s="72"/>
      <c r="H26" s="73"/>
      <c r="I26" s="304"/>
      <c r="J26" s="265"/>
      <c r="K26" s="51"/>
      <c r="L26" s="51"/>
      <c r="M26" s="51"/>
      <c r="N26" s="307"/>
    </row>
    <row r="27" spans="1:14" ht="16.5">
      <c r="A27" s="301"/>
      <c r="B27" s="259" t="s">
        <v>176</v>
      </c>
      <c r="C27" s="74" t="s">
        <v>160</v>
      </c>
      <c r="D27" s="31" t="s">
        <v>156</v>
      </c>
      <c r="E27" s="75">
        <v>190</v>
      </c>
      <c r="F27" s="76" t="s">
        <v>85</v>
      </c>
      <c r="G27" s="77">
        <v>1000</v>
      </c>
      <c r="H27" s="78">
        <f>E27*G27</f>
        <v>190000</v>
      </c>
      <c r="I27" s="304"/>
      <c r="J27" s="264"/>
      <c r="K27" s="51"/>
      <c r="L27" s="279"/>
      <c r="M27" s="51"/>
      <c r="N27" s="307"/>
    </row>
    <row r="28" spans="1:14" ht="16.5">
      <c r="A28" s="301"/>
      <c r="B28" s="259" t="s">
        <v>156</v>
      </c>
      <c r="C28" s="74"/>
      <c r="D28" s="31" t="s">
        <v>174</v>
      </c>
      <c r="E28" s="75"/>
      <c r="F28" s="76"/>
      <c r="G28" s="77"/>
      <c r="H28" s="78"/>
      <c r="I28" s="304"/>
      <c r="J28" s="265"/>
      <c r="K28" s="51"/>
      <c r="L28" s="51"/>
      <c r="M28" s="51"/>
      <c r="N28" s="307"/>
    </row>
    <row r="29" spans="1:14">
      <c r="A29" s="301"/>
      <c r="B29" s="276" t="s">
        <v>178</v>
      </c>
      <c r="C29" s="74"/>
      <c r="D29" s="32" t="s">
        <v>179</v>
      </c>
      <c r="E29" s="75"/>
      <c r="F29" s="76"/>
      <c r="G29" s="77"/>
      <c r="H29" s="78"/>
      <c r="I29" s="304"/>
      <c r="J29" s="257"/>
      <c r="K29" s="51"/>
      <c r="L29" s="51"/>
      <c r="M29" s="51"/>
      <c r="N29" s="307"/>
    </row>
    <row r="30" spans="1:14" ht="15.5" thickBot="1">
      <c r="A30" s="301"/>
      <c r="B30" s="277" t="s">
        <v>172</v>
      </c>
      <c r="C30" s="243"/>
      <c r="D30" s="244"/>
      <c r="E30" s="80"/>
      <c r="F30" s="80"/>
      <c r="G30" s="81"/>
      <c r="H30" s="82"/>
      <c r="I30" s="304"/>
      <c r="J30" s="85"/>
      <c r="K30" s="51"/>
      <c r="L30" s="51"/>
      <c r="M30" s="51"/>
      <c r="N30" s="307"/>
    </row>
    <row r="31" spans="1:14" ht="15.5" thickBot="1">
      <c r="A31" s="301"/>
      <c r="B31" s="260"/>
      <c r="C31" s="261"/>
      <c r="D31" s="262"/>
      <c r="E31" s="263"/>
      <c r="F31" s="263"/>
      <c r="G31" s="83"/>
      <c r="H31" s="84"/>
      <c r="I31" s="304"/>
      <c r="J31" s="85"/>
      <c r="K31" s="51"/>
      <c r="L31" s="51"/>
      <c r="M31" s="51"/>
      <c r="N31" s="307"/>
    </row>
    <row r="32" spans="1:14" ht="15.65" customHeight="1">
      <c r="A32" s="301"/>
      <c r="B32" s="258"/>
      <c r="C32" s="29"/>
      <c r="D32" s="187" t="s">
        <v>166</v>
      </c>
      <c r="E32" s="71"/>
      <c r="F32" s="71"/>
      <c r="G32" s="72"/>
      <c r="H32" s="73"/>
      <c r="I32" s="304"/>
      <c r="J32" s="265"/>
      <c r="K32" s="51"/>
      <c r="L32" s="51"/>
      <c r="M32" s="51"/>
      <c r="N32" s="307"/>
    </row>
    <row r="33" spans="1:14" ht="16.5">
      <c r="A33" s="301"/>
      <c r="B33" s="259" t="s">
        <v>177</v>
      </c>
      <c r="C33" s="74" t="s">
        <v>160</v>
      </c>
      <c r="D33" s="31" t="s">
        <v>156</v>
      </c>
      <c r="E33" s="75">
        <v>95</v>
      </c>
      <c r="F33" s="76" t="s">
        <v>85</v>
      </c>
      <c r="G33" s="77">
        <v>1000</v>
      </c>
      <c r="H33" s="78">
        <f>E33*G33</f>
        <v>95000</v>
      </c>
      <c r="I33" s="304"/>
      <c r="J33" s="264"/>
      <c r="K33" s="51"/>
      <c r="L33" s="279"/>
      <c r="M33" s="51"/>
      <c r="N33" s="307"/>
    </row>
    <row r="34" spans="1:14" ht="16.5">
      <c r="A34" s="301"/>
      <c r="B34" s="259" t="s">
        <v>156</v>
      </c>
      <c r="C34" s="74"/>
      <c r="D34" s="31" t="s">
        <v>174</v>
      </c>
      <c r="E34" s="75"/>
      <c r="F34" s="76"/>
      <c r="G34" s="77"/>
      <c r="H34" s="78"/>
      <c r="I34" s="304"/>
      <c r="J34" s="265"/>
      <c r="K34" s="51"/>
      <c r="L34" s="51"/>
      <c r="M34" s="51"/>
      <c r="N34" s="307"/>
    </row>
    <row r="35" spans="1:14">
      <c r="A35" s="301"/>
      <c r="B35" s="276" t="s">
        <v>171</v>
      </c>
      <c r="C35" s="74"/>
      <c r="D35" s="32" t="s">
        <v>180</v>
      </c>
      <c r="E35" s="75"/>
      <c r="F35" s="76"/>
      <c r="G35" s="77"/>
      <c r="H35" s="78"/>
      <c r="I35" s="304"/>
      <c r="J35" s="257"/>
      <c r="K35" s="51"/>
      <c r="L35" s="51"/>
      <c r="M35" s="51"/>
      <c r="N35" s="307"/>
    </row>
    <row r="36" spans="1:14" ht="15.5" thickBot="1">
      <c r="A36" s="301"/>
      <c r="B36" s="277" t="s">
        <v>172</v>
      </c>
      <c r="C36" s="243"/>
      <c r="D36" s="244"/>
      <c r="E36" s="80"/>
      <c r="F36" s="80"/>
      <c r="G36" s="81"/>
      <c r="H36" s="82"/>
      <c r="I36" s="304"/>
      <c r="J36" s="85"/>
      <c r="K36" s="51"/>
      <c r="L36" s="51"/>
      <c r="M36" s="51"/>
      <c r="N36" s="307"/>
    </row>
    <row r="37" spans="1:14" ht="15.5" thickBot="1">
      <c r="A37" s="301"/>
      <c r="B37" s="239"/>
      <c r="C37" s="193"/>
      <c r="D37" s="238"/>
      <c r="E37" s="198"/>
      <c r="F37" s="76"/>
      <c r="G37" s="194"/>
      <c r="H37" s="195"/>
      <c r="I37" s="304"/>
      <c r="J37" s="228"/>
      <c r="K37" s="51"/>
      <c r="L37" s="51"/>
      <c r="M37" s="51"/>
      <c r="N37" s="307"/>
    </row>
    <row r="38" spans="1:14" ht="18.5" customHeight="1" thickBot="1">
      <c r="A38" s="301"/>
      <c r="B38" s="267" t="s">
        <v>181</v>
      </c>
      <c r="C38" s="268"/>
      <c r="D38" s="269" t="s">
        <v>182</v>
      </c>
      <c r="E38" s="270">
        <v>280</v>
      </c>
      <c r="F38" s="271" t="s">
        <v>85</v>
      </c>
      <c r="G38" s="272">
        <v>20</v>
      </c>
      <c r="H38" s="272">
        <f t="shared" ref="H38" si="0">E38*G38</f>
        <v>5600</v>
      </c>
      <c r="I38" s="304"/>
      <c r="J38" s="257"/>
      <c r="K38" s="51"/>
      <c r="L38" s="287"/>
      <c r="M38" s="51"/>
      <c r="N38" s="307"/>
    </row>
    <row r="39" spans="1:14" ht="18.5" customHeight="1" thickBot="1">
      <c r="A39" s="301"/>
      <c r="B39" s="278" t="s">
        <v>190</v>
      </c>
      <c r="C39" s="268"/>
      <c r="D39" s="269" t="s">
        <v>192</v>
      </c>
      <c r="E39" s="270">
        <v>110</v>
      </c>
      <c r="F39" s="271" t="s">
        <v>85</v>
      </c>
      <c r="G39" s="272">
        <v>10</v>
      </c>
      <c r="H39" s="272">
        <f t="shared" ref="H39" si="1">E39*G39</f>
        <v>1100</v>
      </c>
      <c r="I39" s="304"/>
      <c r="J39" s="257"/>
      <c r="K39" s="51"/>
      <c r="L39" s="287"/>
      <c r="M39" s="51"/>
      <c r="N39" s="307"/>
    </row>
    <row r="40" spans="1:14" ht="18.5" customHeight="1" thickBot="1">
      <c r="A40" s="302"/>
      <c r="B40" s="278" t="s">
        <v>191</v>
      </c>
      <c r="C40" s="268"/>
      <c r="D40" s="269" t="s">
        <v>192</v>
      </c>
      <c r="E40" s="270">
        <v>100</v>
      </c>
      <c r="F40" s="271" t="s">
        <v>85</v>
      </c>
      <c r="G40" s="272">
        <v>50</v>
      </c>
      <c r="H40" s="272">
        <f t="shared" ref="H40" si="2">E40*G40</f>
        <v>5000</v>
      </c>
      <c r="I40" s="305"/>
      <c r="J40" s="275"/>
      <c r="K40" s="19"/>
      <c r="L40" s="240"/>
      <c r="M40" s="19"/>
      <c r="N40" s="308"/>
    </row>
    <row r="41" spans="1:14" ht="15.5" thickBot="1">
      <c r="A41" s="227"/>
      <c r="B41" s="266"/>
      <c r="C41" s="261"/>
      <c r="D41" s="262"/>
      <c r="E41" s="237"/>
      <c r="F41" s="226"/>
      <c r="G41" s="83"/>
      <c r="H41" s="84"/>
      <c r="I41" s="199"/>
      <c r="J41" s="228"/>
      <c r="K41" s="16"/>
      <c r="L41" s="16"/>
      <c r="M41" s="16"/>
      <c r="N41" s="200"/>
    </row>
    <row r="42" spans="1:14">
      <c r="A42" s="235"/>
      <c r="B42" s="229"/>
      <c r="C42" s="245"/>
      <c r="D42" s="230"/>
      <c r="E42" s="236">
        <f>SUMIF($F$8:$F$41,"M.",$E$8:$E$41)</f>
        <v>186.5</v>
      </c>
      <c r="F42" s="188" t="s">
        <v>146</v>
      </c>
      <c r="G42" s="234"/>
      <c r="H42" s="241">
        <f>SUMIF($F$8:$F$41,"M.",$H$8:$H$41)</f>
        <v>171995</v>
      </c>
      <c r="I42" s="88"/>
      <c r="J42" s="89"/>
      <c r="K42" s="90"/>
      <c r="L42" s="90"/>
      <c r="M42" s="90"/>
      <c r="N42" s="91"/>
    </row>
    <row r="43" spans="1:14">
      <c r="A43" s="51"/>
      <c r="B43" s="21"/>
      <c r="C43" s="51"/>
      <c r="D43" s="92"/>
      <c r="E43" s="87">
        <f>SUMIF($F$8:$F$41,"PCS.",$E$8:$E$41)</f>
        <v>870</v>
      </c>
      <c r="F43" s="86" t="s">
        <v>85</v>
      </c>
      <c r="G43" s="51"/>
      <c r="H43" s="242">
        <f>SUMIF($F$8:$F$41,"PCS.",$H$8:$H$41)</f>
        <v>391700</v>
      </c>
      <c r="I43" s="51"/>
      <c r="J43" s="93"/>
      <c r="K43" s="51"/>
      <c r="L43" s="51"/>
      <c r="M43" s="51"/>
      <c r="N43" s="94"/>
    </row>
    <row r="44" spans="1:14">
      <c r="A44" s="20"/>
      <c r="B44" s="63"/>
      <c r="C44" s="20"/>
      <c r="D44" s="246"/>
      <c r="E44" s="247">
        <f>SUMIF($F$8:$F$41,"SET.",$E$8:$E$41)</f>
        <v>0</v>
      </c>
      <c r="F44" s="248" t="s">
        <v>157</v>
      </c>
      <c r="G44" s="249"/>
      <c r="H44" s="250">
        <f>SUMIF($F$8:$F$41,"SET.",$H$8:$H$41)</f>
        <v>0</v>
      </c>
      <c r="I44" s="51"/>
      <c r="J44" s="93"/>
      <c r="K44" s="51"/>
      <c r="L44" s="51"/>
      <c r="M44" s="51"/>
      <c r="N44" s="94"/>
    </row>
    <row r="45" spans="1:14" ht="14" customHeight="1" thickBot="1">
      <c r="A45" s="251"/>
      <c r="B45" s="252" t="s">
        <v>143</v>
      </c>
      <c r="C45" s="253" t="s">
        <v>194</v>
      </c>
      <c r="D45" s="254"/>
      <c r="E45" s="252"/>
      <c r="F45" s="255"/>
      <c r="G45" s="19" t="s">
        <v>158</v>
      </c>
      <c r="H45" s="256">
        <f>SUM(H8:H41)</f>
        <v>563695</v>
      </c>
      <c r="I45" s="224"/>
      <c r="J45" s="273"/>
      <c r="K45" s="231"/>
      <c r="L45" s="232"/>
      <c r="M45" s="223"/>
      <c r="N45" s="233"/>
    </row>
    <row r="49" spans="3:3">
      <c r="C49" s="3"/>
    </row>
    <row r="50" spans="3:3">
      <c r="C50" s="3"/>
    </row>
    <row r="97" spans="1:1">
      <c r="A97" s="7" t="s">
        <v>99</v>
      </c>
    </row>
  </sheetData>
  <mergeCells count="5">
    <mergeCell ref="A2:H2"/>
    <mergeCell ref="F4:G4"/>
    <mergeCell ref="A8:A40"/>
    <mergeCell ref="I8:I40"/>
    <mergeCell ref="N8:N40"/>
  </mergeCells>
  <phoneticPr fontId="14"/>
  <pageMargins left="0.51181102362204722" right="0" top="0.74803149606299213" bottom="0.74803149606299213" header="0.31496062992125984" footer="0.31496062992125984"/>
  <pageSetup paperSize="9" scale="35" fitToWidth="0" fitToHeight="0" orientation="portrait" r:id="rId1"/>
  <headerFooter>
    <oddFooter>&amp;C&amp;"Century Gothic,太字"&amp;10&amp;  -   P A G E  3- &amp;P  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75F18-F202-4962-A2BE-650BD0B58DD8}">
  <sheetPr>
    <tabColor rgb="FFFF0000"/>
    <pageSetUpPr fitToPage="1"/>
  </sheetPr>
  <dimension ref="A1:I10"/>
  <sheetViews>
    <sheetView view="pageBreakPreview" topLeftCell="A10" zoomScale="40" zoomScaleNormal="90" zoomScaleSheetLayoutView="40" workbookViewId="0">
      <selection activeCell="F46" sqref="F46"/>
    </sheetView>
  </sheetViews>
  <sheetFormatPr defaultRowHeight="31.5"/>
  <cols>
    <col min="1" max="1" width="14.453125" customWidth="1"/>
    <col min="2" max="2" width="40.90625" style="205" customWidth="1"/>
    <col min="3" max="3" width="41.36328125" style="206" customWidth="1"/>
    <col min="4" max="4" width="49.453125" style="206" customWidth="1"/>
    <col min="5" max="5" width="42.08984375" style="206" customWidth="1"/>
    <col min="6" max="6" width="38.1796875" style="208" customWidth="1"/>
    <col min="7" max="7" width="139.36328125" style="208" customWidth="1"/>
    <col min="8" max="8" width="34.90625" style="209" customWidth="1"/>
    <col min="9" max="9" width="34.90625" style="210" customWidth="1"/>
    <col min="10" max="16" width="34.90625" customWidth="1"/>
  </cols>
  <sheetData>
    <row r="1" spans="1:9">
      <c r="D1" s="207" t="s">
        <v>148</v>
      </c>
    </row>
    <row r="2" spans="1:9" s="215" customFormat="1" ht="88.4" customHeight="1" thickBot="1">
      <c r="A2" s="211"/>
      <c r="B2" s="212" t="s">
        <v>149</v>
      </c>
      <c r="C2" s="213" t="s">
        <v>150</v>
      </c>
      <c r="D2" s="213" t="s">
        <v>188</v>
      </c>
      <c r="E2" s="213" t="s">
        <v>151</v>
      </c>
      <c r="F2" s="214" t="s">
        <v>152</v>
      </c>
      <c r="G2" s="214" t="s">
        <v>153</v>
      </c>
      <c r="H2" s="213" t="s">
        <v>154</v>
      </c>
      <c r="I2" s="214" t="s">
        <v>155</v>
      </c>
    </row>
    <row r="3" spans="1:9" ht="277" customHeight="1" thickBot="1">
      <c r="A3" s="216"/>
      <c r="B3" s="217" t="s">
        <v>184</v>
      </c>
      <c r="C3" s="218" t="s">
        <v>160</v>
      </c>
      <c r="D3" s="219" t="s">
        <v>187</v>
      </c>
      <c r="E3" s="220" t="s">
        <v>161</v>
      </c>
      <c r="F3" s="221" t="s">
        <v>156</v>
      </c>
      <c r="G3" s="221"/>
      <c r="H3" s="221" t="s">
        <v>189</v>
      </c>
      <c r="I3" s="309">
        <v>1</v>
      </c>
    </row>
    <row r="4" spans="1:9" ht="409.6" customHeight="1" thickBot="1">
      <c r="A4" s="216"/>
      <c r="B4" s="217" t="s">
        <v>185</v>
      </c>
      <c r="C4" s="218" t="s">
        <v>160</v>
      </c>
      <c r="D4" s="219" t="s">
        <v>187</v>
      </c>
      <c r="E4" s="220" t="s">
        <v>161</v>
      </c>
      <c r="F4" s="221" t="s">
        <v>156</v>
      </c>
      <c r="G4" s="221"/>
      <c r="H4" s="221" t="s">
        <v>189</v>
      </c>
      <c r="I4" s="310"/>
    </row>
    <row r="5" spans="1:9" ht="286" customHeight="1" thickBot="1">
      <c r="A5" s="216"/>
      <c r="B5" s="217" t="s">
        <v>186</v>
      </c>
      <c r="C5" s="218" t="s">
        <v>160</v>
      </c>
      <c r="D5" s="219" t="s">
        <v>187</v>
      </c>
      <c r="E5" s="220" t="s">
        <v>161</v>
      </c>
      <c r="F5" s="221" t="s">
        <v>156</v>
      </c>
      <c r="G5" s="221"/>
      <c r="H5" s="221" t="s">
        <v>189</v>
      </c>
      <c r="I5" s="311"/>
    </row>
    <row r="6" spans="1:9" ht="194.9" customHeight="1" thickBot="1">
      <c r="A6" s="216"/>
      <c r="B6" s="217"/>
      <c r="C6" s="218"/>
      <c r="D6" s="219"/>
      <c r="E6" s="220"/>
      <c r="F6" s="221"/>
      <c r="G6" s="221"/>
      <c r="H6" s="221"/>
      <c r="I6" s="222"/>
    </row>
    <row r="7" spans="1:9" ht="194.9" customHeight="1" thickBot="1">
      <c r="A7" s="216"/>
      <c r="B7" s="217"/>
      <c r="C7" s="218"/>
      <c r="D7" s="219"/>
      <c r="E7" s="220"/>
      <c r="F7" s="221"/>
      <c r="G7" s="221"/>
      <c r="H7" s="221"/>
      <c r="I7" s="222"/>
    </row>
    <row r="8" spans="1:9" ht="194.9" customHeight="1">
      <c r="A8" s="216"/>
      <c r="B8" s="217"/>
      <c r="C8" s="218"/>
      <c r="D8" s="219"/>
      <c r="E8" s="220"/>
      <c r="F8" s="221"/>
      <c r="G8" s="221"/>
      <c r="H8" s="221"/>
      <c r="I8" s="222"/>
    </row>
    <row r="9" spans="1:9" ht="134.15" customHeight="1"/>
    <row r="10" spans="1:9" ht="134.15" customHeight="1"/>
  </sheetData>
  <mergeCells count="1">
    <mergeCell ref="I3:I5"/>
  </mergeCells>
  <phoneticPr fontId="14"/>
  <pageMargins left="0.51181102362204722" right="0" top="0.74803149606299213" bottom="0.74803149606299213" header="0.31496062992125984" footer="0.31496062992125984"/>
  <pageSetup paperSize="9" scale="22" fitToHeight="0" orientation="portrait" r:id="rId1"/>
  <headerFooter>
    <oddFooter>&amp;C&amp;"Century Gothic,太字"&amp;10&amp;  -   P A G E  3- &amp;P   -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9116-90FB-4047-B450-817A19232B01}">
  <sheetPr>
    <pageSetUpPr fitToPage="1"/>
  </sheetPr>
  <dimension ref="A1:D69"/>
  <sheetViews>
    <sheetView view="pageBreakPreview" topLeftCell="A4" zoomScale="70" zoomScaleNormal="70" zoomScaleSheetLayoutView="70" workbookViewId="0">
      <selection activeCell="G39" sqref="G39"/>
    </sheetView>
  </sheetViews>
  <sheetFormatPr defaultRowHeight="15"/>
  <cols>
    <col min="1" max="1" width="7.90625" customWidth="1"/>
    <col min="2" max="2" width="38.08984375" style="178" customWidth="1"/>
    <col min="3" max="3" width="81.6328125" customWidth="1"/>
    <col min="4" max="4" width="23.6328125" customWidth="1"/>
  </cols>
  <sheetData>
    <row r="1" spans="1:4" ht="17.5" customHeight="1">
      <c r="A1" s="146"/>
    </row>
    <row r="2" spans="1:4" ht="15" customHeight="1">
      <c r="A2" s="312" t="s">
        <v>140</v>
      </c>
      <c r="B2" s="312"/>
      <c r="C2" s="179"/>
    </row>
    <row r="3" spans="1:4" ht="15.65" customHeight="1" thickBot="1">
      <c r="A3" s="180"/>
      <c r="B3" s="181"/>
      <c r="C3" s="180"/>
    </row>
    <row r="4" spans="1:4" ht="21.75" customHeight="1" thickBot="1">
      <c r="A4" s="182" t="s">
        <v>36</v>
      </c>
      <c r="B4" s="24" t="s">
        <v>96</v>
      </c>
      <c r="C4" s="23" t="s">
        <v>87</v>
      </c>
      <c r="D4" s="183" t="s">
        <v>141</v>
      </c>
    </row>
    <row r="5" spans="1:4" ht="16" customHeight="1">
      <c r="A5" s="300" t="s">
        <v>183</v>
      </c>
      <c r="B5" s="29"/>
      <c r="C5" s="187" t="s">
        <v>167</v>
      </c>
      <c r="D5" s="280"/>
    </row>
    <row r="6" spans="1:4" ht="16" customHeight="1">
      <c r="A6" s="301"/>
      <c r="B6" s="30" t="s">
        <v>162</v>
      </c>
      <c r="C6" s="21" t="s">
        <v>145</v>
      </c>
      <c r="D6" s="281"/>
    </row>
    <row r="7" spans="1:4" ht="16" customHeight="1">
      <c r="A7" s="301"/>
      <c r="B7" s="21" t="s">
        <v>145</v>
      </c>
      <c r="C7" s="225" t="s">
        <v>168</v>
      </c>
      <c r="D7" s="281"/>
    </row>
    <row r="8" spans="1:4" ht="16" customHeight="1">
      <c r="A8" s="301"/>
      <c r="B8" s="33" t="s">
        <v>163</v>
      </c>
      <c r="C8" s="32" t="s">
        <v>169</v>
      </c>
      <c r="D8" s="281"/>
    </row>
    <row r="9" spans="1:4" ht="16" customHeight="1" thickBot="1">
      <c r="A9" s="301"/>
      <c r="B9" s="35" t="s">
        <v>164</v>
      </c>
      <c r="C9" s="34"/>
      <c r="D9" s="281"/>
    </row>
    <row r="10" spans="1:4" ht="15" customHeight="1" thickBot="1">
      <c r="A10" s="301"/>
      <c r="B10" s="196"/>
      <c r="C10" s="197"/>
      <c r="D10" s="282"/>
    </row>
    <row r="11" spans="1:4" ht="15.5" customHeight="1">
      <c r="A11" s="301"/>
      <c r="B11" s="29"/>
      <c r="C11" s="187" t="s">
        <v>167</v>
      </c>
      <c r="D11" s="286"/>
    </row>
    <row r="12" spans="1:4" ht="17" customHeight="1">
      <c r="A12" s="301"/>
      <c r="B12" s="30" t="s">
        <v>198</v>
      </c>
      <c r="C12" s="21" t="s">
        <v>145</v>
      </c>
      <c r="D12" s="283"/>
    </row>
    <row r="13" spans="1:4" ht="16.399999999999999" customHeight="1">
      <c r="A13" s="301"/>
      <c r="B13" s="21" t="s">
        <v>145</v>
      </c>
      <c r="C13" s="225" t="s">
        <v>168</v>
      </c>
      <c r="D13" s="281"/>
    </row>
    <row r="14" spans="1:4" ht="15" customHeight="1">
      <c r="A14" s="301"/>
      <c r="B14" s="33" t="s">
        <v>200</v>
      </c>
      <c r="C14" s="32" t="s">
        <v>201</v>
      </c>
      <c r="D14" s="281"/>
    </row>
    <row r="15" spans="1:4" ht="15" customHeight="1" thickBot="1">
      <c r="A15" s="301"/>
      <c r="B15" s="35" t="s">
        <v>202</v>
      </c>
      <c r="C15" s="34"/>
      <c r="D15" s="281"/>
    </row>
    <row r="16" spans="1:4" ht="15" customHeight="1" thickBot="1">
      <c r="A16" s="301"/>
      <c r="B16" s="196"/>
      <c r="C16" s="197"/>
      <c r="D16" s="282"/>
    </row>
    <row r="17" spans="1:4" ht="18.5" customHeight="1">
      <c r="A17" s="301"/>
      <c r="B17" s="258"/>
      <c r="C17" s="187" t="s">
        <v>166</v>
      </c>
      <c r="D17" s="286"/>
    </row>
    <row r="18" spans="1:4" ht="17" customHeight="1">
      <c r="A18" s="301"/>
      <c r="B18" s="259" t="s">
        <v>173</v>
      </c>
      <c r="C18" s="31" t="s">
        <v>156</v>
      </c>
      <c r="D18" s="283"/>
    </row>
    <row r="19" spans="1:4" ht="16.399999999999999" customHeight="1">
      <c r="A19" s="301"/>
      <c r="B19" s="259" t="s">
        <v>156</v>
      </c>
      <c r="C19" s="31" t="s">
        <v>174</v>
      </c>
      <c r="D19" s="281"/>
    </row>
    <row r="20" spans="1:4" ht="15" customHeight="1">
      <c r="A20" s="301"/>
      <c r="B20" s="276" t="s">
        <v>171</v>
      </c>
      <c r="C20" s="32" t="s">
        <v>175</v>
      </c>
      <c r="D20" s="281"/>
    </row>
    <row r="21" spans="1:4" ht="15" customHeight="1" thickBot="1">
      <c r="A21" s="301"/>
      <c r="B21" s="277" t="s">
        <v>172</v>
      </c>
      <c r="C21" s="244"/>
      <c r="D21" s="281"/>
    </row>
    <row r="22" spans="1:4" ht="16.5" customHeight="1" thickBot="1">
      <c r="A22" s="301"/>
      <c r="B22" s="260"/>
      <c r="C22" s="262"/>
      <c r="D22" s="281" t="s">
        <v>65</v>
      </c>
    </row>
    <row r="23" spans="1:4" ht="16.5" customHeight="1">
      <c r="A23" s="301"/>
      <c r="B23" s="258"/>
      <c r="C23" s="187" t="s">
        <v>166</v>
      </c>
      <c r="D23" s="281"/>
    </row>
    <row r="24" spans="1:4" ht="16.5" customHeight="1">
      <c r="A24" s="301"/>
      <c r="B24" s="259" t="s">
        <v>176</v>
      </c>
      <c r="C24" s="31" t="s">
        <v>156</v>
      </c>
      <c r="D24" s="281"/>
    </row>
    <row r="25" spans="1:4" ht="16.5" customHeight="1">
      <c r="A25" s="301"/>
      <c r="B25" s="259" t="s">
        <v>156</v>
      </c>
      <c r="C25" s="31" t="s">
        <v>174</v>
      </c>
      <c r="D25" s="281"/>
    </row>
    <row r="26" spans="1:4" ht="16.399999999999999" customHeight="1">
      <c r="A26" s="301"/>
      <c r="B26" s="276" t="s">
        <v>178</v>
      </c>
      <c r="C26" s="32" t="s">
        <v>179</v>
      </c>
      <c r="D26" s="281"/>
    </row>
    <row r="27" spans="1:4" ht="15" customHeight="1" thickBot="1">
      <c r="A27" s="301"/>
      <c r="B27" s="277" t="s">
        <v>172</v>
      </c>
      <c r="C27" s="244"/>
      <c r="D27" s="281"/>
    </row>
    <row r="28" spans="1:4" ht="15" customHeight="1" thickBot="1">
      <c r="A28" s="301"/>
      <c r="B28" s="260"/>
      <c r="C28" s="262"/>
      <c r="D28" s="281"/>
    </row>
    <row r="29" spans="1:4" ht="15" customHeight="1">
      <c r="A29" s="301"/>
      <c r="B29" s="258"/>
      <c r="C29" s="187" t="s">
        <v>166</v>
      </c>
      <c r="D29" s="184"/>
    </row>
    <row r="30" spans="1:4" ht="21.75" customHeight="1">
      <c r="A30" s="301"/>
      <c r="B30" s="259" t="s">
        <v>177</v>
      </c>
      <c r="C30" s="31" t="s">
        <v>156</v>
      </c>
      <c r="D30" s="286"/>
    </row>
    <row r="31" spans="1:4" ht="16.5" customHeight="1">
      <c r="A31" s="301"/>
      <c r="B31" s="259" t="s">
        <v>156</v>
      </c>
      <c r="C31" s="31" t="s">
        <v>174</v>
      </c>
      <c r="D31" s="281"/>
    </row>
    <row r="32" spans="1:4" ht="16.399999999999999" customHeight="1">
      <c r="A32" s="301"/>
      <c r="B32" s="276" t="s">
        <v>171</v>
      </c>
      <c r="C32" s="32" t="s">
        <v>180</v>
      </c>
      <c r="D32" s="281"/>
    </row>
    <row r="33" spans="1:4" ht="15" customHeight="1" thickBot="1">
      <c r="A33" s="301"/>
      <c r="B33" s="277" t="s">
        <v>172</v>
      </c>
      <c r="C33" s="244"/>
      <c r="D33" s="281"/>
    </row>
    <row r="34" spans="1:4" ht="15" customHeight="1" thickBot="1">
      <c r="A34" s="301"/>
      <c r="B34" s="239"/>
      <c r="C34" s="238"/>
      <c r="D34" s="281"/>
    </row>
    <row r="35" spans="1:4" ht="15" customHeight="1" thickBot="1">
      <c r="A35" s="301"/>
      <c r="B35" s="267" t="s">
        <v>181</v>
      </c>
      <c r="C35" s="269" t="s">
        <v>182</v>
      </c>
      <c r="D35" s="281"/>
    </row>
    <row r="36" spans="1:4" ht="15" customHeight="1" thickBot="1">
      <c r="A36" s="301"/>
      <c r="B36" s="278" t="s">
        <v>190</v>
      </c>
      <c r="C36" s="269" t="s">
        <v>192</v>
      </c>
      <c r="D36" s="281"/>
    </row>
    <row r="37" spans="1:4" ht="15" customHeight="1" thickBot="1">
      <c r="A37" s="302"/>
      <c r="B37" s="278" t="s">
        <v>191</v>
      </c>
      <c r="C37" s="269" t="s">
        <v>192</v>
      </c>
      <c r="D37" s="285"/>
    </row>
    <row r="38" spans="1:4" ht="15" customHeight="1">
      <c r="A38" s="185"/>
      <c r="B38" s="185"/>
      <c r="C38" s="185"/>
      <c r="D38" s="185"/>
    </row>
    <row r="39" spans="1:4" ht="15" customHeight="1">
      <c r="A39" s="185"/>
      <c r="B39" s="185"/>
      <c r="C39" s="185"/>
      <c r="D39" s="185"/>
    </row>
    <row r="40" spans="1:4" ht="15" customHeight="1">
      <c r="A40" s="185"/>
      <c r="B40" s="185"/>
      <c r="C40" s="185"/>
      <c r="D40" s="185"/>
    </row>
    <row r="41" spans="1:4" ht="15" customHeight="1">
      <c r="A41" s="185"/>
      <c r="B41" s="185"/>
      <c r="C41" s="185"/>
      <c r="D41" s="185"/>
    </row>
    <row r="42" spans="1:4" ht="15" customHeight="1">
      <c r="A42" s="185"/>
      <c r="B42" s="185"/>
      <c r="C42" s="185"/>
      <c r="D42" s="185"/>
    </row>
    <row r="43" spans="1:4" ht="15.65" customHeight="1">
      <c r="A43" s="185"/>
      <c r="B43" s="185"/>
      <c r="C43" s="185"/>
      <c r="D43" s="185"/>
    </row>
    <row r="44" spans="1:4" ht="15" customHeight="1">
      <c r="A44" s="185"/>
      <c r="B44" s="185"/>
      <c r="C44" s="185"/>
      <c r="D44" s="185"/>
    </row>
    <row r="45" spans="1:4" ht="15" customHeight="1">
      <c r="A45" s="185"/>
      <c r="B45" s="185"/>
      <c r="C45" s="185"/>
      <c r="D45" s="185"/>
    </row>
    <row r="46" spans="1:4" ht="15" customHeight="1">
      <c r="A46" s="185"/>
      <c r="B46" s="185"/>
      <c r="C46" s="185"/>
      <c r="D46" s="185"/>
    </row>
    <row r="47" spans="1:4" ht="15" customHeight="1">
      <c r="A47" s="185"/>
      <c r="B47" s="185"/>
      <c r="C47" s="185"/>
      <c r="D47" s="185"/>
    </row>
    <row r="48" spans="1:4" ht="15" customHeight="1">
      <c r="A48" s="185"/>
      <c r="B48" s="185"/>
      <c r="C48" s="185"/>
      <c r="D48" s="185"/>
    </row>
    <row r="49" spans="1:4" ht="15" customHeight="1">
      <c r="A49" s="185"/>
      <c r="B49" s="185"/>
      <c r="C49" s="185"/>
      <c r="D49" s="185"/>
    </row>
    <row r="50" spans="1:4" ht="15" customHeight="1">
      <c r="A50" s="185"/>
      <c r="B50" s="185"/>
      <c r="C50" s="185"/>
      <c r="D50" s="185"/>
    </row>
    <row r="51" spans="1:4" ht="15" customHeight="1">
      <c r="A51" s="185"/>
      <c r="B51" s="185"/>
      <c r="C51" s="185"/>
      <c r="D51" s="185"/>
    </row>
    <row r="52" spans="1:4" ht="15" customHeight="1">
      <c r="A52" s="185"/>
      <c r="B52" s="185"/>
      <c r="C52" s="185"/>
      <c r="D52" s="185"/>
    </row>
    <row r="53" spans="1:4" ht="14.15" customHeight="1">
      <c r="A53" s="185"/>
      <c r="B53" s="185"/>
      <c r="C53" s="185"/>
      <c r="D53" s="185"/>
    </row>
    <row r="54" spans="1:4" ht="15" customHeight="1">
      <c r="A54" s="185"/>
      <c r="B54" s="185"/>
      <c r="C54" s="185"/>
      <c r="D54" s="185"/>
    </row>
    <row r="55" spans="1:4" ht="15" customHeight="1">
      <c r="A55" s="185"/>
      <c r="B55" s="185"/>
      <c r="C55" s="185"/>
      <c r="D55" s="185"/>
    </row>
    <row r="56" spans="1:4" ht="15" customHeight="1">
      <c r="A56" s="185"/>
      <c r="B56" s="185"/>
      <c r="C56" s="185"/>
      <c r="D56" s="185"/>
    </row>
    <row r="57" spans="1:4" ht="15" customHeight="1">
      <c r="A57" s="185"/>
      <c r="B57" s="185"/>
      <c r="C57" s="185"/>
      <c r="D57" s="185"/>
    </row>
    <row r="58" spans="1:4" ht="15" customHeight="1">
      <c r="A58" s="185"/>
      <c r="B58" s="185"/>
      <c r="C58" s="185"/>
      <c r="D58" s="185"/>
    </row>
    <row r="59" spans="1:4" ht="15" customHeight="1">
      <c r="A59" s="185"/>
      <c r="B59" s="185"/>
      <c r="C59" s="185"/>
      <c r="D59" s="185"/>
    </row>
    <row r="60" spans="1:4" ht="12.65" customHeight="1">
      <c r="A60" s="185"/>
      <c r="B60" s="185"/>
      <c r="C60" s="185"/>
      <c r="D60" s="185"/>
    </row>
    <row r="61" spans="1:4" ht="15.65" customHeight="1">
      <c r="A61" s="185"/>
      <c r="B61" s="185"/>
      <c r="C61" s="185"/>
      <c r="D61" s="185"/>
    </row>
    <row r="62" spans="1:4" ht="41.15" customHeight="1">
      <c r="A62" s="185"/>
      <c r="B62" s="185"/>
      <c r="C62" s="185"/>
      <c r="D62" s="185"/>
    </row>
    <row r="63" spans="1:4" ht="21.75" customHeight="1">
      <c r="A63" s="185"/>
      <c r="B63" s="185"/>
      <c r="C63" s="185"/>
      <c r="D63" s="185"/>
    </row>
    <row r="64" spans="1:4" ht="15" customHeight="1">
      <c r="A64" s="185"/>
      <c r="B64" s="185"/>
      <c r="C64" s="185"/>
      <c r="D64" s="185"/>
    </row>
    <row r="65" spans="1:4" ht="10.4" customHeight="1">
      <c r="A65" s="164"/>
      <c r="B65" s="164"/>
      <c r="C65" s="186"/>
      <c r="D65" s="164"/>
    </row>
    <row r="66" spans="1:4">
      <c r="A66" s="164"/>
      <c r="B66" s="164"/>
      <c r="C66" s="164"/>
      <c r="D66" s="164"/>
    </row>
    <row r="67" spans="1:4">
      <c r="A67" s="164"/>
      <c r="B67" s="164"/>
      <c r="C67" s="164"/>
      <c r="D67" s="164"/>
    </row>
    <row r="68" spans="1:4">
      <c r="A68" s="164"/>
      <c r="B68" s="164"/>
      <c r="C68" s="164"/>
      <c r="D68" s="164"/>
    </row>
    <row r="69" spans="1:4">
      <c r="A69" s="164"/>
      <c r="B69" s="164"/>
      <c r="C69" s="164"/>
      <c r="D69" s="164"/>
    </row>
  </sheetData>
  <mergeCells count="2">
    <mergeCell ref="A2:B2"/>
    <mergeCell ref="A5:A37"/>
  </mergeCells>
  <phoneticPr fontId="14"/>
  <pageMargins left="0.51181102362204722" right="0" top="0.74803149606299213" bottom="0.74803149606299213" header="0.31496062992125984" footer="0.31496062992125984"/>
  <pageSetup paperSize="9" scale="63" fitToHeight="0" orientation="portrait" r:id="rId1"/>
  <headerFooter>
    <oddFooter>&amp;C&amp;"Century Gothic,太字"&amp;10&amp;  -   P A G E  3- &amp;P  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shipper master</vt:lpstr>
      <vt:lpstr>case mark </vt:lpstr>
      <vt:lpstr>invoice</vt:lpstr>
      <vt:lpstr>NARITA </vt:lpstr>
      <vt:lpstr>サンプル製品カタログ</vt:lpstr>
      <vt:lpstr>LABEL</vt:lpstr>
      <vt:lpstr>LABEL!Print_Area</vt:lpstr>
      <vt:lpstr>'NARITA '!Print_Area</vt:lpstr>
      <vt:lpstr>サンプル製品カタログ!Print_Area</vt:lpstr>
      <vt:lpstr>LABEL!Print_Titles</vt:lpstr>
      <vt:lpstr>'NARITA '!Print_Titles</vt:lpstr>
      <vt:lpstr>サンプル製品カタログ!Print_Titles</vt:lpstr>
    </vt:vector>
  </TitlesOfParts>
  <Company>I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Lam</dc:creator>
  <cp:lastModifiedBy>銀月 後藤</cp:lastModifiedBy>
  <cp:lastPrinted>2024-11-22T00:33:10Z</cp:lastPrinted>
  <dcterms:created xsi:type="dcterms:W3CDTF">2002-07-31T13:14:08Z</dcterms:created>
  <dcterms:modified xsi:type="dcterms:W3CDTF">2025-08-25T03:18:15Z</dcterms:modified>
</cp:coreProperties>
</file>