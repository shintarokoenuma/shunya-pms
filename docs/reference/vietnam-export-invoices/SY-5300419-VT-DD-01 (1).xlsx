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72DFA8D4-21E0-43F6-8BB0-4855DBCAB5DB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invoice" sheetId="21" r:id="rId2"/>
    <sheet name="case mark " sheetId="54" r:id="rId3"/>
    <sheet name="NARITA " sheetId="60" r:id="rId4"/>
    <sheet name="サンプル製品カタログ" sheetId="55" r:id="rId5"/>
    <sheet name="LABEL" sheetId="57" r:id="rId6"/>
  </sheets>
  <externalReferences>
    <externalReference r:id="rId7"/>
    <externalReference r:id="rId8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LABEL!$A$1:$D$115</definedName>
    <definedName name="_xlnm.Print_Area" localSheetId="3">'NARITA '!$A$2:$M$109</definedName>
    <definedName name="_xlnm.Print_Area" localSheetId="4">サンプル製品カタログ!$A$2:$I$10</definedName>
    <definedName name="_xlnm.Print_Titles" localSheetId="5">LABEL!$1:$4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H109" i="60" l="1"/>
  <c r="H108" i="60"/>
  <c r="L29" i="21" s="1"/>
  <c r="H107" i="60"/>
  <c r="L28" i="21" s="1"/>
  <c r="H106" i="60"/>
  <c r="E108" i="60"/>
  <c r="J29" i="21" s="1"/>
  <c r="J31" i="21" s="1"/>
  <c r="E107" i="60"/>
  <c r="J28" i="21" s="1"/>
  <c r="E31" i="21" s="1"/>
  <c r="E106" i="60"/>
  <c r="K29" i="21"/>
  <c r="K28" i="21"/>
  <c r="B28" i="21"/>
  <c r="B29" i="21"/>
  <c r="J27" i="21" l="1"/>
  <c r="C31" i="21" s="1"/>
  <c r="H97" i="60" l="1"/>
  <c r="H104" i="60" l="1"/>
  <c r="H103" i="60"/>
  <c r="H102" i="60"/>
  <c r="H91" i="60"/>
  <c r="H88" i="60"/>
  <c r="H86" i="60" l="1"/>
  <c r="H85" i="60"/>
  <c r="H61" i="60"/>
  <c r="H60" i="60"/>
  <c r="H62" i="60"/>
  <c r="H59" i="60"/>
  <c r="H33" i="60"/>
  <c r="H27" i="60" l="1"/>
  <c r="H17" i="60"/>
  <c r="H18" i="60"/>
  <c r="H10" i="60"/>
  <c r="H11" i="60"/>
  <c r="H12" i="60"/>
  <c r="H84" i="60" l="1"/>
  <c r="H83" i="60"/>
  <c r="H77" i="60"/>
  <c r="H76" i="60"/>
  <c r="H68" i="60"/>
  <c r="H67" i="60"/>
  <c r="H72" i="60"/>
  <c r="H73" i="60"/>
  <c r="H64" i="60" l="1"/>
  <c r="H63" i="60"/>
  <c r="H58" i="60"/>
  <c r="H57" i="60"/>
  <c r="H51" i="60" l="1"/>
  <c r="H46" i="60"/>
  <c r="H39" i="60"/>
  <c r="H21" i="60"/>
  <c r="H40" i="60"/>
  <c r="H16" i="60"/>
  <c r="H15" i="60"/>
  <c r="H9" i="60"/>
  <c r="K27" i="21"/>
  <c r="H45" i="60"/>
  <c r="H82" i="60"/>
  <c r="H81" i="60"/>
  <c r="H80" i="60"/>
  <c r="H79" i="60"/>
  <c r="H75" i="60"/>
  <c r="H74" i="60"/>
  <c r="G6" i="60"/>
  <c r="D6" i="60"/>
  <c r="L27" i="21" l="1"/>
  <c r="L31" i="21" s="1"/>
  <c r="C45" i="17" s="1"/>
  <c r="K9" i="21" l="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1" i="21" l="1"/>
  <c r="A10" i="21" l="1"/>
  <c r="E7" i="21"/>
  <c r="A35" i="21"/>
  <c r="A34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6" i="21"/>
  <c r="A37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<sst xmlns="http://schemas.openxmlformats.org/spreadsheetml/2006/main" count="648" uniqueCount="319">
  <si>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</si>
  <si>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</si>
  <si>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</si>
  <si>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</si>
  <si>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</si>
  <si>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</si>
  <si>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</si>
  <si>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</si>
  <si>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</si>
  <si>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</si>
  <si>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</si>
  <si>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</si>
  <si>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</si>
  <si>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</si>
  <si>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</si>
  <si>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</si>
  <si>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</si>
  <si>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</si>
  <si>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</si>
  <si>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</si>
  <si>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</si>
  <si>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</si>
  <si>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</si>
  <si>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</si>
  <si>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</si>
  <si>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</si>
  <si>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</si>
  <si>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</si>
  <si>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</si>
  <si>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</si>
  <si>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</si>
  <si>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</si>
  <si>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</si>
  <si>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</si>
  <si>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</si>
  <si>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</si>
  <si>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</si>
  <si>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</si>
  <si>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</si>
  <si>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</si>
  <si>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</si>
  <si>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</si>
  <si>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</si>
  <si>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</si>
  <si>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</si>
  <si>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</si>
  <si>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</si>
  <si>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</si>
  <si>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</si>
  <si>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</si>
  <si>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</si>
  <si>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</si>
  <si>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</si>
  <si>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</si>
  <si>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</si>
  <si>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</si>
  <si>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</si>
  <si>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</si>
  <si>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</si>
  <si>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</si>
  <si>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</si>
  <si>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</si>
  <si>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</si>
  <si>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</si>
  <si>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</si>
  <si>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</si>
  <si>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</si>
  <si>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</si>
  <si>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</si>
  <si>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</si>
  <si>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</si>
  <si>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</si>
  <si>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</si>
  <si>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</si>
  <si>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</si>
  <si>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</si>
  <si>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</si>
  <si>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</si>
  <si>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</si>
  <si>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</si>
  <si>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</si>
  <si>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</si>
  <si>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</si>
  <si>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</si>
  <si>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</si>
  <si>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</si>
  <si>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</si>
  <si>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</si>
  <si>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</si>
  <si>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</si>
  <si>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</si>
  <si>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</si>
  <si>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</si>
  <si>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</si>
  <si>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</si>
  <si>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</si>
  <si>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</si>
  <si>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</si>
  <si>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</si>
  <si>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</si>
  <si>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</si>
  <si>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</si>
  <si>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</si>
  <si>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</si>
  <si>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</si>
  <si>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</si>
  <si>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</si>
  <si>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</si>
  <si>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</si>
  <si>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</si>
  <si>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</si>
  <si>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</si>
  <si>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</si>
  <si>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</si>
  <si>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</si>
  <si>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</si>
  <si>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</si>
  <si>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</si>
  <si>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</si>
  <si>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</si>
  <si>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</si>
  <si>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</si>
  <si>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</si>
  <si>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</si>
  <si>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</si>
  <si>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</si>
  <si>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</si>
  <si>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</si>
  <si>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</si>
  <si>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</si>
  <si>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</si>
  <si>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</si>
  <si>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</si>
  <si>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</si>
  <si>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</si>
  <si>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</si>
  <si>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WOVEN FABRIC</t>
    <phoneticPr fontId="11"/>
  </si>
  <si>
    <t>pattern paper</t>
    <phoneticPr fontId="11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</si>
  <si>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</si>
  <si>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</si>
  <si>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</si>
  <si>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</si>
  <si>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</si>
  <si>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WOVEN FABRIC</t>
  </si>
  <si>
    <t>SET.</t>
    <phoneticPr fontId="11"/>
  </si>
  <si>
    <t>cotton100%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</si>
  <si>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</si>
  <si>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</si>
  <si>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</si>
  <si>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t>Composition</t>
    <phoneticPr fontId="11"/>
  </si>
  <si>
    <t>picture</t>
    <phoneticPr fontId="11"/>
  </si>
  <si>
    <t>NAME</t>
    <phoneticPr fontId="11"/>
  </si>
  <si>
    <t>color</t>
    <phoneticPr fontId="11"/>
  </si>
  <si>
    <t>men's</t>
    <phoneticPr fontId="11"/>
  </si>
  <si>
    <t>WOVEN or  KNIT</t>
    <phoneticPr fontId="11"/>
  </si>
  <si>
    <t>ITEM</t>
    <phoneticPr fontId="11"/>
  </si>
  <si>
    <t>KNIT FABRIC</t>
    <phoneticPr fontId="11"/>
  </si>
  <si>
    <t>cotton 100%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</si>
  <si>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</si>
  <si>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</si>
  <si>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lady's or men's</t>
    <phoneticPr fontId="11"/>
  </si>
  <si>
    <t>packingNo.</t>
    <phoneticPr fontId="11"/>
  </si>
  <si>
    <t>LABEL SHEET -</t>
    <phoneticPr fontId="11"/>
  </si>
  <si>
    <t>COTTON100%</t>
    <phoneticPr fontId="11"/>
  </si>
  <si>
    <t>後染め フライス編み</t>
    <rPh sb="0" eb="1">
      <t>アト</t>
    </rPh>
    <rPh sb="8" eb="9">
      <t>ア</t>
    </rPh>
    <phoneticPr fontId="11"/>
  </si>
  <si>
    <t>nylon 100%</t>
    <phoneticPr fontId="11"/>
  </si>
  <si>
    <t>C/#MIX</t>
    <phoneticPr fontId="11"/>
  </si>
  <si>
    <t>cashmere 100%</t>
    <phoneticPr fontId="11"/>
  </si>
  <si>
    <t>made in japan</t>
    <phoneticPr fontId="11"/>
  </si>
  <si>
    <r>
      <rPr>
        <b/>
        <sz val="10"/>
        <color rgb="FFFF0000"/>
        <rFont val="ＭＳ Ｐゴシック"/>
        <family val="2"/>
        <charset val="128"/>
      </rPr>
      <t>長繊維、テクスチャード加工無し</t>
    </r>
    <rPh sb="0" eb="2">
      <t>チョウセンイ</t>
    </rPh>
    <rPh sb="10" eb="12">
      <t>カコウ</t>
    </rPh>
    <rPh sb="12" eb="13">
      <t>ナ</t>
    </rPh>
    <phoneticPr fontId="11"/>
  </si>
  <si>
    <t>N0.1</t>
    <phoneticPr fontId="11"/>
  </si>
  <si>
    <t>PCS.</t>
  </si>
  <si>
    <t xml:space="preserve"> KGS</t>
    <phoneticPr fontId="11"/>
  </si>
  <si>
    <t>NOVEMBER,27 2023</t>
    <phoneticPr fontId="11"/>
  </si>
  <si>
    <t>NOV,27, 2023</t>
    <phoneticPr fontId="11"/>
  </si>
  <si>
    <t>C/#black</t>
    <phoneticPr fontId="11"/>
  </si>
  <si>
    <r>
      <t>C/</t>
    </r>
    <r>
      <rPr>
        <b/>
        <sz val="20"/>
        <rFont val="ＭＳ Ｐゴシック"/>
        <family val="2"/>
        <charset val="128"/>
      </rPr>
      <t>＃</t>
    </r>
    <r>
      <rPr>
        <b/>
        <sz val="20"/>
        <rFont val="Century Gothic"/>
        <family val="2"/>
      </rPr>
      <t>silver</t>
    </r>
    <phoneticPr fontId="11"/>
  </si>
  <si>
    <t>C/#white</t>
    <phoneticPr fontId="11"/>
  </si>
  <si>
    <t>men's crew neck knit wear</t>
    <phoneticPr fontId="11"/>
  </si>
  <si>
    <t>007S0052010</t>
    <phoneticPr fontId="11"/>
  </si>
  <si>
    <t>短繊維、テクスチャード加工無し</t>
    <rPh sb="0" eb="2">
      <t>センイ</t>
    </rPh>
    <rPh sb="9" eb="11">
      <t>カコウ</t>
    </rPh>
    <rPh sb="11" eb="12">
      <t>ナ</t>
    </rPh>
    <phoneticPr fontId="11"/>
  </si>
  <si>
    <t>パイル編み,後染め</t>
    <rPh sb="2" eb="3">
      <t>アミ</t>
    </rPh>
    <rPh sb="6" eb="8">
      <t>アトゾ</t>
    </rPh>
    <phoneticPr fontId="11"/>
  </si>
  <si>
    <t>STYLE: 21SY-60,24A-CS02</t>
    <phoneticPr fontId="11"/>
  </si>
  <si>
    <r>
      <t>WIDTH:165CM (450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</si>
  <si>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1-27</t>
    <phoneticPr fontId="11"/>
  </si>
  <si>
    <t>007S0052070</t>
    <phoneticPr fontId="11"/>
  </si>
  <si>
    <t>28-30</t>
    <phoneticPr fontId="11"/>
  </si>
  <si>
    <t>c/#120 BEIGE</t>
    <phoneticPr fontId="11"/>
  </si>
  <si>
    <t>c/#500 BORDEAUX</t>
    <phoneticPr fontId="11"/>
  </si>
  <si>
    <r>
      <t>WIDTH:120CM (400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</si>
  <si>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027P0003080</t>
  </si>
  <si>
    <t>C/#56 BLACK</t>
    <phoneticPr fontId="11"/>
  </si>
  <si>
    <t>STYLE: 24A-CS01</t>
    <phoneticPr fontId="11"/>
  </si>
  <si>
    <r>
      <t>WIDTH:150CM (375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</si>
  <si>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入庫NO.22062712</t>
    <rPh sb="0" eb="2">
      <t>ニュウコ</t>
    </rPh>
    <phoneticPr fontId="11"/>
  </si>
  <si>
    <t>入庫 No.22062713①</t>
    <rPh sb="0" eb="2">
      <t>ニュウコ</t>
    </rPh>
    <phoneticPr fontId="11"/>
  </si>
  <si>
    <t>31-34</t>
    <phoneticPr fontId="11"/>
  </si>
  <si>
    <r>
      <rPr>
        <b/>
        <sz val="10"/>
        <color theme="1"/>
        <rFont val="Century Gothic"/>
        <family val="2"/>
      </rPr>
      <t>cotton 96%</t>
    </r>
    <r>
      <rPr>
        <b/>
        <sz val="10"/>
        <color theme="1"/>
        <rFont val="Yu Gothic"/>
        <family val="2"/>
        <charset val="128"/>
      </rPr>
      <t>　polyurethane 4%</t>
    </r>
    <phoneticPr fontId="11"/>
  </si>
  <si>
    <r>
      <rPr>
        <b/>
        <sz val="10"/>
        <color theme="1"/>
        <rFont val="Century Gothic"/>
        <family val="2"/>
      </rPr>
      <t>cotton</t>
    </r>
    <r>
      <rPr>
        <b/>
        <sz val="10"/>
        <color theme="1"/>
        <rFont val="MS PGothic"/>
        <family val="3"/>
        <charset val="128"/>
      </rPr>
      <t>　</t>
    </r>
    <r>
      <rPr>
        <b/>
        <sz val="10"/>
        <color theme="1"/>
        <rFont val="Century Gothic"/>
        <family val="2"/>
      </rPr>
      <t>100%</t>
    </r>
    <phoneticPr fontId="11"/>
  </si>
  <si>
    <r>
      <t>cotton</t>
    </r>
    <r>
      <rPr>
        <b/>
        <sz val="10"/>
        <color theme="1"/>
        <rFont val="MS PGothic"/>
        <family val="3"/>
        <charset val="128"/>
      </rPr>
      <t>　</t>
    </r>
    <r>
      <rPr>
        <b/>
        <sz val="10"/>
        <color theme="1"/>
        <rFont val="Century Gothic"/>
        <family val="2"/>
      </rPr>
      <t>100%</t>
    </r>
    <phoneticPr fontId="11"/>
  </si>
  <si>
    <t>027P0003080RMG</t>
    <phoneticPr fontId="11"/>
  </si>
  <si>
    <t>35-38</t>
    <phoneticPr fontId="11"/>
  </si>
  <si>
    <t>C/#G</t>
    <phoneticPr fontId="11"/>
  </si>
  <si>
    <r>
      <t>WIDTH:150CM (332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</si>
  <si>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rPr>
        <b/>
        <sz val="10"/>
        <color theme="1"/>
        <rFont val="Century Gothic"/>
        <family val="2"/>
      </rPr>
      <t>cotton 90%</t>
    </r>
    <r>
      <rPr>
        <b/>
        <sz val="10"/>
        <color theme="1"/>
        <rFont val="Yu Gothic"/>
        <family val="2"/>
        <charset val="128"/>
      </rPr>
      <t>　polyester 5%　nylon 5%</t>
    </r>
    <phoneticPr fontId="11"/>
  </si>
  <si>
    <t>入庫 No.22062713②</t>
    <rPh sb="0" eb="2">
      <t>ニュウコ</t>
    </rPh>
    <phoneticPr fontId="11"/>
  </si>
  <si>
    <t>39-40</t>
    <phoneticPr fontId="11"/>
  </si>
  <si>
    <t>A5100</t>
    <phoneticPr fontId="11"/>
  </si>
  <si>
    <t>朱子織　後染めサテン生地</t>
    <rPh sb="0" eb="1">
      <t>シュシ</t>
    </rPh>
    <rPh sb="1" eb="2">
      <t>オリ</t>
    </rPh>
    <rPh sb="3" eb="5">
      <t>アトソ</t>
    </rPh>
    <rPh sb="9" eb="11">
      <t>キジ</t>
    </rPh>
    <phoneticPr fontId="11"/>
  </si>
  <si>
    <t>長繊維、テクスチャード加工無し</t>
    <rPh sb="0" eb="1">
      <t>チョウ</t>
    </rPh>
    <rPh sb="1" eb="3">
      <t>センイ</t>
    </rPh>
    <rPh sb="9" eb="11">
      <t>カコウ</t>
    </rPh>
    <rPh sb="11" eb="12">
      <t>ナ</t>
    </rPh>
    <phoneticPr fontId="11"/>
  </si>
  <si>
    <t>C/#521 GRAY</t>
    <phoneticPr fontId="11"/>
  </si>
  <si>
    <t>c/#010 BLACK</t>
    <phoneticPr fontId="11"/>
  </si>
  <si>
    <t>c/#103 SMOKEBEIGE</t>
    <phoneticPr fontId="11"/>
  </si>
  <si>
    <t>acetate 100%</t>
    <phoneticPr fontId="11"/>
  </si>
  <si>
    <r>
      <t>WIDTH:122CM (135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</si>
  <si>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入庫 No.22062733</t>
    <rPh sb="0" eb="2">
      <t>ニュウコ</t>
    </rPh>
    <phoneticPr fontId="11"/>
  </si>
  <si>
    <t>1044309</t>
    <phoneticPr fontId="38"/>
  </si>
  <si>
    <t>C/#00 WHITE</t>
    <phoneticPr fontId="11"/>
  </si>
  <si>
    <t>C/#09 BLACK</t>
    <phoneticPr fontId="11"/>
  </si>
  <si>
    <r>
      <t>WIDTH:150CM (240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</si>
  <si>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入庫 No.22062615</t>
    <rPh sb="0" eb="2">
      <t>ニュウコ</t>
    </rPh>
    <phoneticPr fontId="11"/>
  </si>
  <si>
    <t>41-46</t>
    <phoneticPr fontId="11"/>
  </si>
  <si>
    <t>入庫NO.22062716</t>
    <rPh sb="0" eb="2">
      <t>ニュウコ</t>
    </rPh>
    <phoneticPr fontId="11"/>
  </si>
  <si>
    <t>入庫NO.22062714</t>
    <rPh sb="0" eb="2">
      <t>ニュウコ</t>
    </rPh>
    <phoneticPr fontId="11"/>
  </si>
  <si>
    <t>入庫NO.22062715</t>
    <rPh sb="0" eb="2">
      <t>ニュウコ</t>
    </rPh>
    <phoneticPr fontId="11"/>
  </si>
  <si>
    <t>5001-01</t>
    <phoneticPr fontId="11"/>
  </si>
  <si>
    <t>men's crew neck T-shirt</t>
    <phoneticPr fontId="11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</si>
  <si>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　テクスチャード加工無し</t>
    </r>
    <rPh sb="0" eb="1">
      <t>タン</t>
    </rPh>
    <rPh sb="1" eb="3">
      <t>センイ</t>
    </rPh>
    <rPh sb="10" eb="12">
      <t>カコウ</t>
    </rPh>
    <rPh sb="12" eb="13">
      <t>ナ</t>
    </rPh>
    <phoneticPr fontId="11"/>
  </si>
  <si>
    <t>C/#191 WHITE</t>
    <phoneticPr fontId="11"/>
  </si>
  <si>
    <t>C/#165 CHARCOAL</t>
    <phoneticPr fontId="11"/>
  </si>
  <si>
    <t>47-48</t>
    <phoneticPr fontId="11"/>
  </si>
  <si>
    <t>入庫No.22063008</t>
    <rPh sb="0" eb="2">
      <t>ニュウコ</t>
    </rPh>
    <phoneticPr fontId="11"/>
  </si>
  <si>
    <t>men's crew neck used T-shirt</t>
    <phoneticPr fontId="11"/>
  </si>
  <si>
    <t>STYLE:AVANI-01</t>
    <phoneticPr fontId="11"/>
  </si>
  <si>
    <t>入庫No.22063005</t>
    <rPh sb="0" eb="2">
      <t>ニュウコ</t>
    </rPh>
    <phoneticPr fontId="11"/>
  </si>
  <si>
    <t>50-57</t>
    <phoneticPr fontId="11"/>
  </si>
  <si>
    <t>N0.2</t>
  </si>
  <si>
    <t>N0.3</t>
  </si>
  <si>
    <t>N0.4</t>
  </si>
  <si>
    <t>N0.5</t>
  </si>
  <si>
    <t>N0.6</t>
  </si>
  <si>
    <t>N0.7</t>
  </si>
  <si>
    <t>N0.8</t>
  </si>
  <si>
    <t>23sy-AC04/05/06</t>
    <phoneticPr fontId="11"/>
  </si>
  <si>
    <t>STYLE: 24A-PT01/02/03</t>
    <phoneticPr fontId="11"/>
  </si>
  <si>
    <t>STYLE: 24A-JK01/02</t>
    <phoneticPr fontId="38"/>
  </si>
  <si>
    <t>入庫No.22063009</t>
    <rPh sb="0" eb="2">
      <t>ニュウコ</t>
    </rPh>
    <phoneticPr fontId="11"/>
  </si>
  <si>
    <r>
      <rPr>
        <b/>
        <i/>
        <sz val="10"/>
        <rFont val="ＭＳ Ｐゴシック"/>
        <family val="3"/>
        <charset val="128"/>
      </rPr>
      <t>佐川伝票・明細・伝票</t>
    </r>
    <r>
      <rPr>
        <b/>
        <i/>
        <sz val="10"/>
        <rFont val="Century Gothic"/>
        <family val="3"/>
      </rPr>
      <t>NO</t>
    </r>
    <rPh sb="8" eb="10">
      <t>デンピョウ</t>
    </rPh>
    <phoneticPr fontId="11"/>
  </si>
  <si>
    <t>027P0003100</t>
    <phoneticPr fontId="11"/>
  </si>
  <si>
    <t>c/#56</t>
    <phoneticPr fontId="11"/>
  </si>
  <si>
    <r>
      <t>WIDTH:112CM (515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</si>
  <si>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24A-JK01 pattern paper</t>
    <phoneticPr fontId="11"/>
  </si>
  <si>
    <t>24A-JK02 pattern paper</t>
    <phoneticPr fontId="11"/>
  </si>
  <si>
    <t>24A-CS01 pattern paper</t>
    <phoneticPr fontId="11"/>
  </si>
  <si>
    <t>21SY-60  pattern paper</t>
    <phoneticPr fontId="11"/>
  </si>
  <si>
    <t>24A-SH01  pattern paper</t>
    <phoneticPr fontId="11"/>
  </si>
  <si>
    <t>24A-CS02  pattern paper</t>
    <phoneticPr fontId="11"/>
  </si>
  <si>
    <t>58</t>
    <phoneticPr fontId="11"/>
  </si>
  <si>
    <t>men's nylon coat SAMPLE CLOTHES</t>
  </si>
  <si>
    <t>men's nylon coat SAMPLE CLOTHES</t>
    <phoneticPr fontId="11"/>
  </si>
  <si>
    <t>men's nylon vest SAMPLE CLOTHES</t>
  </si>
  <si>
    <t>men's nylon vest SAMPLE CLOTHES</t>
    <phoneticPr fontId="11"/>
  </si>
  <si>
    <t>men's zip parker SAMPLE CLOTHES</t>
  </si>
  <si>
    <t>men's zip parker SAMPLE CLOTHES</t>
    <phoneticPr fontId="11"/>
  </si>
  <si>
    <t>men's parker SAMPLE CLOTHES</t>
  </si>
  <si>
    <t>men's parker SAMPLE CLOTHES</t>
    <phoneticPr fontId="11"/>
  </si>
  <si>
    <t>men's quilting tops SAMPLE CLOTHES</t>
  </si>
  <si>
    <t>men's quilting tops SAMPLE CLOTHES</t>
    <phoneticPr fontId="11"/>
  </si>
  <si>
    <t>men's pocket shirt SAMPLE CLOTHES</t>
  </si>
  <si>
    <t>men's pocket shirt SAMPLE CLOTHES</t>
    <phoneticPr fontId="11"/>
  </si>
  <si>
    <t>men's satin pants CLOTHES</t>
  </si>
  <si>
    <t>men's satin pants CLOTHES</t>
    <phoneticPr fontId="11"/>
  </si>
  <si>
    <t>men's survival satin pants SAMPLE CLOTHES</t>
  </si>
  <si>
    <t>men's survival satin pants SAMPLE CLOTHES</t>
    <phoneticPr fontId="11"/>
  </si>
  <si>
    <t>24A-JK01  sample</t>
    <phoneticPr fontId="11"/>
  </si>
  <si>
    <t>24A-JK02 sample</t>
  </si>
  <si>
    <t>24A-JK02 sample</t>
    <phoneticPr fontId="11"/>
  </si>
  <si>
    <t>24A-CS01 sample</t>
  </si>
  <si>
    <t>24A-CS01 sample</t>
    <phoneticPr fontId="11"/>
  </si>
  <si>
    <t>21SY-60 sample</t>
  </si>
  <si>
    <t>21SY-60 sample</t>
    <phoneticPr fontId="11"/>
  </si>
  <si>
    <t>24A-CS02 sample</t>
  </si>
  <si>
    <t>24A-CS02 sample</t>
    <phoneticPr fontId="11"/>
  </si>
  <si>
    <t>24A-SH01  sample</t>
  </si>
  <si>
    <t>24A-SH01  sample</t>
    <phoneticPr fontId="11"/>
  </si>
  <si>
    <t>24A-PT01  sample</t>
  </si>
  <si>
    <t>24A-PT01  sample</t>
    <phoneticPr fontId="11"/>
  </si>
  <si>
    <t>24A-PT02  sample</t>
  </si>
  <si>
    <t>24A-PT02  sample</t>
    <phoneticPr fontId="11"/>
  </si>
  <si>
    <t>PRESTIGE woven tag</t>
    <phoneticPr fontId="11"/>
  </si>
  <si>
    <r>
      <t>woven tag</t>
    </r>
    <r>
      <rPr>
        <b/>
        <sz val="10"/>
        <rFont val="ＭＳ Ｐゴシック"/>
        <family val="2"/>
        <charset val="128"/>
      </rPr>
      <t>　　材質：ポリエステル100%</t>
    </r>
    <rPh sb="11" eb="13">
      <t>ザイシツ</t>
    </rPh>
    <phoneticPr fontId="11"/>
  </si>
  <si>
    <t>STYLE: bd24-1001/1002</t>
    <phoneticPr fontId="38"/>
  </si>
  <si>
    <t>USED MESH TEE</t>
    <phoneticPr fontId="11"/>
  </si>
  <si>
    <t>メッシュ生地</t>
    <rPh sb="4" eb="6">
      <t>キジ</t>
    </rPh>
    <phoneticPr fontId="11"/>
  </si>
  <si>
    <t>長繊維 プリント有 made in Japan</t>
    <rPh sb="0" eb="1">
      <t>ナガ</t>
    </rPh>
    <rPh sb="1" eb="3">
      <t>センイ</t>
    </rPh>
    <rPh sb="8" eb="9">
      <t>アリ</t>
    </rPh>
    <phoneticPr fontId="11"/>
  </si>
  <si>
    <t>bd24-1001/1002</t>
  </si>
  <si>
    <t>USED MESH PANTS</t>
    <phoneticPr fontId="11"/>
  </si>
  <si>
    <r>
      <rPr>
        <b/>
        <sz val="10"/>
        <rFont val="Yu Gothic"/>
        <family val="2"/>
        <charset val="128"/>
      </rPr>
      <t>佐川</t>
    </r>
    <r>
      <rPr>
        <b/>
        <sz val="10"/>
        <rFont val="Century Gothic"/>
        <family val="2"/>
      </rPr>
      <t>454143072541</t>
    </r>
    <rPh sb="0" eb="2">
      <t>サガワ</t>
    </rPh>
    <phoneticPr fontId="11"/>
  </si>
  <si>
    <t>24A-PT01 pattern paper</t>
    <phoneticPr fontId="11"/>
  </si>
  <si>
    <t>24A-PT02 pattern paper</t>
    <phoneticPr fontId="11"/>
  </si>
  <si>
    <t>24A-PT03 pattern paper</t>
    <phoneticPr fontId="11"/>
  </si>
  <si>
    <t>59-60</t>
    <phoneticPr fontId="11"/>
  </si>
  <si>
    <t>60CARTONS</t>
    <phoneticPr fontId="11"/>
  </si>
  <si>
    <t>C/#white</t>
    <phoneticPr fontId="38"/>
  </si>
  <si>
    <t>C/#gray</t>
    <phoneticPr fontId="38"/>
  </si>
  <si>
    <t>C/#yellow</t>
    <phoneticPr fontId="11"/>
  </si>
  <si>
    <r>
      <t>C/</t>
    </r>
    <r>
      <rPr>
        <b/>
        <sz val="20"/>
        <rFont val="ＭＳ Ｐゴシック"/>
        <family val="2"/>
        <charset val="128"/>
      </rPr>
      <t>＃beige</t>
    </r>
    <phoneticPr fontId="11"/>
  </si>
  <si>
    <t>C/#silver</t>
    <phoneticPr fontId="11"/>
  </si>
  <si>
    <t>FRONT nylon100% LINING polyester 100%</t>
    <phoneticPr fontId="11"/>
  </si>
  <si>
    <t xml:space="preserve"> COTTON 100% </t>
    <phoneticPr fontId="11"/>
  </si>
  <si>
    <t xml:space="preserve">COTTON 100% </t>
    <phoneticPr fontId="11"/>
  </si>
  <si>
    <t xml:space="preserve">nylon 100% </t>
    <phoneticPr fontId="11"/>
  </si>
  <si>
    <t>FRONT COTTON 63% NYLON 37% LINING COTTON 100%</t>
    <phoneticPr fontId="11"/>
  </si>
  <si>
    <t>FRONT ACETATE100% LINING POLYESTER 100%</t>
    <phoneticPr fontId="11"/>
  </si>
  <si>
    <t xml:space="preserve"> C/NO. 1-60</t>
    <phoneticPr fontId="11"/>
  </si>
  <si>
    <t>60PACKAGES</t>
    <phoneticPr fontId="11"/>
  </si>
  <si>
    <t>1267.1M  1304PCS.   27SETS.</t>
    <phoneticPr fontId="11"/>
  </si>
  <si>
    <t xml:space="preserve"> SY-5300419-VT-DD-01</t>
    <phoneticPr fontId="11"/>
  </si>
  <si>
    <t>men's crew neck used knit wear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</si>
</sst>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7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b/>
      <sz val="14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b/>
      <sz val="26"/>
      <name val="新細明體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sz val="18"/>
      <name val="ＭＳ Ｐゴシック"/>
      <family val="1"/>
      <charset val="128"/>
    </font>
    <font>
      <b/>
      <sz val="10"/>
      <color theme="1"/>
      <name val="MS PGothic"/>
      <family val="3"/>
      <charset val="128"/>
    </font>
    <font>
      <b/>
      <sz val="10"/>
      <name val="Century Gothic"/>
      <family val="2"/>
      <charset val="128"/>
    </font>
    <font>
      <b/>
      <sz val="10"/>
      <color theme="1"/>
      <name val="Microsoft YaHei"/>
      <family val="3"/>
      <charset val="134"/>
    </font>
    <font>
      <b/>
      <sz val="18"/>
      <color rgb="FFFF0000"/>
      <name val="Century Gothic"/>
      <family val="2"/>
    </font>
    <font>
      <sz val="20"/>
      <name val="Century Gothic"/>
      <family val="2"/>
    </font>
    <font>
      <b/>
      <sz val="20"/>
      <name val="ＭＳ Ｐゴシック"/>
      <family val="2"/>
      <charset val="128"/>
    </font>
    <font>
      <sz val="20"/>
      <color rgb="FF515253"/>
      <name val="Century Gothic"/>
      <family val="2"/>
    </font>
    <font>
      <b/>
      <sz val="24"/>
      <name val="Century Gothic"/>
      <family val="2"/>
    </font>
    <font>
      <sz val="24"/>
      <name val="Century Gothic"/>
      <family val="2"/>
    </font>
    <font>
      <b/>
      <sz val="20"/>
      <color rgb="FFFF0000"/>
      <name val="Century Gothic"/>
      <family val="2"/>
    </font>
    <font>
      <b/>
      <sz val="20"/>
      <color rgb="FFFF0000"/>
      <name val="ＭＳ Ｐゴシック"/>
      <family val="2"/>
      <charset val="128"/>
    </font>
    <font>
      <b/>
      <sz val="10"/>
      <name val="Yu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Century Gothic"/>
      <family val="2"/>
      <charset val="128"/>
    </font>
    <font>
      <b/>
      <sz val="10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b/>
      <sz val="10"/>
      <color rgb="FFFF0000"/>
      <name val="Yu Gothic"/>
      <family val="2"/>
      <charset val="128"/>
    </font>
    <font>
      <b/>
      <i/>
      <sz val="10"/>
      <name val="Century Gothic"/>
      <family val="3"/>
    </font>
    <font>
      <b/>
      <i/>
      <sz val="10"/>
      <name val="Century Gothic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6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00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5" fillId="0" borderId="0" xfId="0" applyFont="1">
      <alignment vertical="center"/>
    </xf>
    <xf numFmtId="0" fontId="27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5" fillId="0" borderId="16" xfId="0" applyFont="1" applyBorder="1">
      <alignment vertical="center"/>
    </xf>
    <xf numFmtId="0" fontId="35" fillId="0" borderId="17" xfId="0" applyFont="1" applyBorder="1">
      <alignment vertical="center"/>
    </xf>
    <xf numFmtId="0" fontId="35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6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6" fillId="0" borderId="0" xfId="0" applyFont="1" applyAlignment="1">
      <alignment horizontal="left" vertical="center"/>
    </xf>
    <xf numFmtId="182" fontId="9" fillId="0" borderId="21" xfId="0" applyNumberFormat="1" applyFont="1" applyBorder="1" applyAlignment="1">
      <alignment vertical="center" shrinkToFit="1"/>
    </xf>
    <xf numFmtId="0" fontId="9" fillId="0" borderId="29" xfId="0" applyFont="1" applyBorder="1" applyAlignment="1">
      <alignment horizontal="center" vertical="center"/>
    </xf>
    <xf numFmtId="182" fontId="9" fillId="0" borderId="23" xfId="0" applyNumberFormat="1" applyFont="1" applyBorder="1" applyAlignment="1">
      <alignment vertical="center" shrinkToFit="1"/>
    </xf>
    <xf numFmtId="0" fontId="9" fillId="0" borderId="23" xfId="0" applyFont="1" applyBorder="1" applyAlignment="1">
      <alignment horizontal="left" vertical="center"/>
    </xf>
    <xf numFmtId="182" fontId="9" fillId="0" borderId="10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vertical="center" shrinkToFit="1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40" fillId="0" borderId="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36" fillId="0" borderId="0" xfId="0" applyNumberFormat="1" applyFont="1">
      <alignment vertical="center"/>
    </xf>
    <xf numFmtId="0" fontId="23" fillId="0" borderId="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39" fillId="0" borderId="21" xfId="0" applyFont="1" applyBorder="1">
      <alignment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0" fillId="0" borderId="3" xfId="0" applyNumberFormat="1" applyFont="1" applyBorder="1" applyAlignment="1">
      <alignment horizontal="left" vertical="center"/>
    </xf>
    <xf numFmtId="49" fontId="23" fillId="0" borderId="36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23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6" fillId="3" borderId="8" xfId="0" applyFont="1" applyFill="1" applyBorder="1" applyAlignment="1">
      <alignment horizontal="left" vertical="center"/>
    </xf>
    <xf numFmtId="49" fontId="9" fillId="0" borderId="21" xfId="0" applyNumberFormat="1" applyFont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4" fillId="0" borderId="10" xfId="2" applyNumberFormat="1" applyFont="1" applyFill="1" applyBorder="1" applyAlignment="1">
      <alignment horizontal="right" vertical="center"/>
    </xf>
    <xf numFmtId="180" fontId="34" fillId="0" borderId="8" xfId="2" applyNumberFormat="1" applyFont="1" applyFill="1" applyBorder="1" applyAlignment="1">
      <alignment horizontal="right" vertical="center"/>
    </xf>
    <xf numFmtId="176" fontId="34" fillId="0" borderId="10" xfId="2" applyFont="1" applyFill="1" applyBorder="1" applyAlignment="1">
      <alignment horizontal="right" vertical="center"/>
    </xf>
    <xf numFmtId="181" fontId="34" fillId="0" borderId="2" xfId="2" applyNumberFormat="1" applyFont="1" applyFill="1" applyBorder="1" applyAlignment="1"/>
    <xf numFmtId="183" fontId="34" fillId="0" borderId="5" xfId="2" applyNumberFormat="1" applyFont="1" applyFill="1" applyBorder="1" applyAlignment="1">
      <alignment horizontal="left" vertical="center"/>
    </xf>
    <xf numFmtId="177" fontId="34" fillId="0" borderId="5" xfId="0" applyNumberFormat="1" applyFont="1" applyBorder="1" applyAlignment="1">
      <alignment horizontal="left" vertical="center"/>
    </xf>
    <xf numFmtId="181" fontId="34" fillId="0" borderId="5" xfId="0" applyNumberFormat="1" applyFont="1" applyBorder="1" applyAlignment="1">
      <alignment horizontal="right" vertical="center"/>
    </xf>
    <xf numFmtId="0" fontId="23" fillId="3" borderId="36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4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1" fontId="9" fillId="0" borderId="23" xfId="0" applyNumberFormat="1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182" fontId="9" fillId="0" borderId="23" xfId="0" applyNumberFormat="1" applyFont="1" applyBorder="1" applyAlignment="1">
      <alignment horizontal="center" vertical="center"/>
    </xf>
    <xf numFmtId="49" fontId="36" fillId="3" borderId="0" xfId="0" applyNumberFormat="1" applyFont="1" applyFill="1" applyAlignment="1">
      <alignment horizontal="left" vertical="center"/>
    </xf>
    <xf numFmtId="49" fontId="44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0" xfId="0" applyFont="1">
      <alignment vertical="center"/>
    </xf>
    <xf numFmtId="0" fontId="45" fillId="0" borderId="0" xfId="0" applyFont="1" applyAlignment="1">
      <alignment vertical="center" wrapText="1"/>
    </xf>
    <xf numFmtId="0" fontId="9" fillId="0" borderId="24" xfId="0" applyFont="1" applyBorder="1" applyAlignment="1">
      <alignment horizontal="center" vertical="center"/>
    </xf>
    <xf numFmtId="1" fontId="34" fillId="0" borderId="10" xfId="2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center" vertical="center" wrapText="1"/>
    </xf>
    <xf numFmtId="0" fontId="9" fillId="0" borderId="2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49" fontId="36" fillId="0" borderId="39" xfId="0" quotePrefix="1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49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177" fontId="34" fillId="0" borderId="1" xfId="0" applyNumberFormat="1" applyFont="1" applyBorder="1" applyAlignment="1">
      <alignment horizontal="left" vertical="center"/>
    </xf>
    <xf numFmtId="49" fontId="34" fillId="0" borderId="22" xfId="0" applyNumberFormat="1" applyFont="1" applyBorder="1" applyAlignment="1">
      <alignment horizontal="left" vertical="center"/>
    </xf>
    <xf numFmtId="0" fontId="34" fillId="3" borderId="13" xfId="0" applyFont="1" applyFill="1" applyBorder="1" applyAlignment="1">
      <alignment horizontal="left" vertical="center"/>
    </xf>
    <xf numFmtId="0" fontId="14" fillId="0" borderId="21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6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47" fillId="0" borderId="13" xfId="0" applyFont="1" applyBorder="1" applyAlignment="1">
      <alignment horizontal="left" vertical="center"/>
    </xf>
    <xf numFmtId="49" fontId="34" fillId="0" borderId="21" xfId="0" applyNumberFormat="1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34" fillId="0" borderId="21" xfId="0" applyFont="1" applyBorder="1" applyAlignment="1">
      <alignment vertical="center" wrapText="1"/>
    </xf>
    <xf numFmtId="182" fontId="34" fillId="0" borderId="21" xfId="0" applyNumberFormat="1" applyFont="1" applyBorder="1" applyAlignment="1">
      <alignment vertical="center" shrinkToFit="1"/>
    </xf>
    <xf numFmtId="49" fontId="48" fillId="0" borderId="21" xfId="0" quotePrefix="1" applyNumberFormat="1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182" fontId="34" fillId="0" borderId="23" xfId="0" applyNumberFormat="1" applyFont="1" applyBorder="1" applyAlignment="1">
      <alignment vertical="center" shrinkToFit="1"/>
    </xf>
    <xf numFmtId="49" fontId="36" fillId="0" borderId="37" xfId="0" quotePrefix="1" applyNumberFormat="1" applyFont="1" applyBorder="1" applyAlignment="1">
      <alignment horizontal="left" vertical="center"/>
    </xf>
    <xf numFmtId="49" fontId="36" fillId="0" borderId="40" xfId="0" quotePrefix="1" applyNumberFormat="1" applyFont="1" applyBorder="1" applyAlignment="1">
      <alignment horizontal="left" vertical="center"/>
    </xf>
    <xf numFmtId="49" fontId="36" fillId="0" borderId="46" xfId="0" quotePrefix="1" applyNumberFormat="1" applyFont="1" applyBorder="1" applyAlignment="1">
      <alignment horizontal="left" vertical="center"/>
    </xf>
    <xf numFmtId="182" fontId="9" fillId="0" borderId="13" xfId="0" applyNumberFormat="1" applyFont="1" applyBorder="1" applyAlignment="1">
      <alignment vertical="center" shrinkToFit="1"/>
    </xf>
    <xf numFmtId="182" fontId="9" fillId="0" borderId="2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 wrapText="1"/>
    </xf>
    <xf numFmtId="182" fontId="34" fillId="0" borderId="21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horizontal="center" vertical="center"/>
    </xf>
    <xf numFmtId="182" fontId="9" fillId="0" borderId="13" xfId="0" applyNumberFormat="1" applyFont="1" applyBorder="1" applyAlignment="1">
      <alignment horizontal="center" vertical="center"/>
    </xf>
    <xf numFmtId="182" fontId="34" fillId="0" borderId="23" xfId="0" applyNumberFormat="1" applyFont="1" applyBorder="1" applyAlignment="1">
      <alignment horizontal="center" vertical="center" shrinkToFit="1"/>
    </xf>
    <xf numFmtId="0" fontId="25" fillId="0" borderId="21" xfId="0" applyFont="1" applyBorder="1" applyAlignment="1">
      <alignment horizontal="center" vertical="center" wrapText="1"/>
    </xf>
    <xf numFmtId="0" fontId="55" fillId="0" borderId="21" xfId="0" applyFont="1" applyBorder="1">
      <alignment vertical="center"/>
    </xf>
    <xf numFmtId="0" fontId="55" fillId="0" borderId="21" xfId="0" applyFont="1" applyBorder="1" applyAlignment="1">
      <alignment vertical="center" wrapText="1"/>
    </xf>
    <xf numFmtId="182" fontId="25" fillId="0" borderId="21" xfId="0" applyNumberFormat="1" applyFont="1" applyBorder="1" applyAlignment="1">
      <alignment vertical="center" shrinkToFit="1"/>
    </xf>
    <xf numFmtId="0" fontId="46" fillId="0" borderId="0" xfId="0" applyFont="1" applyAlignment="1">
      <alignment horizontal="center" vertical="center"/>
    </xf>
    <xf numFmtId="49" fontId="42" fillId="0" borderId="23" xfId="0" quotePrefix="1" applyNumberFormat="1" applyFont="1" applyBorder="1" applyAlignment="1">
      <alignment horizontal="left" vertical="center"/>
    </xf>
    <xf numFmtId="0" fontId="57" fillId="0" borderId="21" xfId="0" applyFont="1" applyBorder="1" applyAlignment="1">
      <alignment vertical="center" wrapText="1"/>
    </xf>
    <xf numFmtId="49" fontId="58" fillId="0" borderId="0" xfId="0" applyNumberFormat="1" applyFont="1" applyAlignment="1">
      <alignment horizontal="center" vertical="center"/>
    </xf>
    <xf numFmtId="49" fontId="58" fillId="0" borderId="14" xfId="0" applyNumberFormat="1" applyFont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82" fontId="34" fillId="0" borderId="10" xfId="0" applyNumberFormat="1" applyFont="1" applyBorder="1" applyAlignment="1">
      <alignment vertical="center" shrinkToFit="1"/>
    </xf>
    <xf numFmtId="1" fontId="9" fillId="0" borderId="10" xfId="0" applyNumberFormat="1" applyFont="1" applyBorder="1" applyAlignment="1">
      <alignment horizontal="center" vertical="center"/>
    </xf>
    <xf numFmtId="3" fontId="9" fillId="0" borderId="23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47" fillId="0" borderId="58" xfId="0" applyFont="1" applyBorder="1" applyAlignment="1">
      <alignment horizontal="left" vertical="center"/>
    </xf>
    <xf numFmtId="49" fontId="40" fillId="0" borderId="0" xfId="0" applyNumberFormat="1" applyFont="1">
      <alignment vertical="center"/>
    </xf>
    <xf numFmtId="0" fontId="14" fillId="0" borderId="13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182" fontId="34" fillId="0" borderId="10" xfId="0" applyNumberFormat="1" applyFont="1" applyBorder="1" applyAlignment="1">
      <alignment horizontal="center" vertical="center" shrinkToFit="1"/>
    </xf>
    <xf numFmtId="0" fontId="36" fillId="0" borderId="55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43" fillId="0" borderId="21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36" fillId="0" borderId="55" xfId="0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3" fontId="9" fillId="0" borderId="21" xfId="0" applyNumberFormat="1" applyFont="1" applyBorder="1" applyAlignment="1">
      <alignment horizontal="center" vertical="center"/>
    </xf>
    <xf numFmtId="182" fontId="52" fillId="0" borderId="23" xfId="0" applyNumberFormat="1" applyFont="1" applyBorder="1" applyAlignment="1">
      <alignment vertical="center" shrinkToFit="1"/>
    </xf>
    <xf numFmtId="0" fontId="9" fillId="0" borderId="38" xfId="0" applyFont="1" applyBorder="1" applyAlignment="1">
      <alignment horizontal="center" vertical="center"/>
    </xf>
    <xf numFmtId="49" fontId="36" fillId="0" borderId="23" xfId="0" quotePrefix="1" applyNumberFormat="1" applyFont="1" applyBorder="1" applyAlignment="1">
      <alignment horizontal="left" vertical="center"/>
    </xf>
    <xf numFmtId="180" fontId="9" fillId="0" borderId="13" xfId="0" applyNumberFormat="1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181" fontId="34" fillId="0" borderId="23" xfId="0" applyNumberFormat="1" applyFont="1" applyBorder="1" applyAlignment="1">
      <alignment horizontal="center" vertical="center"/>
    </xf>
    <xf numFmtId="180" fontId="9" fillId="0" borderId="2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58" xfId="0" applyFont="1" applyBorder="1">
      <alignment vertical="center"/>
    </xf>
    <xf numFmtId="0" fontId="9" fillId="0" borderId="22" xfId="0" applyFont="1" applyBorder="1">
      <alignment vertical="center"/>
    </xf>
    <xf numFmtId="0" fontId="9" fillId="0" borderId="57" xfId="0" applyFont="1" applyBorder="1">
      <alignment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4" fillId="0" borderId="13" xfId="0" applyNumberFormat="1" applyFont="1" applyBorder="1" applyAlignment="1">
      <alignment horizontal="center" vertical="center"/>
    </xf>
    <xf numFmtId="181" fontId="34" fillId="0" borderId="21" xfId="0" applyNumberFormat="1" applyFont="1" applyBorder="1" applyAlignment="1">
      <alignment horizontal="center" vertical="center"/>
    </xf>
    <xf numFmtId="182" fontId="34" fillId="0" borderId="24" xfId="0" applyNumberFormat="1" applyFont="1" applyBorder="1" applyAlignment="1">
      <alignment horizontal="center" vertical="center" shrinkToFit="1"/>
    </xf>
    <xf numFmtId="181" fontId="34" fillId="0" borderId="24" xfId="0" applyNumberFormat="1" applyFont="1" applyBorder="1" applyAlignment="1">
      <alignment horizontal="center" vertical="center"/>
    </xf>
    <xf numFmtId="180" fontId="9" fillId="0" borderId="24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180" fontId="9" fillId="0" borderId="8" xfId="0" applyNumberFormat="1" applyFont="1" applyBorder="1" applyAlignment="1">
      <alignment horizontal="center" vertical="center"/>
    </xf>
    <xf numFmtId="181" fontId="34" fillId="0" borderId="10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 shrinkToFit="1"/>
    </xf>
    <xf numFmtId="180" fontId="9" fillId="0" borderId="21" xfId="0" applyNumberFormat="1" applyFont="1" applyBorder="1" applyAlignment="1">
      <alignment horizontal="center" vertical="center" shrinkToFit="1"/>
    </xf>
    <xf numFmtId="182" fontId="9" fillId="0" borderId="13" xfId="0" applyNumberFormat="1" applyFont="1" applyBorder="1" applyAlignment="1">
      <alignment horizontal="center" vertical="center" shrinkToFit="1"/>
    </xf>
    <xf numFmtId="1" fontId="9" fillId="0" borderId="13" xfId="0" applyNumberFormat="1" applyFont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 shrinkToFit="1"/>
    </xf>
    <xf numFmtId="176" fontId="9" fillId="0" borderId="21" xfId="2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center"/>
    </xf>
    <xf numFmtId="178" fontId="9" fillId="0" borderId="10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182" fontId="9" fillId="0" borderId="32" xfId="0" applyNumberFormat="1" applyFont="1" applyBorder="1" applyAlignment="1">
      <alignment vertical="center" shrinkToFit="1"/>
    </xf>
    <xf numFmtId="182" fontId="9" fillId="0" borderId="32" xfId="0" applyNumberFormat="1" applyFont="1" applyBorder="1" applyAlignment="1">
      <alignment horizontal="center" vertical="center"/>
    </xf>
    <xf numFmtId="180" fontId="9" fillId="0" borderId="32" xfId="0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/>
    </xf>
    <xf numFmtId="1" fontId="9" fillId="0" borderId="32" xfId="0" applyNumberFormat="1" applyFont="1" applyBorder="1" applyAlignment="1">
      <alignment horizontal="center" vertical="center"/>
    </xf>
    <xf numFmtId="49" fontId="36" fillId="0" borderId="37" xfId="0" quotePrefix="1" applyNumberFormat="1" applyFont="1" applyBorder="1" applyAlignment="1">
      <alignment horizontal="left" vertical="center" wrapText="1"/>
    </xf>
    <xf numFmtId="49" fontId="36" fillId="0" borderId="51" xfId="0" quotePrefix="1" applyNumberFormat="1" applyFont="1" applyBorder="1" applyAlignment="1">
      <alignment horizontal="left" vertical="center"/>
    </xf>
    <xf numFmtId="49" fontId="36" fillId="0" borderId="39" xfId="0" quotePrefix="1" applyNumberFormat="1" applyFont="1" applyBorder="1" applyAlignment="1">
      <alignment horizontal="left" vertical="center" wrapText="1"/>
    </xf>
    <xf numFmtId="180" fontId="9" fillId="5" borderId="13" xfId="0" applyNumberFormat="1" applyFont="1" applyFill="1" applyBorder="1" applyAlignment="1">
      <alignment horizontal="center" vertical="center"/>
    </xf>
    <xf numFmtId="180" fontId="9" fillId="5" borderId="21" xfId="0" applyNumberFormat="1" applyFont="1" applyFill="1" applyBorder="1" applyAlignment="1">
      <alignment horizontal="center" vertical="center"/>
    </xf>
    <xf numFmtId="180" fontId="9" fillId="5" borderId="23" xfId="0" applyNumberFormat="1" applyFont="1" applyFill="1" applyBorder="1" applyAlignment="1">
      <alignment horizontal="center" vertical="center"/>
    </xf>
    <xf numFmtId="0" fontId="36" fillId="0" borderId="39" xfId="0" applyFont="1" applyBorder="1" applyAlignment="1">
      <alignment horizontal="left" vertical="center"/>
    </xf>
    <xf numFmtId="1" fontId="9" fillId="0" borderId="58" xfId="0" applyNumberFormat="1" applyFont="1" applyBorder="1" applyAlignment="1">
      <alignment horizontal="center" vertical="center"/>
    </xf>
    <xf numFmtId="1" fontId="9" fillId="0" borderId="57" xfId="0" applyNumberFormat="1" applyFont="1" applyBorder="1" applyAlignment="1">
      <alignment horizontal="center" vertical="center"/>
    </xf>
    <xf numFmtId="182" fontId="25" fillId="0" borderId="23" xfId="0" applyNumberFormat="1" applyFont="1" applyBorder="1" applyAlignment="1">
      <alignment vertical="center" shrinkToFit="1"/>
    </xf>
    <xf numFmtId="49" fontId="60" fillId="0" borderId="21" xfId="0" quotePrefix="1" applyNumberFormat="1" applyFont="1" applyBorder="1" applyAlignment="1">
      <alignment horizontal="left" vertical="center" wrapText="1"/>
    </xf>
    <xf numFmtId="49" fontId="60" fillId="0" borderId="21" xfId="0" quotePrefix="1" applyNumberFormat="1" applyFont="1" applyBorder="1" applyAlignment="1">
      <alignment horizontal="left" vertical="center"/>
    </xf>
    <xf numFmtId="0" fontId="60" fillId="0" borderId="21" xfId="0" applyFont="1" applyBorder="1" applyAlignment="1">
      <alignment horizontal="left" vertical="center"/>
    </xf>
    <xf numFmtId="0" fontId="36" fillId="5" borderId="37" xfId="0" applyFont="1" applyFill="1" applyBorder="1">
      <alignment vertical="center"/>
    </xf>
    <xf numFmtId="0" fontId="25" fillId="0" borderId="13" xfId="0" applyFont="1" applyBorder="1" applyAlignment="1">
      <alignment horizontal="center" vertical="center" wrapText="1"/>
    </xf>
    <xf numFmtId="49" fontId="60" fillId="0" borderId="13" xfId="0" quotePrefix="1" applyNumberFormat="1" applyFont="1" applyBorder="1" applyAlignment="1">
      <alignment horizontal="left" vertical="center" wrapText="1"/>
    </xf>
    <xf numFmtId="0" fontId="55" fillId="0" borderId="13" xfId="0" applyFont="1" applyBorder="1">
      <alignment vertical="center"/>
    </xf>
    <xf numFmtId="0" fontId="55" fillId="0" borderId="13" xfId="0" applyFont="1" applyBorder="1" applyAlignment="1">
      <alignment vertical="center" wrapText="1"/>
    </xf>
    <xf numFmtId="0" fontId="36" fillId="5" borderId="39" xfId="0" applyFont="1" applyFill="1" applyBorder="1">
      <alignment vertical="center"/>
    </xf>
    <xf numFmtId="0" fontId="54" fillId="5" borderId="39" xfId="0" applyFont="1" applyFill="1" applyBorder="1">
      <alignment vertical="center"/>
    </xf>
    <xf numFmtId="0" fontId="54" fillId="5" borderId="40" xfId="0" applyFont="1" applyFill="1" applyBorder="1">
      <alignment vertical="center"/>
    </xf>
    <xf numFmtId="0" fontId="25" fillId="0" borderId="23" xfId="0" applyFont="1" applyBorder="1" applyAlignment="1">
      <alignment horizontal="center" vertical="center" wrapText="1"/>
    </xf>
    <xf numFmtId="49" fontId="61" fillId="0" borderId="23" xfId="0" applyNumberFormat="1" applyFont="1" applyBorder="1" applyAlignment="1">
      <alignment horizontal="left" vertical="center"/>
    </xf>
    <xf numFmtId="0" fontId="55" fillId="0" borderId="23" xfId="0" applyFont="1" applyBorder="1">
      <alignment vertical="center"/>
    </xf>
    <xf numFmtId="49" fontId="36" fillId="0" borderId="47" xfId="0" applyNumberFormat="1" applyFont="1" applyBorder="1">
      <alignment vertical="center"/>
    </xf>
    <xf numFmtId="49" fontId="36" fillId="0" borderId="68" xfId="0" applyNumberFormat="1" applyFont="1" applyBorder="1">
      <alignment vertical="center"/>
    </xf>
    <xf numFmtId="49" fontId="36" fillId="0" borderId="59" xfId="0" applyNumberFormat="1" applyFont="1" applyBorder="1">
      <alignment vertical="center"/>
    </xf>
    <xf numFmtId="49" fontId="42" fillId="0" borderId="10" xfId="0" quotePrefix="1" applyNumberFormat="1" applyFont="1" applyBorder="1" applyAlignment="1">
      <alignment horizontal="left" vertical="center"/>
    </xf>
    <xf numFmtId="49" fontId="36" fillId="0" borderId="46" xfId="0" applyNumberFormat="1" applyFont="1" applyBorder="1" applyAlignment="1">
      <alignment horizontal="center" vertical="center"/>
    </xf>
    <xf numFmtId="0" fontId="36" fillId="7" borderId="44" xfId="0" applyFont="1" applyFill="1" applyBorder="1" applyAlignment="1">
      <alignment horizontal="center" vertical="center"/>
    </xf>
    <xf numFmtId="0" fontId="36" fillId="7" borderId="46" xfId="0" applyFont="1" applyFill="1" applyBorder="1" applyAlignment="1">
      <alignment horizontal="center" vertical="center"/>
    </xf>
    <xf numFmtId="0" fontId="36" fillId="7" borderId="50" xfId="0" applyFont="1" applyFill="1" applyBorder="1" applyAlignment="1">
      <alignment horizontal="center" vertical="center"/>
    </xf>
    <xf numFmtId="49" fontId="36" fillId="0" borderId="44" xfId="0" applyNumberFormat="1" applyFont="1" applyBorder="1">
      <alignment vertical="center"/>
    </xf>
    <xf numFmtId="49" fontId="36" fillId="0" borderId="46" xfId="0" applyNumberFormat="1" applyFont="1" applyBorder="1">
      <alignment vertical="center"/>
    </xf>
    <xf numFmtId="49" fontId="36" fillId="0" borderId="50" xfId="0" applyNumberFormat="1" applyFont="1" applyBorder="1">
      <alignment vertical="center"/>
    </xf>
    <xf numFmtId="1" fontId="9" fillId="0" borderId="24" xfId="0" applyNumberFormat="1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24" xfId="0" applyFont="1" applyBorder="1">
      <alignment vertical="center"/>
    </xf>
    <xf numFmtId="0" fontId="52" fillId="0" borderId="10" xfId="0" applyFont="1" applyBorder="1" applyAlignment="1">
      <alignment horizontal="center" vertical="center"/>
    </xf>
    <xf numFmtId="0" fontId="64" fillId="0" borderId="21" xfId="0" applyFont="1" applyBorder="1" applyAlignment="1">
      <alignment vertical="center" wrapText="1"/>
    </xf>
    <xf numFmtId="0" fontId="9" fillId="0" borderId="36" xfId="0" applyFont="1" applyBorder="1">
      <alignment vertical="center"/>
    </xf>
    <xf numFmtId="0" fontId="65" fillId="0" borderId="36" xfId="0" applyFont="1" applyBorder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24" xfId="0" applyFont="1" applyBorder="1" applyAlignment="1">
      <alignment horizontal="center" vertical="center"/>
    </xf>
    <xf numFmtId="0" fontId="67" fillId="0" borderId="36" xfId="0" applyFont="1" applyBorder="1">
      <alignment vertical="center"/>
    </xf>
    <xf numFmtId="0" fontId="67" fillId="0" borderId="10" xfId="0" applyFont="1" applyBorder="1">
      <alignment vertical="center"/>
    </xf>
    <xf numFmtId="0" fontId="67" fillId="0" borderId="24" xfId="0" applyFont="1" applyBorder="1">
      <alignment vertical="center"/>
    </xf>
    <xf numFmtId="49" fontId="36" fillId="0" borderId="48" xfId="0" applyNumberFormat="1" applyFont="1" applyBorder="1">
      <alignment vertical="center"/>
    </xf>
    <xf numFmtId="49" fontId="36" fillId="0" borderId="3" xfId="0" applyNumberFormat="1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182" fontId="9" fillId="0" borderId="3" xfId="0" applyNumberFormat="1" applyFont="1" applyBorder="1" applyAlignment="1">
      <alignment vertical="center" shrinkToFit="1"/>
    </xf>
    <xf numFmtId="0" fontId="34" fillId="0" borderId="3" xfId="0" applyFont="1" applyBorder="1" applyAlignment="1">
      <alignment horizontal="center" vertical="center" wrapText="1"/>
    </xf>
    <xf numFmtId="182" fontId="34" fillId="0" borderId="3" xfId="0" applyNumberFormat="1" applyFont="1" applyBorder="1" applyAlignment="1">
      <alignment horizontal="center" vertical="center" shrinkToFit="1"/>
    </xf>
    <xf numFmtId="181" fontId="34" fillId="0" borderId="3" xfId="0" applyNumberFormat="1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center" vertical="center"/>
    </xf>
    <xf numFmtId="178" fontId="67" fillId="0" borderId="3" xfId="0" applyNumberFormat="1" applyFont="1" applyBorder="1" applyAlignment="1">
      <alignment horizontal="center" vertical="center"/>
    </xf>
    <xf numFmtId="49" fontId="34" fillId="0" borderId="22" xfId="0" quotePrefix="1" applyNumberFormat="1" applyFont="1" applyBorder="1" applyAlignment="1">
      <alignment horizontal="left" vertical="center"/>
    </xf>
    <xf numFmtId="182" fontId="34" fillId="0" borderId="24" xfId="0" applyNumberFormat="1" applyFont="1" applyBorder="1" applyAlignment="1">
      <alignment vertical="center" shrinkToFit="1"/>
    </xf>
    <xf numFmtId="49" fontId="36" fillId="0" borderId="64" xfId="0" quotePrefix="1" applyNumberFormat="1" applyFont="1" applyBorder="1" applyAlignment="1">
      <alignment horizontal="left" vertical="center"/>
    </xf>
    <xf numFmtId="0" fontId="66" fillId="0" borderId="6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9" fillId="0" borderId="59" xfId="0" applyFont="1" applyBorder="1">
      <alignment vertical="center"/>
    </xf>
    <xf numFmtId="0" fontId="9" fillId="0" borderId="47" xfId="0" applyFont="1" applyBorder="1">
      <alignment vertical="center"/>
    </xf>
    <xf numFmtId="0" fontId="9" fillId="0" borderId="68" xfId="0" applyFont="1" applyBorder="1">
      <alignment vertical="center"/>
    </xf>
    <xf numFmtId="49" fontId="34" fillId="0" borderId="19" xfId="0" applyNumberFormat="1" applyFont="1" applyBorder="1" applyAlignment="1">
      <alignment horizontal="left" vertical="center"/>
    </xf>
    <xf numFmtId="49" fontId="36" fillId="0" borderId="21" xfId="0" quotePrefix="1" applyNumberFormat="1" applyFont="1" applyBorder="1" applyAlignment="1">
      <alignment horizontal="left" vertical="center"/>
    </xf>
    <xf numFmtId="0" fontId="43" fillId="0" borderId="0" xfId="0" applyFont="1" applyAlignment="1">
      <alignment horizontal="center" vertical="center"/>
    </xf>
    <xf numFmtId="49" fontId="42" fillId="0" borderId="0" xfId="0" quotePrefix="1" applyNumberFormat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182" fontId="34" fillId="0" borderId="0" xfId="0" applyNumberFormat="1" applyFont="1" applyAlignment="1">
      <alignment vertical="center" shrinkToFit="1"/>
    </xf>
    <xf numFmtId="182" fontId="34" fillId="0" borderId="0" xfId="0" applyNumberFormat="1" applyFont="1" applyAlignment="1">
      <alignment horizontal="center" vertical="center" shrinkToFit="1"/>
    </xf>
    <xf numFmtId="181" fontId="34" fillId="0" borderId="0" xfId="0" applyNumberFormat="1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56" fontId="9" fillId="0" borderId="0" xfId="0" applyNumberFormat="1" applyFont="1" applyAlignment="1">
      <alignment horizontal="center" vertical="center"/>
    </xf>
    <xf numFmtId="0" fontId="70" fillId="0" borderId="2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/>
    </xf>
    <xf numFmtId="182" fontId="34" fillId="0" borderId="15" xfId="0" applyNumberFormat="1" applyFont="1" applyBorder="1" applyAlignment="1">
      <alignment horizontal="center" vertical="center" shrinkToFit="1"/>
    </xf>
    <xf numFmtId="0" fontId="52" fillId="0" borderId="0" xfId="0" applyFont="1">
      <alignment vertical="center"/>
    </xf>
    <xf numFmtId="0" fontId="52" fillId="0" borderId="10" xfId="0" applyFont="1" applyBorder="1">
      <alignment vertical="center"/>
    </xf>
    <xf numFmtId="0" fontId="52" fillId="0" borderId="24" xfId="0" applyFont="1" applyBorder="1">
      <alignment vertical="center"/>
    </xf>
    <xf numFmtId="185" fontId="9" fillId="0" borderId="59" xfId="0" applyNumberFormat="1" applyFont="1" applyBorder="1">
      <alignment vertical="center"/>
    </xf>
    <xf numFmtId="185" fontId="9" fillId="0" borderId="47" xfId="0" applyNumberFormat="1" applyFont="1" applyBorder="1">
      <alignment vertical="center"/>
    </xf>
    <xf numFmtId="185" fontId="9" fillId="0" borderId="68" xfId="0" applyNumberFormat="1" applyFont="1" applyBorder="1">
      <alignment vertical="center"/>
    </xf>
    <xf numFmtId="185" fontId="9" fillId="0" borderId="24" xfId="0" applyNumberFormat="1" applyFont="1" applyBorder="1">
      <alignment vertical="center"/>
    </xf>
    <xf numFmtId="49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vertical="center" shrinkToFit="1"/>
    </xf>
    <xf numFmtId="182" fontId="9" fillId="0" borderId="14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5" fontId="9" fillId="0" borderId="8" xfId="0" applyNumberFormat="1" applyFont="1" applyBorder="1">
      <alignment vertical="center"/>
    </xf>
    <xf numFmtId="185" fontId="9" fillId="0" borderId="65" xfId="0" applyNumberFormat="1" applyFont="1" applyBorder="1">
      <alignment vertical="center"/>
    </xf>
    <xf numFmtId="185" fontId="9" fillId="0" borderId="7" xfId="0" applyNumberFormat="1" applyFont="1" applyBorder="1">
      <alignment vertical="center"/>
    </xf>
    <xf numFmtId="0" fontId="36" fillId="0" borderId="40" xfId="0" applyFont="1" applyBorder="1" applyAlignment="1">
      <alignment horizontal="left" vertical="center"/>
    </xf>
    <xf numFmtId="185" fontId="9" fillId="0" borderId="36" xfId="0" applyNumberFormat="1" applyFont="1" applyBorder="1">
      <alignment vertical="center"/>
    </xf>
    <xf numFmtId="185" fontId="9" fillId="0" borderId="10" xfId="0" applyNumberFormat="1" applyFont="1" applyBorder="1">
      <alignment vertical="center"/>
    </xf>
    <xf numFmtId="49" fontId="36" fillId="0" borderId="10" xfId="0" quotePrefix="1" applyNumberFormat="1" applyFont="1" applyBorder="1" applyAlignment="1">
      <alignment horizontal="left" vertical="center"/>
    </xf>
    <xf numFmtId="49" fontId="36" fillId="0" borderId="13" xfId="0" quotePrefix="1" applyNumberFormat="1" applyFont="1" applyBorder="1" applyAlignment="1">
      <alignment horizontal="left" vertical="center"/>
    </xf>
    <xf numFmtId="0" fontId="9" fillId="0" borderId="7" xfId="0" applyFont="1" applyBorder="1">
      <alignment vertical="center"/>
    </xf>
    <xf numFmtId="0" fontId="9" fillId="0" borderId="65" xfId="0" applyFont="1" applyBorder="1">
      <alignment vertical="center"/>
    </xf>
    <xf numFmtId="0" fontId="9" fillId="0" borderId="10" xfId="0" applyFont="1" applyBorder="1" applyAlignment="1">
      <alignment horizontal="center"/>
    </xf>
    <xf numFmtId="0" fontId="36" fillId="0" borderId="10" xfId="0" applyFont="1" applyBorder="1" applyAlignment="1">
      <alignment horizontal="left" vertical="center"/>
    </xf>
    <xf numFmtId="0" fontId="9" fillId="0" borderId="71" xfId="0" applyFont="1" applyBorder="1" applyAlignment="1">
      <alignment horizontal="center"/>
    </xf>
    <xf numFmtId="49" fontId="9" fillId="0" borderId="71" xfId="0" applyNumberFormat="1" applyFont="1" applyBorder="1" applyAlignment="1">
      <alignment horizontal="left" vertical="center"/>
    </xf>
    <xf numFmtId="0" fontId="36" fillId="3" borderId="71" xfId="0" applyFont="1" applyFill="1" applyBorder="1" applyAlignment="1">
      <alignment horizontal="left" vertical="center"/>
    </xf>
    <xf numFmtId="0" fontId="9" fillId="0" borderId="71" xfId="0" applyFont="1" applyBorder="1">
      <alignment vertical="center"/>
    </xf>
    <xf numFmtId="1" fontId="9" fillId="0" borderId="71" xfId="0" applyNumberFormat="1" applyFont="1" applyBorder="1" applyAlignment="1">
      <alignment horizontal="center" vertical="center"/>
    </xf>
    <xf numFmtId="180" fontId="9" fillId="0" borderId="71" xfId="0" applyNumberFormat="1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184" fontId="9" fillId="5" borderId="71" xfId="2" applyNumberFormat="1" applyFont="1" applyFill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6" fontId="9" fillId="0" borderId="71" xfId="8" applyFont="1" applyFill="1" applyBorder="1" applyAlignment="1">
      <alignment horizontal="right" vertical="center"/>
    </xf>
    <xf numFmtId="6" fontId="9" fillId="0" borderId="21" xfId="8" applyFont="1" applyFill="1" applyBorder="1" applyAlignment="1">
      <alignment horizontal="right" vertical="center"/>
    </xf>
    <xf numFmtId="0" fontId="54" fillId="5" borderId="69" xfId="0" applyFont="1" applyFill="1" applyBorder="1">
      <alignment vertical="center"/>
    </xf>
    <xf numFmtId="182" fontId="25" fillId="0" borderId="19" xfId="0" applyNumberFormat="1" applyFont="1" applyBorder="1" applyAlignment="1">
      <alignment vertical="center" shrinkToFit="1"/>
    </xf>
    <xf numFmtId="0" fontId="25" fillId="0" borderId="19" xfId="0" applyFont="1" applyBorder="1" applyAlignment="1">
      <alignment horizontal="center" vertical="center" wrapText="1"/>
    </xf>
    <xf numFmtId="0" fontId="60" fillId="0" borderId="19" xfId="0" applyFont="1" applyBorder="1" applyAlignment="1">
      <alignment horizontal="left" vertical="center"/>
    </xf>
    <xf numFmtId="0" fontId="55" fillId="0" borderId="19" xfId="0" applyFont="1" applyBorder="1">
      <alignment vertical="center"/>
    </xf>
    <xf numFmtId="0" fontId="57" fillId="0" borderId="19" xfId="0" applyFont="1" applyBorder="1" applyAlignment="1">
      <alignment vertical="center" wrapText="1"/>
    </xf>
    <xf numFmtId="49" fontId="61" fillId="0" borderId="21" xfId="0" applyNumberFormat="1" applyFont="1" applyBorder="1" applyAlignment="1">
      <alignment horizontal="left" vertical="center"/>
    </xf>
    <xf numFmtId="182" fontId="17" fillId="0" borderId="13" xfId="0" applyNumberFormat="1" applyFont="1" applyBorder="1" applyAlignment="1">
      <alignment vertical="center" shrinkToFit="1"/>
    </xf>
    <xf numFmtId="0" fontId="34" fillId="3" borderId="12" xfId="0" applyFont="1" applyFill="1" applyBorder="1" applyAlignment="1">
      <alignment horizontal="left" vertical="center"/>
    </xf>
    <xf numFmtId="0" fontId="34" fillId="0" borderId="63" xfId="0" applyFont="1" applyBorder="1" applyAlignment="1">
      <alignment vertical="center" wrapText="1"/>
    </xf>
    <xf numFmtId="182" fontId="34" fillId="0" borderId="63" xfId="0" applyNumberFormat="1" applyFont="1" applyBorder="1" applyAlignment="1">
      <alignment vertical="center" shrinkToFit="1"/>
    </xf>
    <xf numFmtId="182" fontId="34" fillId="0" borderId="54" xfId="0" applyNumberFormat="1" applyFont="1" applyBorder="1" applyAlignment="1">
      <alignment vertical="center" shrinkToFit="1"/>
    </xf>
    <xf numFmtId="0" fontId="0" fillId="0" borderId="49" xfId="0" applyBorder="1">
      <alignment vertical="center"/>
    </xf>
    <xf numFmtId="0" fontId="34" fillId="5" borderId="67" xfId="0" applyFont="1" applyFill="1" applyBorder="1" applyAlignment="1">
      <alignment horizontal="left" vertical="center"/>
    </xf>
    <xf numFmtId="0" fontId="34" fillId="5" borderId="49" xfId="0" applyFont="1" applyFill="1" applyBorder="1" applyAlignment="1">
      <alignment vertical="center" wrapText="1"/>
    </xf>
    <xf numFmtId="0" fontId="0" fillId="0" borderId="53" xfId="0" applyBorder="1">
      <alignment vertical="center"/>
    </xf>
    <xf numFmtId="0" fontId="32" fillId="0" borderId="67" xfId="0" applyFont="1" applyBorder="1" applyAlignment="1">
      <alignment horizontal="center" vertical="center"/>
    </xf>
    <xf numFmtId="0" fontId="9" fillId="0" borderId="63" xfId="0" applyFont="1" applyBorder="1" applyAlignment="1">
      <alignment horizontal="left" vertical="center"/>
    </xf>
    <xf numFmtId="49" fontId="34" fillId="0" borderId="63" xfId="0" applyNumberFormat="1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0" fontId="0" fillId="0" borderId="10" xfId="0" applyBorder="1">
      <alignment vertical="center"/>
    </xf>
    <xf numFmtId="49" fontId="36" fillId="0" borderId="10" xfId="0" applyNumberFormat="1" applyFont="1" applyBorder="1">
      <alignment vertical="center"/>
    </xf>
    <xf numFmtId="49" fontId="36" fillId="0" borderId="24" xfId="0" applyNumberFormat="1" applyFont="1" applyBorder="1">
      <alignment vertical="center"/>
    </xf>
    <xf numFmtId="182" fontId="9" fillId="0" borderId="8" xfId="0" applyNumberFormat="1" applyFont="1" applyBorder="1" applyAlignment="1">
      <alignment vertical="center" shrinkToFit="1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36" fillId="7" borderId="6" xfId="0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185" fontId="43" fillId="0" borderId="36" xfId="0" applyNumberFormat="1" applyFont="1" applyBorder="1" applyAlignment="1">
      <alignment horizontal="center" vertical="center"/>
    </xf>
    <xf numFmtId="185" fontId="43" fillId="0" borderId="10" xfId="0" applyNumberFormat="1" applyFont="1" applyBorder="1" applyAlignment="1">
      <alignment horizontal="center" vertical="center"/>
    </xf>
    <xf numFmtId="185" fontId="43" fillId="0" borderId="24" xfId="0" applyNumberFormat="1" applyFont="1" applyBorder="1" applyAlignment="1">
      <alignment horizontal="center" vertical="center"/>
    </xf>
    <xf numFmtId="49" fontId="36" fillId="0" borderId="59" xfId="0" applyNumberFormat="1" applyFont="1" applyBorder="1" applyAlignment="1">
      <alignment horizontal="center" vertical="center"/>
    </xf>
    <xf numFmtId="49" fontId="36" fillId="0" borderId="47" xfId="0" applyNumberFormat="1" applyFont="1" applyBorder="1" applyAlignment="1">
      <alignment horizontal="center" vertical="center"/>
    </xf>
    <xf numFmtId="49" fontId="36" fillId="0" borderId="68" xfId="0" applyNumberFormat="1" applyFont="1" applyBorder="1" applyAlignment="1">
      <alignment horizontal="center" vertical="center"/>
    </xf>
    <xf numFmtId="185" fontId="9" fillId="0" borderId="36" xfId="0" applyNumberFormat="1" applyFont="1" applyBorder="1" applyAlignment="1">
      <alignment horizontal="center" vertical="center"/>
    </xf>
    <xf numFmtId="185" fontId="9" fillId="0" borderId="10" xfId="0" applyNumberFormat="1" applyFont="1" applyBorder="1" applyAlignment="1">
      <alignment horizontal="center" vertical="center"/>
    </xf>
    <xf numFmtId="185" fontId="9" fillId="0" borderId="24" xfId="0" applyNumberFormat="1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36" fillId="7" borderId="44" xfId="0" applyFont="1" applyFill="1" applyBorder="1" applyAlignment="1">
      <alignment horizontal="center" vertical="center"/>
    </xf>
    <xf numFmtId="0" fontId="36" fillId="7" borderId="46" xfId="0" applyFont="1" applyFill="1" applyBorder="1" applyAlignment="1">
      <alignment horizontal="center" vertical="center"/>
    </xf>
    <xf numFmtId="0" fontId="36" fillId="7" borderId="50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6" fillId="0" borderId="44" xfId="0" applyNumberFormat="1" applyFont="1" applyBorder="1" applyAlignment="1">
      <alignment horizontal="center" vertical="center"/>
    </xf>
    <xf numFmtId="49" fontId="36" fillId="0" borderId="46" xfId="0" applyNumberFormat="1" applyFont="1" applyBorder="1" applyAlignment="1">
      <alignment horizontal="center" vertical="center"/>
    </xf>
    <xf numFmtId="49" fontId="36" fillId="0" borderId="50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49" fontId="36" fillId="0" borderId="56" xfId="0" applyNumberFormat="1" applyFont="1" applyBorder="1" applyAlignment="1">
      <alignment horizontal="center" vertical="center"/>
    </xf>
    <xf numFmtId="49" fontId="36" fillId="0" borderId="66" xfId="0" applyNumberFormat="1" applyFont="1" applyBorder="1" applyAlignment="1">
      <alignment horizontal="center" vertical="center"/>
    </xf>
    <xf numFmtId="49" fontId="36" fillId="0" borderId="60" xfId="0" applyNumberFormat="1" applyFont="1" applyBorder="1" applyAlignment="1">
      <alignment horizontal="center" vertical="center"/>
    </xf>
    <xf numFmtId="0" fontId="36" fillId="3" borderId="44" xfId="0" applyFont="1" applyFill="1" applyBorder="1" applyAlignment="1">
      <alignment horizontal="center" vertical="center"/>
    </xf>
    <xf numFmtId="0" fontId="47" fillId="3" borderId="58" xfId="0" applyFont="1" applyFill="1" applyBorder="1" applyAlignment="1">
      <alignment horizontal="left" vertical="center"/>
    </xf>
    <xf numFmtId="0" fontId="47" fillId="3" borderId="13" xfId="0" applyFont="1" applyFill="1" applyBorder="1" applyAlignment="1">
      <alignment horizontal="left" vertical="center"/>
    </xf>
    <xf numFmtId="0" fontId="34" fillId="3" borderId="13" xfId="0" applyFont="1" applyFill="1" applyBorder="1" applyAlignment="1">
      <alignment horizontal="center" vertical="center"/>
    </xf>
    <xf numFmtId="181" fontId="34" fillId="3" borderId="13" xfId="0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85" fontId="9" fillId="3" borderId="36" xfId="0" applyNumberFormat="1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59" xfId="0" applyFont="1" applyFill="1" applyBorder="1">
      <alignment vertical="center"/>
    </xf>
    <xf numFmtId="0" fontId="9" fillId="3" borderId="56" xfId="0" applyFont="1" applyFill="1" applyBorder="1" applyAlignment="1">
      <alignment horizontal="center" vertical="center"/>
    </xf>
    <xf numFmtId="0" fontId="36" fillId="3" borderId="46" xfId="0" applyFont="1" applyFill="1" applyBorder="1" applyAlignment="1">
      <alignment horizontal="center" vertical="center"/>
    </xf>
    <xf numFmtId="49" fontId="34" fillId="3" borderId="22" xfId="0" applyNumberFormat="1" applyFont="1" applyFill="1" applyBorder="1" applyAlignment="1">
      <alignment horizontal="left" vertical="center"/>
    </xf>
    <xf numFmtId="0" fontId="34" fillId="3" borderId="21" xfId="0" applyFont="1" applyFill="1" applyBorder="1" applyAlignment="1">
      <alignment horizontal="left" vertical="center"/>
    </xf>
    <xf numFmtId="0" fontId="34" fillId="3" borderId="21" xfId="0" applyFont="1" applyFill="1" applyBorder="1" applyAlignment="1">
      <alignment vertical="center" wrapText="1"/>
    </xf>
    <xf numFmtId="0" fontId="34" fillId="3" borderId="21" xfId="0" applyFont="1" applyFill="1" applyBorder="1" applyAlignment="1">
      <alignment horizontal="center" vertical="center" wrapText="1"/>
    </xf>
    <xf numFmtId="1" fontId="9" fillId="3" borderId="19" xfId="0" applyNumberFormat="1" applyFont="1" applyFill="1" applyBorder="1" applyAlignment="1">
      <alignment horizontal="center" vertical="center"/>
    </xf>
    <xf numFmtId="181" fontId="34" fillId="3" borderId="21" xfId="0" applyNumberFormat="1" applyFont="1" applyFill="1" applyBorder="1" applyAlignment="1">
      <alignment horizontal="center" vertical="center"/>
    </xf>
    <xf numFmtId="180" fontId="9" fillId="3" borderId="21" xfId="0" applyNumberFormat="1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185" fontId="9" fillId="3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47" xfId="0" applyFont="1" applyFill="1" applyBorder="1">
      <alignment vertical="center"/>
    </xf>
    <xf numFmtId="0" fontId="9" fillId="3" borderId="66" xfId="0" applyFont="1" applyFill="1" applyBorder="1" applyAlignment="1">
      <alignment horizontal="center" vertical="center"/>
    </xf>
    <xf numFmtId="182" fontId="34" fillId="3" borderId="21" xfId="0" applyNumberFormat="1" applyFont="1" applyFill="1" applyBorder="1" applyAlignment="1">
      <alignment horizontal="center" vertical="center" shrinkToFit="1"/>
    </xf>
    <xf numFmtId="0" fontId="9" fillId="3" borderId="0" xfId="0" applyFont="1" applyFill="1" applyAlignment="1">
      <alignment horizontal="center" vertical="center"/>
    </xf>
    <xf numFmtId="182" fontId="34" fillId="3" borderId="21" xfId="0" applyNumberFormat="1" applyFont="1" applyFill="1" applyBorder="1" applyAlignment="1">
      <alignment vertical="center" shrinkToFit="1"/>
    </xf>
    <xf numFmtId="0" fontId="36" fillId="3" borderId="50" xfId="0" applyFont="1" applyFill="1" applyBorder="1" applyAlignment="1">
      <alignment horizontal="center" vertical="center"/>
    </xf>
    <xf numFmtId="49" fontId="36" fillId="3" borderId="64" xfId="0" quotePrefix="1" applyNumberFormat="1" applyFont="1" applyFill="1" applyBorder="1" applyAlignment="1">
      <alignment horizontal="left" vertical="center"/>
    </xf>
    <xf numFmtId="0" fontId="34" fillId="3" borderId="23" xfId="0" applyFont="1" applyFill="1" applyBorder="1" applyAlignment="1">
      <alignment horizontal="left" vertical="center"/>
    </xf>
    <xf numFmtId="182" fontId="34" fillId="3" borderId="23" xfId="0" applyNumberFormat="1" applyFont="1" applyFill="1" applyBorder="1" applyAlignment="1">
      <alignment vertical="center" shrinkToFit="1"/>
    </xf>
    <xf numFmtId="182" fontId="34" fillId="3" borderId="23" xfId="0" applyNumberFormat="1" applyFont="1" applyFill="1" applyBorder="1" applyAlignment="1">
      <alignment horizontal="center" vertical="center" shrinkToFit="1"/>
    </xf>
    <xf numFmtId="181" fontId="34" fillId="3" borderId="23" xfId="0" applyNumberFormat="1" applyFont="1" applyFill="1" applyBorder="1" applyAlignment="1">
      <alignment horizontal="center" vertical="center"/>
    </xf>
    <xf numFmtId="180" fontId="9" fillId="3" borderId="2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85" fontId="9" fillId="3" borderId="24" xfId="0" applyNumberFormat="1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68" xfId="0" applyFont="1" applyFill="1" applyBorder="1">
      <alignment vertical="center"/>
    </xf>
    <xf numFmtId="0" fontId="9" fillId="3" borderId="60" xfId="0" applyFont="1" applyFill="1" applyBorder="1" applyAlignment="1">
      <alignment horizontal="center" vertical="center"/>
    </xf>
  </cellXfs>
  <cellStyles count="11">
    <cellStyle name="ハイパーリンク" xfId="1" builtinId="8"/>
    <cellStyle name="桁区切り" xfId="2" builtinId="6"/>
    <cellStyle name="桁区切り 2" xfId="3" xr:uid="{00000000-0005-0000-0000-000003000000}"/>
    <cellStyle name="通貨" xfId="8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9" xr:uid="{C85A73DC-9311-4595-A34D-F27B3BFB3CEC}"/>
    <cellStyle name="標準 4 2 2 2" xfId="10" xr:uid="{61A41DB0-3BE9-4094-A5C1-CF005F4459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37</xdr:row>
      <xdr:rowOff>112395</xdr:rowOff>
    </xdr:from>
    <xdr:to>
      <xdr:col>11</xdr:col>
      <xdr:colOff>645795</xdr:colOff>
      <xdr:row>45</xdr:row>
      <xdr:rowOff>150494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254000</xdr:colOff>
      <xdr:row>4</xdr:row>
      <xdr:rowOff>338668</xdr:rowOff>
    </xdr:from>
    <xdr:to>
      <xdr:col>6</xdr:col>
      <xdr:colOff>3238500</xdr:colOff>
      <xdr:row>4</xdr:row>
      <xdr:rowOff>2286670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4D929CB-F4FF-4304-8ED1-4F291CAC3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00" y="6815668"/>
          <a:ext cx="2984500" cy="194800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677333</xdr:colOff>
      <xdr:row>8</xdr:row>
      <xdr:rowOff>169334</xdr:rowOff>
    </xdr:from>
    <xdr:to>
      <xdr:col>6</xdr:col>
      <xdr:colOff>2582333</xdr:colOff>
      <xdr:row>8</xdr:row>
      <xdr:rowOff>2212952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4551833-4ACE-0925-B442-50502EA46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38333" y="16552334"/>
          <a:ext cx="1905000" cy="2043618"/>
        </a:xfrm>
        <a:prstGeom prst="rect">
          <a:avLst/>
        </a:prstGeom>
      </xdr:spPr>
    </xdr:pic>
    <xdr:clientData/>
  </xdr:twoCellAnchor>
  <xdr:twoCellAnchor editAs="oneCell">
    <xdr:from>
      <xdr:col>6</xdr:col>
      <xdr:colOff>169334</xdr:colOff>
      <xdr:row>2</xdr:row>
      <xdr:rowOff>359834</xdr:rowOff>
    </xdr:from>
    <xdr:to>
      <xdr:col>6</xdr:col>
      <xdr:colOff>3175001</xdr:colOff>
      <xdr:row>2</xdr:row>
      <xdr:rowOff>2284683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C48F680-B7CE-C72B-E0C3-F402F5F93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30334" y="1883834"/>
          <a:ext cx="3005667" cy="1924849"/>
        </a:xfrm>
        <a:prstGeom prst="rect">
          <a:avLst/>
        </a:prstGeom>
      </xdr:spPr>
    </xdr:pic>
    <xdr:clientData/>
  </xdr:twoCellAnchor>
  <xdr:twoCellAnchor editAs="oneCell">
    <xdr:from>
      <xdr:col>6</xdr:col>
      <xdr:colOff>211667</xdr:colOff>
      <xdr:row>3</xdr:row>
      <xdr:rowOff>656168</xdr:rowOff>
    </xdr:from>
    <xdr:to>
      <xdr:col>6</xdr:col>
      <xdr:colOff>3316822</xdr:colOff>
      <xdr:row>3</xdr:row>
      <xdr:rowOff>2201334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7FDCDEE-2BEE-E265-8458-29E5050AB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72667" y="4656668"/>
          <a:ext cx="3105155" cy="1545166"/>
        </a:xfrm>
        <a:prstGeom prst="rect">
          <a:avLst/>
        </a:prstGeom>
      </xdr:spPr>
    </xdr:pic>
    <xdr:clientData/>
  </xdr:twoCellAnchor>
  <xdr:twoCellAnchor editAs="oneCell">
    <xdr:from>
      <xdr:col>6</xdr:col>
      <xdr:colOff>275167</xdr:colOff>
      <xdr:row>5</xdr:row>
      <xdr:rowOff>317501</xdr:rowOff>
    </xdr:from>
    <xdr:to>
      <xdr:col>6</xdr:col>
      <xdr:colOff>3407834</xdr:colOff>
      <xdr:row>5</xdr:row>
      <xdr:rowOff>2322583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A4009F0-3C7D-404F-081F-F057E43E6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36167" y="9271001"/>
          <a:ext cx="3132667" cy="2005082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6</xdr:row>
      <xdr:rowOff>381000</xdr:rowOff>
    </xdr:from>
    <xdr:to>
      <xdr:col>6</xdr:col>
      <xdr:colOff>3513667</xdr:colOff>
      <xdr:row>6</xdr:row>
      <xdr:rowOff>2243667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ED7B0B3-3B33-8CAB-CB4E-AC22D3435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15000" y="11811000"/>
          <a:ext cx="3259667" cy="1862667"/>
        </a:xfrm>
        <a:prstGeom prst="rect">
          <a:avLst/>
        </a:prstGeom>
      </xdr:spPr>
    </xdr:pic>
    <xdr:clientData/>
  </xdr:twoCellAnchor>
  <xdr:twoCellAnchor editAs="oneCell">
    <xdr:from>
      <xdr:col>6</xdr:col>
      <xdr:colOff>105833</xdr:colOff>
      <xdr:row>7</xdr:row>
      <xdr:rowOff>232833</xdr:rowOff>
    </xdr:from>
    <xdr:to>
      <xdr:col>6</xdr:col>
      <xdr:colOff>3492500</xdr:colOff>
      <xdr:row>7</xdr:row>
      <xdr:rowOff>2257850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6D2BA1C-5B0F-A233-A80B-5838A7930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66833" y="14139333"/>
          <a:ext cx="3386667" cy="2025017"/>
        </a:xfrm>
        <a:prstGeom prst="rect">
          <a:avLst/>
        </a:prstGeom>
      </xdr:spPr>
    </xdr:pic>
    <xdr:clientData/>
  </xdr:twoCellAnchor>
  <xdr:twoCellAnchor editAs="oneCell">
    <xdr:from>
      <xdr:col>6</xdr:col>
      <xdr:colOff>402166</xdr:colOff>
      <xdr:row>9</xdr:row>
      <xdr:rowOff>296332</xdr:rowOff>
    </xdr:from>
    <xdr:to>
      <xdr:col>6</xdr:col>
      <xdr:colOff>3090333</xdr:colOff>
      <xdr:row>9</xdr:row>
      <xdr:rowOff>2387620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F4D2623-9654-7246-4480-8FCA31C1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63166" y="19155832"/>
          <a:ext cx="2688167" cy="2091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10" workbookViewId="0">
      <selection activeCell="C27" sqref="C27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91</v>
      </c>
    </row>
    <row r="3" spans="1:3">
      <c r="A3" s="70">
        <f>A2+1</f>
        <v>3</v>
      </c>
      <c r="B3" s="7" t="s">
        <v>4</v>
      </c>
      <c r="C3" s="2" t="s">
        <v>92</v>
      </c>
    </row>
    <row r="4" spans="1:3">
      <c r="A4" s="70">
        <f t="shared" ref="A4:A68" si="0">A3+1</f>
        <v>4</v>
      </c>
      <c r="B4" s="7" t="s">
        <v>3</v>
      </c>
      <c r="C4" s="2" t="s">
        <v>93</v>
      </c>
    </row>
    <row r="5" spans="1:3" s="71" customFormat="1">
      <c r="A5" s="70">
        <f t="shared" si="0"/>
        <v>5</v>
      </c>
      <c r="B5" s="7" t="s">
        <v>5</v>
      </c>
      <c r="C5" s="7" t="s">
        <v>94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106</v>
      </c>
      <c r="C9" s="7" t="s">
        <v>139</v>
      </c>
    </row>
    <row r="10" spans="1:3" s="71" customFormat="1">
      <c r="A10" s="70">
        <f t="shared" si="0"/>
        <v>10</v>
      </c>
      <c r="B10" s="72" t="s">
        <v>107</v>
      </c>
      <c r="C10" s="7" t="s">
        <v>138</v>
      </c>
    </row>
    <row r="11" spans="1:3" s="71" customFormat="1">
      <c r="A11" s="70">
        <f t="shared" si="0"/>
        <v>11</v>
      </c>
      <c r="B11" s="72" t="s">
        <v>108</v>
      </c>
      <c r="C11" s="2" t="s">
        <v>140</v>
      </c>
    </row>
    <row r="12" spans="1:3" s="71" customFormat="1">
      <c r="A12" s="70">
        <f t="shared" si="0"/>
        <v>12</v>
      </c>
      <c r="B12" s="72" t="s">
        <v>109</v>
      </c>
      <c r="C12" s="2" t="s">
        <v>141</v>
      </c>
    </row>
    <row r="13" spans="1:3" s="71" customFormat="1">
      <c r="A13" s="70">
        <f t="shared" si="0"/>
        <v>13</v>
      </c>
      <c r="B13" s="72" t="s">
        <v>33</v>
      </c>
      <c r="C13" s="3" t="s">
        <v>148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95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116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110</v>
      </c>
    </row>
    <row r="25" spans="1:3" s="71" customFormat="1">
      <c r="A25" s="70">
        <f t="shared" si="0"/>
        <v>25</v>
      </c>
      <c r="B25" s="72" t="s">
        <v>44</v>
      </c>
      <c r="C25" s="146" t="s">
        <v>173</v>
      </c>
    </row>
    <row r="26" spans="1:3">
      <c r="A26" s="70">
        <f t="shared" si="0"/>
        <v>26</v>
      </c>
      <c r="B26" s="72" t="s">
        <v>45</v>
      </c>
      <c r="C26" s="147" t="s">
        <v>317</v>
      </c>
    </row>
    <row r="27" spans="1:3">
      <c r="A27" s="70">
        <f t="shared" si="0"/>
        <v>27</v>
      </c>
      <c r="B27" s="72" t="s">
        <v>46</v>
      </c>
      <c r="C27" s="147" t="str">
        <f>C26</f>
        <v xml:space="preserve"> SY-5300419-VT-DD-01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96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90</v>
      </c>
    </row>
    <row r="36" spans="1:3">
      <c r="A36" s="70">
        <f t="shared" si="0"/>
        <v>36</v>
      </c>
      <c r="B36" s="72" t="s">
        <v>56</v>
      </c>
      <c r="C36" s="81" t="s">
        <v>147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</row>
    <row r="43" spans="1:3">
      <c r="A43" s="70">
        <f t="shared" si="0"/>
        <v>43</v>
      </c>
      <c r="B43" s="72" t="s">
        <v>65</v>
      </c>
      <c r="C43" s="2" t="s">
        <v>316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149">
        <f>invoice!L31</f>
        <v>1909105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90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SY-5300419-VT-DD-01</v>
      </c>
    </row>
    <row r="50" spans="1:3">
      <c r="A50" s="70">
        <f t="shared" si="0"/>
        <v>50</v>
      </c>
      <c r="B50" s="72" t="s">
        <v>70</v>
      </c>
      <c r="C50" s="7" t="s">
        <v>139</v>
      </c>
    </row>
    <row r="51" spans="1:3">
      <c r="A51" s="70">
        <f t="shared" si="0"/>
        <v>51</v>
      </c>
      <c r="B51" s="72" t="s">
        <v>71</v>
      </c>
      <c r="C51" s="7" t="s">
        <v>138</v>
      </c>
    </row>
    <row r="52" spans="1:3">
      <c r="A52" s="70">
        <f t="shared" si="0"/>
        <v>52</v>
      </c>
      <c r="B52" s="72" t="s">
        <v>72</v>
      </c>
      <c r="C52" s="2" t="s">
        <v>140</v>
      </c>
    </row>
    <row r="53" spans="1:3">
      <c r="A53" s="70">
        <f t="shared" si="0"/>
        <v>53</v>
      </c>
      <c r="B53" s="72" t="s">
        <v>73</v>
      </c>
      <c r="C53" s="2" t="s">
        <v>141</v>
      </c>
    </row>
    <row r="54" spans="1:3">
      <c r="A54" s="70">
        <f t="shared" si="0"/>
        <v>54</v>
      </c>
      <c r="B54" s="72" t="s">
        <v>74</v>
      </c>
      <c r="C54" s="3" t="s">
        <v>142</v>
      </c>
    </row>
    <row r="55" spans="1:3">
      <c r="A55" s="70">
        <f t="shared" si="0"/>
        <v>55</v>
      </c>
      <c r="B55" s="169" t="s">
        <v>75</v>
      </c>
      <c r="C55" s="147" t="s">
        <v>315</v>
      </c>
    </row>
    <row r="56" spans="1:3">
      <c r="A56" s="70">
        <f t="shared" si="0"/>
        <v>56</v>
      </c>
      <c r="B56" s="7" t="s">
        <v>76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77</v>
      </c>
      <c r="C60" s="2" t="s">
        <v>78</v>
      </c>
    </row>
    <row r="61" spans="1:3">
      <c r="A61" s="70">
        <f t="shared" si="0"/>
        <v>61</v>
      </c>
      <c r="B61" s="7" t="s">
        <v>79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111</v>
      </c>
      <c r="C63" s="90" t="s">
        <v>113</v>
      </c>
    </row>
    <row r="64" spans="1:3">
      <c r="A64" s="70">
        <f t="shared" si="0"/>
        <v>64</v>
      </c>
      <c r="B64" s="7"/>
      <c r="C64" s="90" t="s">
        <v>114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80</v>
      </c>
      <c r="C67" s="68"/>
    </row>
    <row r="68" spans="1:3">
      <c r="A68" s="70">
        <f t="shared" si="0"/>
        <v>68</v>
      </c>
      <c r="B68" s="72" t="s">
        <v>81</v>
      </c>
      <c r="C68" s="2" t="s">
        <v>105</v>
      </c>
    </row>
    <row r="69" spans="1:3">
      <c r="A69" s="70">
        <f t="shared" ref="A69:A86" si="1">A68+1</f>
        <v>69</v>
      </c>
      <c r="B69" s="7" t="s">
        <v>82</v>
      </c>
      <c r="C69" s="2" t="s">
        <v>103</v>
      </c>
    </row>
    <row r="70" spans="1:3">
      <c r="A70" s="70">
        <f t="shared" si="1"/>
        <v>70</v>
      </c>
      <c r="B70" s="7" t="s">
        <v>83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84</v>
      </c>
      <c r="C75" s="2" t="s">
        <v>101</v>
      </c>
    </row>
    <row r="76" spans="1:3">
      <c r="A76" s="70">
        <f t="shared" si="1"/>
        <v>76</v>
      </c>
      <c r="B76" s="7" t="s">
        <v>85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86</v>
      </c>
      <c r="C78" s="2" t="s">
        <v>104</v>
      </c>
    </row>
    <row r="79" spans="1:3">
      <c r="A79" s="70">
        <f t="shared" si="1"/>
        <v>79</v>
      </c>
      <c r="B79" s="7" t="s">
        <v>87</v>
      </c>
      <c r="C79" s="2" t="s">
        <v>104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88</v>
      </c>
      <c r="C81" s="77" t="s">
        <v>174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89</v>
      </c>
      <c r="C83" s="2" t="s">
        <v>100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2"/>
  <sheetViews>
    <sheetView showZeros="0" topLeftCell="A7" zoomScale="115" zoomScaleNormal="115" workbookViewId="0">
      <selection activeCell="N24" sqref="N24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23" t="s">
        <v>29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SY-5300419-VT-DD-01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SY-5300419-VT-DD-01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NOVEMBER,27 2023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424" t="str">
        <f>'shipper master'!C27</f>
        <v xml:space="preserve"> SY-5300419-VT-DD-01</v>
      </c>
      <c r="F11" s="425"/>
      <c r="G11" s="425"/>
      <c r="H11" s="425"/>
      <c r="I11" s="425"/>
      <c r="J11" s="426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34" t="s">
        <v>314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24">
        <f>'shipper master'!C30</f>
        <v>0</v>
      </c>
      <c r="F13" s="425"/>
      <c r="G13" s="425"/>
      <c r="H13" s="425"/>
      <c r="I13" s="425"/>
      <c r="J13" s="426"/>
      <c r="K13" s="36" t="s">
        <v>146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24">
        <f>'shipper master'!C29</f>
        <v>0</v>
      </c>
      <c r="F15" s="425"/>
      <c r="G15" s="425"/>
      <c r="H15" s="425"/>
      <c r="I15" s="425"/>
      <c r="J15" s="426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27"/>
      <c r="F17" s="428"/>
      <c r="G17" s="428"/>
      <c r="H17" s="428"/>
      <c r="I17" s="428"/>
      <c r="J17" s="429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25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137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38">
        <f>'NARITA '!E106</f>
        <v>1267.0999999999999</v>
      </c>
      <c r="K27" s="159" t="str">
        <f>'NARITA '!F106</f>
        <v>M.</v>
      </c>
      <c r="L27" s="139">
        <f>'NARITA '!H106</f>
        <v>1351855</v>
      </c>
    </row>
    <row r="28" spans="1:12" s="1" customFormat="1" ht="13.4" customHeight="1">
      <c r="A28" s="19"/>
      <c r="B28" s="114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40">
        <f>'NARITA '!E107</f>
        <v>1304</v>
      </c>
      <c r="K28" s="159" t="str">
        <f>'NARITA '!F107</f>
        <v>PCS.</v>
      </c>
      <c r="L28" s="148">
        <f>'NARITA '!H107</f>
        <v>554550</v>
      </c>
    </row>
    <row r="29" spans="1:12" s="1" customFormat="1" ht="13.4" customHeight="1">
      <c r="A29" s="19"/>
      <c r="B29" s="114">
        <f>'shipper master'!C39</f>
        <v>0</v>
      </c>
      <c r="C29" s="3"/>
      <c r="D29" s="7"/>
      <c r="E29" s="3"/>
      <c r="F29" s="3"/>
      <c r="G29" s="3"/>
      <c r="H29" s="3"/>
      <c r="I29" s="3"/>
      <c r="J29" s="140">
        <f>'NARITA '!E108</f>
        <v>27</v>
      </c>
      <c r="K29" s="159" t="str">
        <f>'NARITA '!F108</f>
        <v>SET.</v>
      </c>
      <c r="L29" s="148">
        <f>'NARITA '!H108</f>
        <v>2700</v>
      </c>
    </row>
    <row r="30" spans="1:12" s="1" customFormat="1" ht="13.4" customHeight="1">
      <c r="A30" s="27"/>
      <c r="B30" s="9"/>
      <c r="C30" s="8"/>
      <c r="D30" s="9"/>
      <c r="E30" s="8"/>
      <c r="F30" s="8"/>
      <c r="G30" s="8"/>
      <c r="H30" s="8"/>
      <c r="I30" s="8"/>
      <c r="J30" s="140"/>
      <c r="K30" s="170"/>
      <c r="L30" s="141"/>
    </row>
    <row r="31" spans="1:12" s="1" customFormat="1" ht="17.25" customHeight="1" thickBot="1">
      <c r="A31" s="20"/>
      <c r="B31" s="21" t="s">
        <v>27</v>
      </c>
      <c r="C31" s="151">
        <f>J27</f>
        <v>1267.0999999999999</v>
      </c>
      <c r="D31" s="151" t="s">
        <v>117</v>
      </c>
      <c r="E31" s="430">
        <f>J28</f>
        <v>1304</v>
      </c>
      <c r="F31" s="430"/>
      <c r="G31" s="430"/>
      <c r="H31" s="142">
        <f>H29</f>
        <v>0</v>
      </c>
      <c r="I31" s="143" t="s">
        <v>64</v>
      </c>
      <c r="J31" s="142">
        <f>J29</f>
        <v>27</v>
      </c>
      <c r="K31" s="143" t="s">
        <v>144</v>
      </c>
      <c r="L31" s="144">
        <f>SUM(L27:L30)</f>
        <v>1909105</v>
      </c>
    </row>
    <row r="32" spans="1:12" s="1" customFormat="1" ht="13.4" customHeight="1" thickTop="1">
      <c r="A32" s="22"/>
      <c r="B32" s="23"/>
      <c r="C32" s="3"/>
      <c r="D32" s="57"/>
      <c r="E32" s="3"/>
      <c r="F32" s="57"/>
      <c r="G32" s="3"/>
      <c r="H32" s="3"/>
      <c r="I32" s="3"/>
      <c r="J32" s="19"/>
      <c r="K32" s="46"/>
      <c r="L32" s="22"/>
    </row>
    <row r="33" spans="1:12" s="1" customFormat="1" ht="13.4" customHeight="1">
      <c r="A33" s="3"/>
      <c r="B33" s="7"/>
      <c r="C33" s="3"/>
      <c r="D33" s="3"/>
      <c r="E33" s="3"/>
      <c r="F33" s="3"/>
      <c r="G33" s="3"/>
      <c r="H33" s="3"/>
      <c r="I33" s="3"/>
      <c r="J33" s="58"/>
      <c r="K33" s="46"/>
      <c r="L33" s="56"/>
    </row>
    <row r="34" spans="1:12" s="1" customFormat="1" ht="13.4" customHeight="1">
      <c r="A34" s="3" t="str">
        <f>'shipper master'!C63</f>
        <v>" THESE GOODS WILL BE RETURN TO JAPAN</v>
      </c>
      <c r="B34" s="91"/>
      <c r="C34" s="91"/>
      <c r="D34" s="91"/>
      <c r="E34" s="91"/>
      <c r="F34" s="3"/>
      <c r="G34" s="3"/>
      <c r="H34" s="3" t="s">
        <v>97</v>
      </c>
      <c r="I34" s="3"/>
      <c r="J34" s="58" t="s">
        <v>112</v>
      </c>
      <c r="K34" s="46"/>
      <c r="L34" s="3"/>
    </row>
    <row r="35" spans="1:12" s="1" customFormat="1" ht="13.4" customHeight="1">
      <c r="A35" s="422" t="str">
        <f>'shipper master'!C64</f>
        <v xml:space="preserve">  AFTER MANUFACTURED AT VIET NAM "</v>
      </c>
      <c r="B35" s="422"/>
      <c r="C35" s="422"/>
      <c r="D35" s="7"/>
      <c r="E35" s="3"/>
      <c r="F35" s="3"/>
      <c r="G35" s="3"/>
      <c r="H35" s="3" t="s">
        <v>98</v>
      </c>
      <c r="I35" s="3"/>
      <c r="J35" s="58" t="s">
        <v>115</v>
      </c>
      <c r="K35" s="46"/>
      <c r="L35" s="56"/>
    </row>
    <row r="36" spans="1:12" s="1" customFormat="1" ht="13.4" customHeight="1">
      <c r="A36" s="3"/>
      <c r="B36" s="7"/>
      <c r="C36" s="7">
        <f>'shipper master'!C58</f>
        <v>0</v>
      </c>
      <c r="D36" s="7"/>
      <c r="E36" s="3"/>
      <c r="F36" s="3"/>
      <c r="G36" s="3"/>
      <c r="H36" s="3"/>
      <c r="I36" s="3"/>
      <c r="J36" s="19"/>
      <c r="K36" s="46"/>
      <c r="L36" s="3"/>
    </row>
    <row r="37" spans="1:12" s="1" customFormat="1" ht="13.4" customHeight="1">
      <c r="A37" s="7" t="str">
        <f>'shipper master'!C60</f>
        <v>COUNTRY OF ORIGIN : JAPAN</v>
      </c>
      <c r="B37" s="7"/>
      <c r="C37" s="7"/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/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115" t="s">
        <v>132</v>
      </c>
      <c r="B39" s="101"/>
      <c r="C39" s="153" t="s">
        <v>302</v>
      </c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15" t="s">
        <v>133</v>
      </c>
      <c r="B40" s="101"/>
      <c r="C40" s="136" t="s">
        <v>172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45"/>
      <c r="B41" s="17"/>
      <c r="C41" s="69"/>
      <c r="D41" s="17"/>
      <c r="E41" s="67"/>
      <c r="F41" s="67"/>
      <c r="G41" s="67"/>
      <c r="H41" s="3"/>
      <c r="I41" s="3"/>
      <c r="J41" s="19"/>
      <c r="K41" s="46"/>
      <c r="L41" s="3"/>
    </row>
    <row r="42" spans="1:12" ht="18" customHeight="1">
      <c r="A42" s="45"/>
      <c r="B42" s="5"/>
      <c r="C42" s="5"/>
      <c r="D42" s="5"/>
      <c r="E42" s="5"/>
      <c r="F42" s="5"/>
      <c r="G42" s="14"/>
      <c r="H42" s="5"/>
      <c r="I42" s="5"/>
      <c r="J42" s="14"/>
      <c r="K42" s="47"/>
      <c r="L42" s="5"/>
    </row>
    <row r="43" spans="1:12" ht="13.4" customHeight="1">
      <c r="A43" s="5"/>
      <c r="B43" s="48"/>
      <c r="C43" s="5"/>
      <c r="D43" s="5"/>
      <c r="E43" s="5"/>
      <c r="F43" s="5"/>
      <c r="G43" s="5"/>
      <c r="H43" s="5"/>
      <c r="I43" s="5"/>
      <c r="J43" s="2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5"/>
      <c r="C45" s="5"/>
      <c r="D45" s="5"/>
      <c r="E45" s="5"/>
      <c r="F45" s="5"/>
      <c r="G45" s="37"/>
      <c r="H45" s="37"/>
      <c r="I45" s="37"/>
      <c r="J45" s="49"/>
      <c r="K45" s="50"/>
      <c r="L45" s="37"/>
    </row>
    <row r="46" spans="1:12" ht="13.4" customHeight="1">
      <c r="A46" s="5"/>
      <c r="B46" s="5"/>
      <c r="C46" s="5"/>
      <c r="D46" s="5"/>
      <c r="E46" s="5"/>
      <c r="F46" s="5"/>
      <c r="G46" s="5"/>
      <c r="H46" s="5"/>
      <c r="I46" s="5"/>
      <c r="J46" s="24"/>
      <c r="K46" s="47"/>
      <c r="L46" s="5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51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J73" s="25"/>
      <c r="K73" s="11"/>
    </row>
    <row r="74" spans="1:12">
      <c r="J74" s="25"/>
      <c r="K74" s="11"/>
    </row>
    <row r="75" spans="1:12"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</sheetData>
  <mergeCells count="7">
    <mergeCell ref="A35:C35"/>
    <mergeCell ref="A1:L1"/>
    <mergeCell ref="E15:J15"/>
    <mergeCell ref="E11:J11"/>
    <mergeCell ref="E17:J17"/>
    <mergeCell ref="E13:J13"/>
    <mergeCell ref="E31:G31"/>
  </mergeCells>
  <phoneticPr fontId="11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topLeftCell="A2" zoomScale="50" zoomScaleNormal="50" workbookViewId="0">
      <selection activeCell="I26" sqref="H26:I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'shipper master'!C49</f>
        <v xml:space="preserve"> SY-5300419-VT-DD-01</v>
      </c>
      <c r="H2" s="85"/>
      <c r="I2" s="82" t="str">
        <f>'shipper master'!C49</f>
        <v xml:space="preserve"> SY-5300419-VT-DD-01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99</v>
      </c>
      <c r="C6" s="82">
        <v>1</v>
      </c>
      <c r="D6" s="84"/>
      <c r="H6" s="85"/>
      <c r="I6" s="82" t="s">
        <v>99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'shipper master'!C49</f>
        <v xml:space="preserve"> SY-5300419-VT-DD-01</v>
      </c>
      <c r="H13" s="85"/>
      <c r="I13" s="82" t="str">
        <f>'shipper master'!C49</f>
        <v xml:space="preserve"> SY-5300419-VT-DD-01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99</v>
      </c>
      <c r="C17" s="82">
        <v>3</v>
      </c>
      <c r="H17" s="85"/>
      <c r="I17" s="82" t="s">
        <v>99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M161"/>
  <sheetViews>
    <sheetView tabSelected="1" view="pageBreakPreview" topLeftCell="A46" zoomScale="80" zoomScaleNormal="90" zoomScaleSheetLayoutView="80" workbookViewId="0">
      <selection activeCell="I68" sqref="I68"/>
    </sheetView>
  </sheetViews>
  <sheetFormatPr defaultRowHeight="15"/>
  <cols>
    <col min="1" max="1" width="7.90625" style="70" customWidth="1"/>
    <col min="2" max="2" width="41.90625" style="114" customWidth="1"/>
    <col min="3" max="3" width="24.08984375" style="70" customWidth="1"/>
    <col min="4" max="4" width="50.81640625" style="3" customWidth="1"/>
    <col min="5" max="5" width="10.1796875" style="70" customWidth="1"/>
    <col min="6" max="6" width="5.6328125" style="70" customWidth="1"/>
    <col min="7" max="7" width="13.453125" style="70" customWidth="1"/>
    <col min="8" max="8" width="13.90625" style="70" customWidth="1"/>
    <col min="9" max="9" width="36" style="70" customWidth="1"/>
    <col min="10" max="10" width="14.453125" style="70" customWidth="1"/>
    <col min="11" max="11" width="25.36328125" style="70" customWidth="1"/>
    <col min="12" max="12" width="10.08984375" style="70" customWidth="1"/>
    <col min="13" max="13" width="7" style="70" customWidth="1"/>
  </cols>
  <sheetData>
    <row r="1" spans="1:13">
      <c r="A1" s="26"/>
      <c r="I1" s="26"/>
      <c r="J1" s="26"/>
      <c r="K1" s="26"/>
      <c r="L1" s="26"/>
      <c r="M1" s="26"/>
    </row>
    <row r="2" spans="1:13" ht="15.5" thickBot="1">
      <c r="A2" s="449" t="s">
        <v>130</v>
      </c>
      <c r="B2" s="449"/>
      <c r="C2" s="449"/>
      <c r="D2" s="449"/>
      <c r="E2" s="449"/>
      <c r="F2" s="449"/>
      <c r="G2" s="449"/>
      <c r="H2" s="449"/>
      <c r="I2" s="162"/>
      <c r="K2" s="97"/>
      <c r="L2" s="97"/>
      <c r="M2" s="97"/>
    </row>
    <row r="3" spans="1:13" ht="15.5" thickBot="1">
      <c r="A3" s="164"/>
      <c r="B3" s="165"/>
      <c r="C3" s="164"/>
      <c r="D3" s="164"/>
      <c r="E3" s="164"/>
      <c r="F3" s="164"/>
      <c r="G3" s="164"/>
      <c r="H3" s="164"/>
      <c r="I3" s="162"/>
      <c r="K3" s="97"/>
      <c r="L3" s="97"/>
      <c r="M3" s="97"/>
    </row>
    <row r="4" spans="1:13" ht="21.75" customHeight="1" thickBot="1">
      <c r="A4" s="145" t="s">
        <v>60</v>
      </c>
      <c r="B4" s="126" t="s">
        <v>128</v>
      </c>
      <c r="C4" s="116" t="s">
        <v>119</v>
      </c>
      <c r="D4" s="117" t="s">
        <v>120</v>
      </c>
      <c r="E4" s="116" t="s">
        <v>121</v>
      </c>
      <c r="F4" s="450" t="s">
        <v>122</v>
      </c>
      <c r="G4" s="451"/>
      <c r="H4" s="118" t="s">
        <v>123</v>
      </c>
      <c r="I4" s="358" t="s">
        <v>247</v>
      </c>
      <c r="J4" s="108" t="s">
        <v>124</v>
      </c>
      <c r="K4" s="109" t="s">
        <v>158</v>
      </c>
      <c r="L4" s="109" t="s">
        <v>125</v>
      </c>
      <c r="M4" s="110" t="s">
        <v>126</v>
      </c>
    </row>
    <row r="5" spans="1:13">
      <c r="A5" s="173"/>
      <c r="B5" s="127"/>
      <c r="C5" s="95"/>
      <c r="D5" s="119"/>
      <c r="E5" s="95"/>
      <c r="F5" s="95"/>
      <c r="G5" s="94"/>
      <c r="H5" s="94"/>
      <c r="I5" s="174"/>
      <c r="J5" s="103"/>
      <c r="K5" s="103"/>
      <c r="L5" s="103"/>
      <c r="M5" s="175"/>
    </row>
    <row r="6" spans="1:13">
      <c r="A6" s="176"/>
      <c r="B6" s="177" t="s">
        <v>129</v>
      </c>
      <c r="C6" s="95"/>
      <c r="D6" s="100" t="str">
        <f>[2]invoice!B24</f>
        <v>FABRIC &amp; PARTS FOR WEAR &amp; SAMPLE CLOTHES</v>
      </c>
      <c r="E6" s="94"/>
      <c r="F6" s="94"/>
      <c r="G6" s="255" t="str">
        <f>'[1]shipper master'!C48</f>
        <v>F.O.B. TOKYO IN YEN</v>
      </c>
      <c r="H6" s="94"/>
      <c r="I6" s="178"/>
      <c r="J6" s="93"/>
      <c r="K6" s="93"/>
      <c r="L6" s="93"/>
      <c r="M6" s="179"/>
    </row>
    <row r="7" spans="1:13" ht="15.5" thickBot="1">
      <c r="A7" s="180"/>
      <c r="B7" s="129"/>
      <c r="C7" s="130"/>
      <c r="D7" s="131" t="s">
        <v>159</v>
      </c>
      <c r="E7" s="130"/>
      <c r="F7" s="130"/>
      <c r="G7" s="256"/>
      <c r="H7" s="98"/>
      <c r="I7" s="181"/>
      <c r="J7" s="182"/>
      <c r="K7" s="182"/>
      <c r="L7" s="183"/>
      <c r="M7" s="184"/>
    </row>
    <row r="8" spans="1:13" ht="15.5" customHeight="1">
      <c r="A8" s="452" t="s">
        <v>184</v>
      </c>
      <c r="B8" s="185"/>
      <c r="C8" s="185"/>
      <c r="D8" s="172" t="s">
        <v>182</v>
      </c>
      <c r="E8" s="199"/>
      <c r="F8" s="199"/>
      <c r="G8" s="257"/>
      <c r="H8" s="128"/>
      <c r="I8" s="321"/>
      <c r="J8" s="440">
        <v>45390</v>
      </c>
      <c r="K8" s="128"/>
      <c r="L8" s="128"/>
      <c r="M8" s="443"/>
    </row>
    <row r="9" spans="1:13">
      <c r="A9" s="453"/>
      <c r="B9" s="186" t="s">
        <v>179</v>
      </c>
      <c r="C9" s="187" t="s">
        <v>211</v>
      </c>
      <c r="D9" s="188" t="s">
        <v>156</v>
      </c>
      <c r="E9" s="200">
        <v>353</v>
      </c>
      <c r="F9" s="123" t="s">
        <v>117</v>
      </c>
      <c r="G9" s="258">
        <v>1030</v>
      </c>
      <c r="H9" s="245">
        <f>E9*G9</f>
        <v>363590</v>
      </c>
      <c r="I9" s="324" t="s">
        <v>194</v>
      </c>
      <c r="J9" s="441"/>
      <c r="K9" s="235"/>
      <c r="L9" s="94"/>
      <c r="M9" s="444"/>
    </row>
    <row r="10" spans="1:13">
      <c r="A10" s="453"/>
      <c r="B10" s="111" t="s">
        <v>156</v>
      </c>
      <c r="C10" s="187" t="s">
        <v>187</v>
      </c>
      <c r="D10" s="188" t="s">
        <v>199</v>
      </c>
      <c r="E10" s="200">
        <v>23</v>
      </c>
      <c r="F10" s="123" t="s">
        <v>117</v>
      </c>
      <c r="G10" s="258">
        <v>1030</v>
      </c>
      <c r="H10" s="245">
        <f t="shared" ref="H10:H12" si="0">E10*G10</f>
        <v>23690</v>
      </c>
      <c r="I10" s="324" t="s">
        <v>222</v>
      </c>
      <c r="J10" s="441"/>
      <c r="K10" s="94"/>
      <c r="L10" s="94"/>
      <c r="M10" s="444"/>
    </row>
    <row r="11" spans="1:13" ht="16.5">
      <c r="A11" s="453"/>
      <c r="B11" s="190" t="s">
        <v>181</v>
      </c>
      <c r="C11" s="187" t="s">
        <v>188</v>
      </c>
      <c r="D11" s="189" t="s">
        <v>183</v>
      </c>
      <c r="E11" s="201">
        <v>80.5</v>
      </c>
      <c r="F11" s="123" t="s">
        <v>117</v>
      </c>
      <c r="G11" s="258">
        <v>1030</v>
      </c>
      <c r="H11" s="245">
        <f t="shared" si="0"/>
        <v>82915</v>
      </c>
      <c r="I11" s="324"/>
      <c r="J11" s="441"/>
      <c r="K11" s="94"/>
      <c r="L11" s="94"/>
      <c r="M11" s="444"/>
    </row>
    <row r="12" spans="1:13" ht="15.5" thickBot="1">
      <c r="A12" s="454"/>
      <c r="B12" s="210" t="s">
        <v>180</v>
      </c>
      <c r="C12" s="191" t="s">
        <v>212</v>
      </c>
      <c r="D12" s="192"/>
      <c r="E12" s="204">
        <v>76</v>
      </c>
      <c r="F12" s="315" t="s">
        <v>117</v>
      </c>
      <c r="G12" s="246">
        <v>1030</v>
      </c>
      <c r="H12" s="247">
        <f t="shared" si="0"/>
        <v>78280</v>
      </c>
      <c r="I12" s="325"/>
      <c r="J12" s="442"/>
      <c r="K12" s="96"/>
      <c r="L12" s="96"/>
      <c r="M12" s="445"/>
    </row>
    <row r="13" spans="1:13" ht="15.5" thickBot="1">
      <c r="A13" s="329"/>
      <c r="B13" s="330"/>
      <c r="C13" s="331"/>
      <c r="D13" s="332"/>
      <c r="E13" s="333"/>
      <c r="F13" s="334"/>
      <c r="G13" s="335"/>
      <c r="H13" s="336"/>
      <c r="I13" s="337"/>
      <c r="J13" s="164"/>
      <c r="K13" s="97"/>
      <c r="L13" s="97"/>
      <c r="M13" s="97"/>
    </row>
    <row r="14" spans="1:13" ht="15.5" customHeight="1">
      <c r="A14" s="312"/>
      <c r="B14" s="185"/>
      <c r="C14" s="185"/>
      <c r="D14" s="172" t="s">
        <v>182</v>
      </c>
      <c r="E14" s="199"/>
      <c r="F14" s="199"/>
      <c r="G14" s="257"/>
      <c r="H14" s="128"/>
      <c r="I14" s="326"/>
      <c r="J14" s="440">
        <v>45390</v>
      </c>
      <c r="K14" s="128"/>
      <c r="L14" s="128"/>
      <c r="M14" s="443"/>
    </row>
    <row r="15" spans="1:13">
      <c r="A15" s="313"/>
      <c r="B15" s="186" t="s">
        <v>185</v>
      </c>
      <c r="C15" s="187" t="s">
        <v>211</v>
      </c>
      <c r="D15" s="188" t="s">
        <v>156</v>
      </c>
      <c r="E15" s="200">
        <v>47</v>
      </c>
      <c r="F15" s="123" t="s">
        <v>117</v>
      </c>
      <c r="G15" s="258">
        <v>1120</v>
      </c>
      <c r="H15" s="245">
        <f>E15*G15</f>
        <v>52640</v>
      </c>
      <c r="I15" s="327"/>
      <c r="J15" s="441"/>
      <c r="K15" s="235"/>
      <c r="L15" s="94"/>
      <c r="M15" s="444"/>
    </row>
    <row r="16" spans="1:13" ht="16.5">
      <c r="A16" s="308" t="s">
        <v>186</v>
      </c>
      <c r="B16" s="111" t="s">
        <v>156</v>
      </c>
      <c r="C16" s="187" t="s">
        <v>187</v>
      </c>
      <c r="D16" s="319" t="s">
        <v>197</v>
      </c>
      <c r="E16" s="200">
        <v>10</v>
      </c>
      <c r="F16" s="123" t="s">
        <v>117</v>
      </c>
      <c r="G16" s="258">
        <v>1120</v>
      </c>
      <c r="H16" s="245">
        <f>E16*G16</f>
        <v>11200</v>
      </c>
      <c r="I16" s="324" t="s">
        <v>223</v>
      </c>
      <c r="J16" s="441"/>
      <c r="K16" s="94"/>
      <c r="L16" s="94"/>
      <c r="M16" s="444"/>
    </row>
    <row r="17" spans="1:13" ht="16.5">
      <c r="A17" s="313"/>
      <c r="B17" s="190" t="s">
        <v>164</v>
      </c>
      <c r="C17" s="187" t="s">
        <v>188</v>
      </c>
      <c r="D17" s="189" t="s">
        <v>189</v>
      </c>
      <c r="E17" s="201">
        <v>9</v>
      </c>
      <c r="F17" s="123" t="s">
        <v>117</v>
      </c>
      <c r="G17" s="258">
        <v>1120</v>
      </c>
      <c r="H17" s="245">
        <f t="shared" ref="H17:H18" si="1">E17*G17</f>
        <v>10080</v>
      </c>
      <c r="I17" s="324" t="s">
        <v>224</v>
      </c>
      <c r="J17" s="441"/>
      <c r="K17" s="94"/>
      <c r="L17" s="94"/>
      <c r="M17" s="444"/>
    </row>
    <row r="18" spans="1:13" ht="15.5" thickBot="1">
      <c r="A18" s="314"/>
      <c r="B18" s="210" t="s">
        <v>180</v>
      </c>
      <c r="C18" s="191" t="s">
        <v>212</v>
      </c>
      <c r="D18" s="192"/>
      <c r="E18" s="204">
        <v>9</v>
      </c>
      <c r="F18" s="315" t="s">
        <v>117</v>
      </c>
      <c r="G18" s="246">
        <v>1120</v>
      </c>
      <c r="H18" s="247">
        <f t="shared" si="1"/>
        <v>10080</v>
      </c>
      <c r="I18" s="328"/>
      <c r="J18" s="442"/>
      <c r="K18" s="96"/>
      <c r="L18" s="96"/>
      <c r="M18" s="445"/>
    </row>
    <row r="19" spans="1:13" ht="15.5" thickBot="1">
      <c r="A19" s="329"/>
      <c r="B19" s="330"/>
      <c r="C19" s="331"/>
      <c r="D19" s="332"/>
      <c r="E19" s="333"/>
      <c r="F19" s="334"/>
      <c r="G19" s="335"/>
      <c r="H19" s="336"/>
      <c r="I19" s="337"/>
      <c r="J19" s="164"/>
      <c r="K19" s="97"/>
      <c r="L19" s="97"/>
      <c r="M19" s="97"/>
    </row>
    <row r="20" spans="1:13" ht="16.25" customHeight="1">
      <c r="A20" s="232"/>
      <c r="B20" s="185"/>
      <c r="C20" s="185"/>
      <c r="D20" s="172" t="s">
        <v>192</v>
      </c>
      <c r="E20" s="199"/>
      <c r="F20" s="199"/>
      <c r="G20" s="257"/>
      <c r="H20" s="128"/>
      <c r="I20" s="321"/>
      <c r="J20" s="440">
        <v>45390</v>
      </c>
      <c r="K20" s="128"/>
      <c r="L20" s="128"/>
      <c r="M20" s="443"/>
    </row>
    <row r="21" spans="1:13" ht="16.25" customHeight="1">
      <c r="A21" s="233"/>
      <c r="B21" s="186" t="s">
        <v>190</v>
      </c>
      <c r="C21" s="187" t="s">
        <v>191</v>
      </c>
      <c r="D21" s="188" t="s">
        <v>156</v>
      </c>
      <c r="E21" s="200">
        <v>98.3</v>
      </c>
      <c r="F21" s="123" t="s">
        <v>117</v>
      </c>
      <c r="G21" s="258">
        <v>1200</v>
      </c>
      <c r="H21" s="245">
        <f>E21*G21</f>
        <v>117960</v>
      </c>
      <c r="I21" s="322" t="s">
        <v>195</v>
      </c>
      <c r="J21" s="441"/>
      <c r="K21" s="235"/>
      <c r="L21" s="94"/>
      <c r="M21" s="444"/>
    </row>
    <row r="22" spans="1:13" ht="16.25" customHeight="1">
      <c r="A22" s="233" t="s">
        <v>196</v>
      </c>
      <c r="B22" s="111" t="s">
        <v>156</v>
      </c>
      <c r="C22" s="187"/>
      <c r="D22" s="319" t="s">
        <v>198</v>
      </c>
      <c r="E22" s="200"/>
      <c r="F22" s="123"/>
      <c r="G22" s="258"/>
      <c r="H22" s="245"/>
      <c r="I22" s="322"/>
      <c r="J22" s="441"/>
      <c r="K22" s="94"/>
      <c r="L22" s="94"/>
      <c r="M22" s="444"/>
    </row>
    <row r="23" spans="1:13" ht="16.25" customHeight="1">
      <c r="A23" s="233"/>
      <c r="B23" s="190" t="s">
        <v>181</v>
      </c>
      <c r="C23" s="187"/>
      <c r="D23" s="189" t="s">
        <v>193</v>
      </c>
      <c r="E23" s="201"/>
      <c r="F23" s="201"/>
      <c r="G23" s="258"/>
      <c r="H23" s="245"/>
      <c r="I23" s="322"/>
      <c r="J23" s="441"/>
      <c r="K23" s="94"/>
      <c r="L23" s="94"/>
      <c r="M23" s="444"/>
    </row>
    <row r="24" spans="1:13" ht="15.5" customHeight="1" thickBot="1">
      <c r="A24" s="234"/>
      <c r="B24" s="210" t="s">
        <v>180</v>
      </c>
      <c r="C24" s="191"/>
      <c r="D24" s="192"/>
      <c r="E24" s="204"/>
      <c r="F24" s="204"/>
      <c r="G24" s="246"/>
      <c r="H24" s="247"/>
      <c r="I24" s="323"/>
      <c r="J24" s="442"/>
      <c r="K24" s="96"/>
      <c r="L24" s="96"/>
      <c r="M24" s="445"/>
    </row>
    <row r="25" spans="1:13" ht="15.5" thickBot="1">
      <c r="A25" s="329"/>
      <c r="B25" s="330"/>
      <c r="C25" s="331"/>
      <c r="D25" s="332"/>
      <c r="E25" s="333"/>
      <c r="F25" s="334"/>
      <c r="G25" s="335"/>
      <c r="H25" s="336"/>
      <c r="I25" s="337"/>
      <c r="J25" s="164"/>
      <c r="K25" s="97"/>
      <c r="L25" s="97"/>
      <c r="M25" s="97"/>
    </row>
    <row r="26" spans="1:13" ht="16.25" customHeight="1">
      <c r="A26" s="232"/>
      <c r="B26" s="185"/>
      <c r="C26" s="185"/>
      <c r="D26" s="172" t="s">
        <v>192</v>
      </c>
      <c r="E26" s="199"/>
      <c r="F26" s="199"/>
      <c r="G26" s="257"/>
      <c r="H26" s="128"/>
      <c r="I26" s="321"/>
      <c r="J26" s="440">
        <v>45390</v>
      </c>
      <c r="K26" s="128"/>
      <c r="L26" s="128"/>
      <c r="M26" s="443"/>
    </row>
    <row r="27" spans="1:13" ht="16.25" customHeight="1">
      <c r="A27" s="233"/>
      <c r="B27" s="186" t="s">
        <v>200</v>
      </c>
      <c r="C27" s="187" t="s">
        <v>202</v>
      </c>
      <c r="D27" s="188" t="s">
        <v>156</v>
      </c>
      <c r="E27" s="200">
        <v>95.3</v>
      </c>
      <c r="F27" s="123" t="s">
        <v>117</v>
      </c>
      <c r="G27" s="258">
        <v>1200</v>
      </c>
      <c r="H27" s="245">
        <f>E27*G27</f>
        <v>114360</v>
      </c>
      <c r="I27" s="322" t="s">
        <v>205</v>
      </c>
      <c r="J27" s="441"/>
      <c r="K27" s="235"/>
      <c r="L27" s="94"/>
      <c r="M27" s="444"/>
    </row>
    <row r="28" spans="1:13" ht="16.25" customHeight="1">
      <c r="A28" s="233" t="s">
        <v>201</v>
      </c>
      <c r="B28" s="111" t="s">
        <v>156</v>
      </c>
      <c r="C28" s="187"/>
      <c r="D28" s="319" t="s">
        <v>204</v>
      </c>
      <c r="E28" s="200"/>
      <c r="F28" s="123"/>
      <c r="G28" s="258"/>
      <c r="H28" s="245"/>
      <c r="I28" s="322"/>
      <c r="J28" s="441"/>
      <c r="K28" s="94"/>
      <c r="L28" s="94"/>
      <c r="M28" s="444"/>
    </row>
    <row r="29" spans="1:13" ht="16.25" customHeight="1">
      <c r="A29" s="233"/>
      <c r="B29" s="190" t="s">
        <v>181</v>
      </c>
      <c r="C29" s="187"/>
      <c r="D29" s="189" t="s">
        <v>203</v>
      </c>
      <c r="E29" s="201"/>
      <c r="F29" s="201"/>
      <c r="G29" s="258"/>
      <c r="H29" s="245"/>
      <c r="I29" s="322"/>
      <c r="J29" s="441"/>
      <c r="K29" s="94"/>
      <c r="L29" s="94"/>
      <c r="M29" s="444"/>
    </row>
    <row r="30" spans="1:13" ht="16.25" customHeight="1" thickBot="1">
      <c r="A30" s="234"/>
      <c r="B30" s="210" t="s">
        <v>180</v>
      </c>
      <c r="C30" s="191"/>
      <c r="D30" s="192"/>
      <c r="E30" s="204"/>
      <c r="F30" s="204"/>
      <c r="G30" s="246"/>
      <c r="H30" s="247"/>
      <c r="I30" s="323"/>
      <c r="J30" s="442"/>
      <c r="K30" s="96"/>
      <c r="L30" s="96"/>
      <c r="M30" s="445"/>
    </row>
    <row r="31" spans="1:13" ht="15.5" thickBot="1">
      <c r="A31" s="329"/>
      <c r="B31" s="330"/>
      <c r="C31" s="331"/>
      <c r="D31" s="332"/>
      <c r="E31" s="333"/>
      <c r="F31" s="334"/>
      <c r="G31" s="335"/>
      <c r="H31" s="336"/>
      <c r="I31" s="337"/>
      <c r="J31" s="164"/>
      <c r="K31" s="97"/>
      <c r="L31" s="97"/>
      <c r="M31" s="97"/>
    </row>
    <row r="32" spans="1:13" ht="16.25" customHeight="1">
      <c r="A32" s="232"/>
      <c r="B32" s="185"/>
      <c r="C32" s="185"/>
      <c r="D32" s="172" t="s">
        <v>244</v>
      </c>
      <c r="E32" s="199"/>
      <c r="F32" s="199"/>
      <c r="G32" s="257"/>
      <c r="H32" s="128"/>
      <c r="I32" s="321"/>
      <c r="J32" s="440">
        <v>45390</v>
      </c>
      <c r="K32" s="128"/>
      <c r="L32" s="128"/>
      <c r="M32" s="443"/>
    </row>
    <row r="33" spans="1:13" ht="16.25" customHeight="1">
      <c r="A33" s="233"/>
      <c r="B33" s="186" t="s">
        <v>207</v>
      </c>
      <c r="C33" s="187" t="s">
        <v>210</v>
      </c>
      <c r="D33" s="188" t="s">
        <v>136</v>
      </c>
      <c r="E33" s="200">
        <v>138</v>
      </c>
      <c r="F33" s="123" t="s">
        <v>117</v>
      </c>
      <c r="G33" s="258">
        <v>590</v>
      </c>
      <c r="H33" s="245">
        <f>E33*G33</f>
        <v>81420</v>
      </c>
      <c r="I33" s="322" t="s">
        <v>215</v>
      </c>
      <c r="J33" s="441"/>
      <c r="K33" s="235"/>
      <c r="L33" s="94"/>
      <c r="M33" s="444"/>
    </row>
    <row r="34" spans="1:13" ht="16.25" customHeight="1">
      <c r="A34" s="233" t="s">
        <v>206</v>
      </c>
      <c r="B34" s="111" t="s">
        <v>143</v>
      </c>
      <c r="C34" s="187"/>
      <c r="D34" s="188" t="s">
        <v>213</v>
      </c>
      <c r="E34" s="200"/>
      <c r="F34" s="123"/>
      <c r="G34" s="258"/>
      <c r="H34" s="245"/>
      <c r="I34" s="322"/>
      <c r="J34" s="441"/>
      <c r="K34" s="94"/>
      <c r="L34" s="94"/>
      <c r="M34" s="444"/>
    </row>
    <row r="35" spans="1:13" ht="16.25" customHeight="1">
      <c r="A35" s="233"/>
      <c r="B35" s="190" t="s">
        <v>208</v>
      </c>
      <c r="C35" s="187"/>
      <c r="D35" s="189" t="s">
        <v>214</v>
      </c>
      <c r="E35" s="201"/>
      <c r="F35" s="201"/>
      <c r="G35" s="258"/>
      <c r="H35" s="245"/>
      <c r="I35" s="322"/>
      <c r="J35" s="441"/>
      <c r="K35" s="94"/>
      <c r="L35" s="94"/>
      <c r="M35" s="444"/>
    </row>
    <row r="36" spans="1:13" ht="16.25" customHeight="1" thickBot="1">
      <c r="A36" s="234"/>
      <c r="B36" s="210" t="s">
        <v>209</v>
      </c>
      <c r="C36" s="191"/>
      <c r="D36" s="192"/>
      <c r="E36" s="204"/>
      <c r="F36" s="204"/>
      <c r="G36" s="246"/>
      <c r="H36" s="247"/>
      <c r="I36" s="323"/>
      <c r="J36" s="442"/>
      <c r="K36" s="96"/>
      <c r="L36" s="96"/>
      <c r="M36" s="445"/>
    </row>
    <row r="37" spans="1:13" ht="15.5" thickBot="1">
      <c r="A37" s="329"/>
      <c r="B37" s="330"/>
      <c r="C37" s="331"/>
      <c r="D37" s="332"/>
      <c r="E37" s="333"/>
      <c r="F37" s="334"/>
      <c r="G37" s="335"/>
      <c r="H37" s="336"/>
      <c r="I37" s="337"/>
      <c r="J37" s="164"/>
      <c r="K37" s="97"/>
      <c r="L37" s="97"/>
      <c r="M37" s="97"/>
    </row>
    <row r="38" spans="1:13">
      <c r="A38" s="237"/>
      <c r="B38" s="225"/>
      <c r="C38" s="225"/>
      <c r="D38" s="278" t="s">
        <v>245</v>
      </c>
      <c r="E38" s="128"/>
      <c r="F38" s="128"/>
      <c r="G38" s="229"/>
      <c r="H38" s="128"/>
      <c r="I38" s="341"/>
      <c r="J38" s="440">
        <v>45390</v>
      </c>
      <c r="K38" s="220"/>
      <c r="L38" s="345"/>
      <c r="M38" s="217"/>
    </row>
    <row r="39" spans="1:13" ht="16.25" customHeight="1">
      <c r="A39" s="238"/>
      <c r="B39" s="186" t="s">
        <v>216</v>
      </c>
      <c r="C39" s="161" t="s">
        <v>217</v>
      </c>
      <c r="D39" s="188" t="s">
        <v>136</v>
      </c>
      <c r="E39" s="94">
        <v>100</v>
      </c>
      <c r="F39" s="123" t="s">
        <v>117</v>
      </c>
      <c r="G39" s="266">
        <v>1200</v>
      </c>
      <c r="H39" s="245">
        <f>E39*G39</f>
        <v>120000</v>
      </c>
      <c r="I39" s="342" t="s">
        <v>220</v>
      </c>
      <c r="J39" s="441"/>
      <c r="K39" s="89"/>
      <c r="L39" s="346"/>
      <c r="M39" s="218"/>
    </row>
    <row r="40" spans="1:13" ht="16.25" customHeight="1">
      <c r="A40" s="238" t="s">
        <v>221</v>
      </c>
      <c r="B40" s="111" t="s">
        <v>143</v>
      </c>
      <c r="C40" s="161" t="s">
        <v>218</v>
      </c>
      <c r="D40" s="188" t="s">
        <v>165</v>
      </c>
      <c r="E40" s="94">
        <v>200</v>
      </c>
      <c r="F40" s="123" t="s">
        <v>117</v>
      </c>
      <c r="G40" s="266">
        <v>1200</v>
      </c>
      <c r="H40" s="245">
        <f>E40*G40</f>
        <v>240000</v>
      </c>
      <c r="I40" s="343"/>
      <c r="J40" s="441"/>
      <c r="K40" s="89"/>
      <c r="L40" s="346"/>
      <c r="M40" s="218"/>
    </row>
    <row r="41" spans="1:13" ht="16.5">
      <c r="A41" s="238"/>
      <c r="B41" s="190" t="s">
        <v>208</v>
      </c>
      <c r="C41" s="161"/>
      <c r="D41" s="189" t="s">
        <v>219</v>
      </c>
      <c r="E41" s="94"/>
      <c r="F41" s="201"/>
      <c r="G41" s="266"/>
      <c r="H41" s="245"/>
      <c r="I41" s="343"/>
      <c r="J41" s="441"/>
      <c r="K41" s="89"/>
      <c r="L41" s="346"/>
      <c r="M41" s="218"/>
    </row>
    <row r="42" spans="1:13" ht="15.5" thickBot="1">
      <c r="A42" s="239"/>
      <c r="B42" s="210" t="s">
        <v>209</v>
      </c>
      <c r="C42" s="224"/>
      <c r="D42" s="241"/>
      <c r="E42" s="223"/>
      <c r="F42" s="150"/>
      <c r="G42" s="247"/>
      <c r="H42" s="247"/>
      <c r="I42" s="344"/>
      <c r="J42" s="442"/>
      <c r="K42" s="158"/>
      <c r="L42" s="347"/>
      <c r="M42" s="219"/>
    </row>
    <row r="43" spans="1:13" ht="15.5" thickBot="1">
      <c r="A43" s="329"/>
      <c r="B43" s="330"/>
      <c r="C43" s="331"/>
      <c r="D43" s="332"/>
      <c r="E43" s="333"/>
      <c r="F43" s="334"/>
      <c r="G43" s="335"/>
      <c r="H43" s="336"/>
      <c r="I43" s="337"/>
      <c r="J43" s="164"/>
      <c r="K43" s="97"/>
      <c r="L43" s="97"/>
      <c r="M43" s="97"/>
    </row>
    <row r="44" spans="1:13">
      <c r="A44" s="309"/>
      <c r="B44" s="227"/>
      <c r="C44" s="185"/>
      <c r="D44" s="278" t="s">
        <v>291</v>
      </c>
      <c r="E44" s="199"/>
      <c r="F44" s="199"/>
      <c r="G44" s="257"/>
      <c r="H44" s="128"/>
      <c r="I44" s="198"/>
      <c r="J44" s="440">
        <v>45400</v>
      </c>
      <c r="K44" s="220"/>
      <c r="L44" s="345"/>
      <c r="M44" s="217"/>
    </row>
    <row r="45" spans="1:13">
      <c r="A45" s="310"/>
      <c r="B45" s="171" t="s">
        <v>225</v>
      </c>
      <c r="C45" s="187" t="s">
        <v>228</v>
      </c>
      <c r="D45" s="188"/>
      <c r="E45" s="200">
        <v>52</v>
      </c>
      <c r="F45" s="120" t="s">
        <v>118</v>
      </c>
      <c r="G45" s="258">
        <v>457</v>
      </c>
      <c r="H45" s="245">
        <f>E45*G45</f>
        <v>23764</v>
      </c>
      <c r="I45" s="350" t="s">
        <v>231</v>
      </c>
      <c r="J45" s="441"/>
      <c r="K45" s="89"/>
      <c r="L45" s="346"/>
      <c r="M45" s="218"/>
    </row>
    <row r="46" spans="1:13">
      <c r="A46" s="310" t="s">
        <v>230</v>
      </c>
      <c r="B46" s="171" t="s">
        <v>226</v>
      </c>
      <c r="C46" s="187" t="s">
        <v>229</v>
      </c>
      <c r="D46" s="188" t="s">
        <v>157</v>
      </c>
      <c r="E46" s="200">
        <v>48</v>
      </c>
      <c r="F46" s="120" t="s">
        <v>118</v>
      </c>
      <c r="G46" s="258">
        <v>457</v>
      </c>
      <c r="H46" s="245">
        <f t="shared" ref="H46" si="2">E46*G46</f>
        <v>21936</v>
      </c>
      <c r="J46" s="441"/>
      <c r="K46" s="89"/>
      <c r="L46" s="346"/>
      <c r="M46" s="218"/>
    </row>
    <row r="47" spans="1:13">
      <c r="A47" s="310"/>
      <c r="B47" s="338" t="s">
        <v>157</v>
      </c>
      <c r="C47" s="187"/>
      <c r="D47" s="189"/>
      <c r="E47" s="201"/>
      <c r="F47" s="120"/>
      <c r="G47" s="258"/>
      <c r="H47" s="245"/>
      <c r="J47" s="441"/>
      <c r="K47" s="89"/>
      <c r="L47" s="346"/>
      <c r="M47" s="218"/>
    </row>
    <row r="48" spans="1:13" ht="17" thickBot="1">
      <c r="A48" s="311"/>
      <c r="B48" s="340" t="s">
        <v>227</v>
      </c>
      <c r="C48" s="226"/>
      <c r="D48" s="339"/>
      <c r="E48" s="259"/>
      <c r="F48" s="259"/>
      <c r="G48" s="260"/>
      <c r="H48" s="261"/>
      <c r="I48" s="97"/>
      <c r="J48" s="442"/>
      <c r="K48" s="158"/>
      <c r="L48" s="347"/>
      <c r="M48" s="219"/>
    </row>
    <row r="49" spans="1:13" ht="15.5" thickBot="1">
      <c r="A49" s="329"/>
      <c r="B49" s="330"/>
      <c r="C49" s="331"/>
      <c r="D49" s="332"/>
      <c r="E49" s="333"/>
      <c r="F49" s="334"/>
      <c r="G49" s="335"/>
      <c r="H49" s="336"/>
      <c r="I49" s="337"/>
      <c r="J49" s="164"/>
      <c r="K49" s="97"/>
      <c r="L49" s="97"/>
      <c r="M49" s="97"/>
    </row>
    <row r="50" spans="1:13">
      <c r="A50" s="461"/>
      <c r="B50" s="462"/>
      <c r="C50" s="463"/>
      <c r="D50" s="172" t="s">
        <v>233</v>
      </c>
      <c r="E50" s="464"/>
      <c r="F50" s="464"/>
      <c r="G50" s="465"/>
      <c r="H50" s="466"/>
      <c r="I50" s="467"/>
      <c r="J50" s="468">
        <v>45400</v>
      </c>
      <c r="K50" s="469"/>
      <c r="L50" s="470"/>
      <c r="M50" s="471"/>
    </row>
    <row r="51" spans="1:13">
      <c r="A51" s="472"/>
      <c r="B51" s="473" t="s">
        <v>232</v>
      </c>
      <c r="C51" s="474" t="s">
        <v>166</v>
      </c>
      <c r="D51" s="475"/>
      <c r="E51" s="476">
        <v>60</v>
      </c>
      <c r="F51" s="477" t="s">
        <v>171</v>
      </c>
      <c r="G51" s="478">
        <v>500</v>
      </c>
      <c r="H51" s="479">
        <f>E51*G51</f>
        <v>30000</v>
      </c>
      <c r="I51" s="480" t="s">
        <v>234</v>
      </c>
      <c r="J51" s="481"/>
      <c r="K51" s="482"/>
      <c r="L51" s="483"/>
      <c r="M51" s="484"/>
    </row>
    <row r="52" spans="1:13">
      <c r="A52" s="472">
        <v>49</v>
      </c>
      <c r="B52" s="473" t="s">
        <v>145</v>
      </c>
      <c r="C52" s="474"/>
      <c r="D52" s="475" t="s">
        <v>157</v>
      </c>
      <c r="E52" s="476"/>
      <c r="F52" s="485"/>
      <c r="G52" s="478"/>
      <c r="H52" s="479"/>
      <c r="I52" s="486"/>
      <c r="J52" s="481"/>
      <c r="K52" s="482"/>
      <c r="L52" s="483"/>
      <c r="M52" s="484"/>
    </row>
    <row r="53" spans="1:13" ht="16.5" customHeight="1">
      <c r="A53" s="472"/>
      <c r="B53" s="473" t="s">
        <v>168</v>
      </c>
      <c r="C53" s="474"/>
      <c r="D53" s="487"/>
      <c r="E53" s="485"/>
      <c r="F53" s="485"/>
      <c r="G53" s="478"/>
      <c r="H53" s="479"/>
      <c r="I53" s="486"/>
      <c r="J53" s="481"/>
      <c r="K53" s="482"/>
      <c r="L53" s="483"/>
      <c r="M53" s="484"/>
    </row>
    <row r="54" spans="1:13" ht="17" thickBot="1">
      <c r="A54" s="488"/>
      <c r="B54" s="489" t="s">
        <v>227</v>
      </c>
      <c r="C54" s="490"/>
      <c r="D54" s="491"/>
      <c r="E54" s="492"/>
      <c r="F54" s="492"/>
      <c r="G54" s="493"/>
      <c r="H54" s="494"/>
      <c r="I54" s="495"/>
      <c r="J54" s="496"/>
      <c r="K54" s="497"/>
      <c r="L54" s="498"/>
      <c r="M54" s="499"/>
    </row>
    <row r="55" spans="1:13" ht="15.5" thickBot="1">
      <c r="A55" s="329"/>
      <c r="B55" s="330"/>
      <c r="C55" s="331"/>
      <c r="D55" s="332"/>
      <c r="E55" s="333"/>
      <c r="F55" s="334"/>
      <c r="G55" s="335"/>
      <c r="H55" s="336"/>
      <c r="I55" s="337"/>
      <c r="J55" s="164"/>
      <c r="K55" s="97"/>
      <c r="L55" s="97"/>
      <c r="M55" s="97"/>
    </row>
    <row r="56" spans="1:13">
      <c r="A56" s="446" t="s">
        <v>235</v>
      </c>
      <c r="B56" s="248"/>
      <c r="C56" s="249"/>
      <c r="D56" s="250" t="s">
        <v>243</v>
      </c>
      <c r="E56" s="267"/>
      <c r="F56" s="268"/>
      <c r="G56" s="269"/>
      <c r="H56" s="128"/>
      <c r="I56" s="359"/>
      <c r="J56" s="440">
        <v>45400</v>
      </c>
      <c r="K56" s="128"/>
      <c r="L56" s="252"/>
      <c r="M56" s="242"/>
    </row>
    <row r="57" spans="1:13">
      <c r="A57" s="447"/>
      <c r="B57" s="186" t="s">
        <v>318</v>
      </c>
      <c r="C57" s="111" t="s">
        <v>166</v>
      </c>
      <c r="D57" s="161"/>
      <c r="E57" s="240">
        <v>52</v>
      </c>
      <c r="F57" s="120" t="s">
        <v>118</v>
      </c>
      <c r="G57" s="245">
        <v>1000</v>
      </c>
      <c r="H57" s="245">
        <f>E57*G57</f>
        <v>52000</v>
      </c>
      <c r="I57" s="236" t="s">
        <v>246</v>
      </c>
      <c r="J57" s="441"/>
      <c r="K57" s="94" t="s">
        <v>170</v>
      </c>
      <c r="L57" s="253"/>
      <c r="M57" s="99"/>
    </row>
    <row r="58" spans="1:13">
      <c r="A58" s="447"/>
      <c r="B58" s="186" t="s">
        <v>167</v>
      </c>
      <c r="C58" s="111" t="s">
        <v>166</v>
      </c>
      <c r="D58" s="186" t="s">
        <v>167</v>
      </c>
      <c r="E58" s="240">
        <v>51</v>
      </c>
      <c r="F58" s="120" t="s">
        <v>118</v>
      </c>
      <c r="G58" s="245">
        <v>1000</v>
      </c>
      <c r="H58" s="245">
        <f t="shared" ref="H58:H64" si="3">E58*G58</f>
        <v>51000</v>
      </c>
      <c r="I58" s="89"/>
      <c r="J58" s="441"/>
      <c r="K58" s="94" t="s">
        <v>236</v>
      </c>
      <c r="L58" s="253"/>
      <c r="M58" s="99"/>
    </row>
    <row r="59" spans="1:13" ht="16.5" customHeight="1">
      <c r="A59" s="447"/>
      <c r="B59" s="186" t="s">
        <v>168</v>
      </c>
      <c r="C59" s="111" t="s">
        <v>166</v>
      </c>
      <c r="D59" s="161"/>
      <c r="E59" s="240">
        <v>44</v>
      </c>
      <c r="F59" s="120" t="s">
        <v>118</v>
      </c>
      <c r="G59" s="245">
        <v>1000</v>
      </c>
      <c r="H59" s="245">
        <f t="shared" ref="H59:H62" si="4">E59*G59</f>
        <v>44000</v>
      </c>
      <c r="I59" s="89"/>
      <c r="J59" s="441"/>
      <c r="K59" s="94" t="s">
        <v>237</v>
      </c>
      <c r="L59" s="253"/>
      <c r="M59" s="99"/>
    </row>
    <row r="60" spans="1:13" ht="16.5" customHeight="1">
      <c r="A60" s="447"/>
      <c r="B60" s="349" t="s">
        <v>169</v>
      </c>
      <c r="C60" s="111" t="s">
        <v>166</v>
      </c>
      <c r="D60" s="161"/>
      <c r="E60" s="240">
        <v>46</v>
      </c>
      <c r="F60" s="120" t="s">
        <v>118</v>
      </c>
      <c r="G60" s="245">
        <v>1000</v>
      </c>
      <c r="H60" s="245">
        <f t="shared" ref="H60:H61" si="5">E60*G60</f>
        <v>46000</v>
      </c>
      <c r="I60" s="89"/>
      <c r="J60" s="441"/>
      <c r="K60" s="94" t="s">
        <v>238</v>
      </c>
      <c r="L60" s="253"/>
      <c r="M60" s="99"/>
    </row>
    <row r="61" spans="1:13" ht="16.5" customHeight="1">
      <c r="A61" s="447"/>
      <c r="B61" s="348"/>
      <c r="C61" s="111" t="s">
        <v>166</v>
      </c>
      <c r="D61" s="161"/>
      <c r="E61" s="240">
        <v>48</v>
      </c>
      <c r="F61" s="120" t="s">
        <v>118</v>
      </c>
      <c r="G61" s="245">
        <v>1000</v>
      </c>
      <c r="H61" s="245">
        <f t="shared" si="5"/>
        <v>48000</v>
      </c>
      <c r="I61" s="89"/>
      <c r="J61" s="441"/>
      <c r="K61" s="94" t="s">
        <v>239</v>
      </c>
      <c r="L61" s="253"/>
      <c r="M61" s="99"/>
    </row>
    <row r="62" spans="1:13" ht="16.5" customHeight="1">
      <c r="A62" s="447"/>
      <c r="B62" s="186"/>
      <c r="C62" s="111" t="s">
        <v>166</v>
      </c>
      <c r="D62" s="161"/>
      <c r="E62" s="240">
        <v>52</v>
      </c>
      <c r="F62" s="120" t="s">
        <v>118</v>
      </c>
      <c r="G62" s="245">
        <v>1000</v>
      </c>
      <c r="H62" s="245">
        <f t="shared" si="4"/>
        <v>52000</v>
      </c>
      <c r="I62" s="89"/>
      <c r="J62" s="441"/>
      <c r="K62" s="94" t="s">
        <v>240</v>
      </c>
      <c r="L62" s="253"/>
      <c r="M62" s="99"/>
    </row>
    <row r="63" spans="1:13" ht="16.5" customHeight="1">
      <c r="A63" s="447"/>
      <c r="B63" s="186"/>
      <c r="C63" s="111" t="s">
        <v>166</v>
      </c>
      <c r="D63" s="161"/>
      <c r="E63" s="240">
        <v>54</v>
      </c>
      <c r="F63" s="120" t="s">
        <v>118</v>
      </c>
      <c r="G63" s="245">
        <v>1000</v>
      </c>
      <c r="H63" s="245">
        <f t="shared" si="3"/>
        <v>54000</v>
      </c>
      <c r="I63" s="89"/>
      <c r="J63" s="441"/>
      <c r="K63" s="94" t="s">
        <v>241</v>
      </c>
      <c r="L63" s="253"/>
      <c r="M63" s="99"/>
    </row>
    <row r="64" spans="1:13" ht="16.5" customHeight="1" thickBot="1">
      <c r="A64" s="448"/>
      <c r="B64" s="243"/>
      <c r="C64" s="272" t="s">
        <v>166</v>
      </c>
      <c r="D64" s="105"/>
      <c r="E64" s="223">
        <v>46</v>
      </c>
      <c r="F64" s="150" t="s">
        <v>118</v>
      </c>
      <c r="G64" s="247">
        <v>1000</v>
      </c>
      <c r="H64" s="247">
        <f t="shared" si="3"/>
        <v>46000</v>
      </c>
      <c r="I64" s="158"/>
      <c r="J64" s="442"/>
      <c r="K64" s="96" t="s">
        <v>242</v>
      </c>
      <c r="L64" s="254"/>
      <c r="M64" s="251"/>
    </row>
    <row r="65" spans="1:13" ht="19.25" customHeight="1" thickBot="1">
      <c r="A65" s="238"/>
      <c r="B65" s="351"/>
      <c r="C65" s="352"/>
      <c r="D65" s="353"/>
      <c r="E65" s="354"/>
      <c r="F65" s="354"/>
      <c r="G65" s="355"/>
      <c r="H65" s="356"/>
      <c r="J65" s="357"/>
      <c r="L65" s="3"/>
    </row>
    <row r="66" spans="1:13">
      <c r="A66" s="437" t="s">
        <v>257</v>
      </c>
      <c r="B66" s="227"/>
      <c r="C66" s="185"/>
      <c r="D66" s="172" t="s">
        <v>192</v>
      </c>
      <c r="E66" s="199"/>
      <c r="F66" s="199"/>
      <c r="G66" s="257"/>
      <c r="H66" s="283"/>
      <c r="I66" s="198"/>
      <c r="J66" s="434">
        <v>45401</v>
      </c>
      <c r="K66" s="377"/>
      <c r="L66" s="375"/>
      <c r="M66" s="364"/>
    </row>
    <row r="67" spans="1:13">
      <c r="A67" s="438"/>
      <c r="B67" s="171" t="s">
        <v>248</v>
      </c>
      <c r="C67" s="187" t="s">
        <v>202</v>
      </c>
      <c r="D67" s="188" t="s">
        <v>156</v>
      </c>
      <c r="E67" s="200">
        <v>14</v>
      </c>
      <c r="F67" s="123" t="s">
        <v>117</v>
      </c>
      <c r="G67" s="258">
        <v>1630</v>
      </c>
      <c r="H67" s="284">
        <f t="shared" ref="H67:H68" si="6">E67*G67</f>
        <v>22820</v>
      </c>
      <c r="I67" s="361"/>
      <c r="J67" s="435"/>
      <c r="K67" s="378"/>
      <c r="L67" s="373"/>
      <c r="M67" s="365"/>
    </row>
    <row r="68" spans="1:13">
      <c r="A68" s="438"/>
      <c r="B68" s="111" t="s">
        <v>156</v>
      </c>
      <c r="C68" s="187" t="s">
        <v>249</v>
      </c>
      <c r="D68" s="319" t="s">
        <v>198</v>
      </c>
      <c r="E68" s="200">
        <v>14</v>
      </c>
      <c r="F68" s="123" t="s">
        <v>117</v>
      </c>
      <c r="G68" s="258">
        <v>1630</v>
      </c>
      <c r="H68" s="284">
        <f t="shared" si="6"/>
        <v>22820</v>
      </c>
      <c r="I68" s="361"/>
      <c r="J68" s="435"/>
      <c r="K68" s="378"/>
      <c r="L68" s="373"/>
      <c r="M68" s="365"/>
    </row>
    <row r="69" spans="1:13" ht="16.5">
      <c r="A69" s="438"/>
      <c r="B69" s="190" t="s">
        <v>164</v>
      </c>
      <c r="C69" s="187"/>
      <c r="D69" s="189" t="s">
        <v>250</v>
      </c>
      <c r="E69" s="201"/>
      <c r="F69" s="201"/>
      <c r="G69" s="258"/>
      <c r="H69" s="284"/>
      <c r="I69" s="361"/>
      <c r="J69" s="435"/>
      <c r="K69" s="378"/>
      <c r="L69" s="373"/>
      <c r="M69" s="365"/>
    </row>
    <row r="70" spans="1:13" ht="15.5" thickBot="1">
      <c r="A70" s="438"/>
      <c r="B70" s="210" t="s">
        <v>180</v>
      </c>
      <c r="C70" s="191"/>
      <c r="D70" s="192"/>
      <c r="E70" s="204"/>
      <c r="F70" s="204"/>
      <c r="G70" s="246"/>
      <c r="H70" s="285"/>
      <c r="I70" s="361"/>
      <c r="J70" s="435"/>
      <c r="K70" s="378"/>
      <c r="L70" s="373"/>
      <c r="M70" s="365"/>
    </row>
    <row r="71" spans="1:13" ht="15.65" customHeight="1" thickBot="1">
      <c r="A71" s="438"/>
      <c r="B71" s="195"/>
      <c r="C71" s="112"/>
      <c r="D71" s="107"/>
      <c r="E71" s="202"/>
      <c r="F71" s="222"/>
      <c r="G71" s="262"/>
      <c r="H71" s="262"/>
      <c r="I71" s="361"/>
      <c r="J71" s="435"/>
      <c r="K71" s="378"/>
      <c r="L71" s="373"/>
      <c r="M71" s="365"/>
    </row>
    <row r="72" spans="1:13">
      <c r="A72" s="438"/>
      <c r="B72" s="193" t="s">
        <v>137</v>
      </c>
      <c r="C72" s="166"/>
      <c r="D72" s="196" t="s">
        <v>251</v>
      </c>
      <c r="E72" s="203">
        <v>3</v>
      </c>
      <c r="F72" s="287" t="s">
        <v>144</v>
      </c>
      <c r="G72" s="244">
        <v>100</v>
      </c>
      <c r="H72" s="244">
        <f t="shared" ref="H72:H73" si="7">E72*G72</f>
        <v>300</v>
      </c>
      <c r="I72" s="361"/>
      <c r="J72" s="435"/>
      <c r="K72" s="378"/>
      <c r="L72" s="373"/>
      <c r="M72" s="365"/>
    </row>
    <row r="73" spans="1:13">
      <c r="A73" s="438"/>
      <c r="B73" s="163" t="s">
        <v>137</v>
      </c>
      <c r="C73" s="161"/>
      <c r="D73" s="102" t="s">
        <v>252</v>
      </c>
      <c r="E73" s="197">
        <v>3</v>
      </c>
      <c r="F73" s="271" t="s">
        <v>144</v>
      </c>
      <c r="G73" s="245">
        <v>100</v>
      </c>
      <c r="H73" s="245">
        <f t="shared" si="7"/>
        <v>300</v>
      </c>
      <c r="I73" s="361"/>
      <c r="J73" s="435"/>
      <c r="K73" s="378"/>
      <c r="L73" s="373"/>
      <c r="M73" s="365"/>
    </row>
    <row r="74" spans="1:13">
      <c r="A74" s="438"/>
      <c r="B74" s="163" t="s">
        <v>137</v>
      </c>
      <c r="C74" s="161"/>
      <c r="D74" s="102" t="s">
        <v>253</v>
      </c>
      <c r="E74" s="197">
        <v>3</v>
      </c>
      <c r="F74" s="271" t="s">
        <v>144</v>
      </c>
      <c r="G74" s="245">
        <v>100</v>
      </c>
      <c r="H74" s="245">
        <f>E74*G74</f>
        <v>300</v>
      </c>
      <c r="I74" s="361"/>
      <c r="J74" s="435"/>
      <c r="K74" s="378"/>
      <c r="L74" s="373"/>
      <c r="M74" s="365"/>
    </row>
    <row r="75" spans="1:13">
      <c r="A75" s="438"/>
      <c r="B75" s="163" t="s">
        <v>137</v>
      </c>
      <c r="C75" s="161"/>
      <c r="D75" s="102" t="s">
        <v>254</v>
      </c>
      <c r="E75" s="197">
        <v>3</v>
      </c>
      <c r="F75" s="271" t="s">
        <v>144</v>
      </c>
      <c r="G75" s="245">
        <v>100</v>
      </c>
      <c r="H75" s="245">
        <f t="shared" ref="H75" si="8">E75*G75</f>
        <v>300</v>
      </c>
      <c r="I75" s="236" t="s">
        <v>246</v>
      </c>
      <c r="J75" s="435"/>
      <c r="K75" s="378"/>
      <c r="L75" s="373"/>
      <c r="M75" s="365"/>
    </row>
    <row r="76" spans="1:13">
      <c r="A76" s="438"/>
      <c r="B76" s="163" t="s">
        <v>137</v>
      </c>
      <c r="C76" s="161"/>
      <c r="D76" s="102" t="s">
        <v>255</v>
      </c>
      <c r="E76" s="197">
        <v>3</v>
      </c>
      <c r="F76" s="271" t="s">
        <v>144</v>
      </c>
      <c r="G76" s="245">
        <v>100</v>
      </c>
      <c r="H76" s="245">
        <f t="shared" ref="H76" si="9">E76*G76</f>
        <v>300</v>
      </c>
      <c r="I76" s="361"/>
      <c r="J76" s="435"/>
      <c r="K76" s="378"/>
      <c r="L76" s="373"/>
      <c r="M76" s="365"/>
    </row>
    <row r="77" spans="1:13" ht="15.5" thickBot="1">
      <c r="A77" s="438"/>
      <c r="B77" s="194" t="s">
        <v>137</v>
      </c>
      <c r="C77" s="105"/>
      <c r="D77" s="104" t="s">
        <v>256</v>
      </c>
      <c r="E77" s="152">
        <v>3</v>
      </c>
      <c r="F77" s="288" t="s">
        <v>144</v>
      </c>
      <c r="G77" s="247">
        <v>100</v>
      </c>
      <c r="H77" s="247">
        <f t="shared" ref="H77" si="10">E77*G77</f>
        <v>300</v>
      </c>
      <c r="I77" s="361"/>
      <c r="J77" s="435"/>
      <c r="K77" s="378"/>
      <c r="L77" s="373"/>
      <c r="M77" s="365"/>
    </row>
    <row r="78" spans="1:13" ht="15.5" thickBot="1">
      <c r="A78" s="438"/>
      <c r="B78" s="195"/>
      <c r="C78" s="112"/>
      <c r="D78" s="107"/>
      <c r="E78" s="202"/>
      <c r="F78" s="222"/>
      <c r="G78" s="262"/>
      <c r="H78" s="262"/>
      <c r="I78" s="361"/>
      <c r="J78" s="435"/>
      <c r="K78" s="378"/>
      <c r="L78" s="373"/>
      <c r="M78" s="365"/>
    </row>
    <row r="79" spans="1:13" ht="21.65" customHeight="1">
      <c r="A79" s="438"/>
      <c r="B79" s="280" t="s">
        <v>259</v>
      </c>
      <c r="C79" s="166"/>
      <c r="D79" s="196" t="s">
        <v>274</v>
      </c>
      <c r="E79" s="203">
        <v>1</v>
      </c>
      <c r="F79" s="268" t="s">
        <v>118</v>
      </c>
      <c r="G79" s="244">
        <v>4000</v>
      </c>
      <c r="H79" s="244">
        <f t="shared" ref="H79:H84" si="11">E79*G79</f>
        <v>4000</v>
      </c>
      <c r="I79" s="361"/>
      <c r="J79" s="435"/>
      <c r="K79" s="378"/>
      <c r="L79" s="373"/>
      <c r="M79" s="365"/>
    </row>
    <row r="80" spans="1:13" ht="21.65" customHeight="1">
      <c r="A80" s="438"/>
      <c r="B80" s="282" t="s">
        <v>261</v>
      </c>
      <c r="C80" s="161"/>
      <c r="D80" s="102" t="s">
        <v>276</v>
      </c>
      <c r="E80" s="197">
        <v>1</v>
      </c>
      <c r="F80" s="120" t="s">
        <v>118</v>
      </c>
      <c r="G80" s="245">
        <v>3000</v>
      </c>
      <c r="H80" s="245">
        <f t="shared" si="11"/>
        <v>3000</v>
      </c>
      <c r="I80" s="361"/>
      <c r="J80" s="435"/>
      <c r="K80" s="378"/>
      <c r="L80" s="373"/>
      <c r="M80" s="365"/>
    </row>
    <row r="81" spans="1:13" ht="21.65" customHeight="1">
      <c r="A81" s="438"/>
      <c r="B81" s="163" t="s">
        <v>263</v>
      </c>
      <c r="C81" s="161"/>
      <c r="D81" s="102" t="s">
        <v>278</v>
      </c>
      <c r="E81" s="197">
        <v>1</v>
      </c>
      <c r="F81" s="120" t="s">
        <v>118</v>
      </c>
      <c r="G81" s="245">
        <v>2800</v>
      </c>
      <c r="H81" s="245">
        <f t="shared" si="11"/>
        <v>2800</v>
      </c>
      <c r="I81" s="361"/>
      <c r="J81" s="435"/>
      <c r="K81" s="378"/>
      <c r="L81" s="373"/>
      <c r="M81" s="365"/>
    </row>
    <row r="82" spans="1:13" ht="21.65" customHeight="1">
      <c r="A82" s="438"/>
      <c r="B82" s="163" t="s">
        <v>265</v>
      </c>
      <c r="C82" s="161"/>
      <c r="D82" s="102" t="s">
        <v>280</v>
      </c>
      <c r="E82" s="197">
        <v>1</v>
      </c>
      <c r="F82" s="120" t="s">
        <v>118</v>
      </c>
      <c r="G82" s="245">
        <v>2500</v>
      </c>
      <c r="H82" s="245">
        <f t="shared" si="11"/>
        <v>2500</v>
      </c>
      <c r="I82" s="361"/>
      <c r="J82" s="435"/>
      <c r="K82" s="378"/>
      <c r="L82" s="373"/>
      <c r="M82" s="365"/>
    </row>
    <row r="83" spans="1:13" ht="21.65" customHeight="1">
      <c r="A83" s="438"/>
      <c r="B83" s="286" t="s">
        <v>267</v>
      </c>
      <c r="C83" s="135"/>
      <c r="D83" s="102" t="s">
        <v>282</v>
      </c>
      <c r="E83" s="197">
        <v>1</v>
      </c>
      <c r="F83" s="120" t="s">
        <v>118</v>
      </c>
      <c r="G83" s="245">
        <v>2500</v>
      </c>
      <c r="H83" s="245">
        <f t="shared" si="11"/>
        <v>2500</v>
      </c>
      <c r="I83" s="361"/>
      <c r="J83" s="435"/>
      <c r="K83" s="378"/>
      <c r="L83" s="373"/>
      <c r="M83" s="365"/>
    </row>
    <row r="84" spans="1:13" ht="21.65" customHeight="1">
      <c r="A84" s="438"/>
      <c r="B84" s="286" t="s">
        <v>269</v>
      </c>
      <c r="C84" s="368"/>
      <c r="D84" s="369" t="s">
        <v>284</v>
      </c>
      <c r="E84" s="370">
        <v>1</v>
      </c>
      <c r="F84" s="371" t="s">
        <v>118</v>
      </c>
      <c r="G84" s="372">
        <v>2500</v>
      </c>
      <c r="H84" s="372">
        <f t="shared" si="11"/>
        <v>2500</v>
      </c>
      <c r="I84" s="362"/>
      <c r="J84" s="435"/>
      <c r="K84" s="378"/>
      <c r="L84" s="373"/>
      <c r="M84" s="365"/>
    </row>
    <row r="85" spans="1:13" ht="21.65" customHeight="1">
      <c r="A85" s="438"/>
      <c r="B85" s="286" t="s">
        <v>271</v>
      </c>
      <c r="C85" s="135"/>
      <c r="D85" s="102" t="s">
        <v>286</v>
      </c>
      <c r="E85" s="197">
        <v>1</v>
      </c>
      <c r="F85" s="120" t="s">
        <v>118</v>
      </c>
      <c r="G85" s="245">
        <v>2000</v>
      </c>
      <c r="H85" s="245">
        <f t="shared" ref="H85" si="12">E85*G85</f>
        <v>2000</v>
      </c>
      <c r="I85" s="362"/>
      <c r="J85" s="435"/>
      <c r="K85" s="378"/>
      <c r="L85" s="373"/>
      <c r="M85" s="365"/>
    </row>
    <row r="86" spans="1:13" ht="21.65" customHeight="1" thickBot="1">
      <c r="A86" s="438"/>
      <c r="B86" s="376" t="s">
        <v>273</v>
      </c>
      <c r="C86" s="224"/>
      <c r="D86" s="104" t="s">
        <v>288</v>
      </c>
      <c r="E86" s="152">
        <v>1</v>
      </c>
      <c r="F86" s="150" t="s">
        <v>118</v>
      </c>
      <c r="G86" s="247">
        <v>2500</v>
      </c>
      <c r="H86" s="247">
        <f t="shared" ref="H86" si="13">E86*G86</f>
        <v>2500</v>
      </c>
      <c r="I86" s="362"/>
      <c r="J86" s="435"/>
      <c r="K86" s="378"/>
      <c r="L86" s="373"/>
      <c r="M86" s="365"/>
    </row>
    <row r="87" spans="1:13" ht="15.65" customHeight="1" thickBot="1">
      <c r="A87" s="438"/>
      <c r="B87" s="195"/>
      <c r="C87" s="112"/>
      <c r="D87" s="107"/>
      <c r="E87" s="202"/>
      <c r="F87" s="222"/>
      <c r="G87" s="262"/>
      <c r="H87" s="263"/>
      <c r="I87" s="362"/>
      <c r="J87" s="435"/>
      <c r="K87" s="378"/>
      <c r="L87" s="373"/>
      <c r="M87" s="365"/>
    </row>
    <row r="88" spans="1:13" ht="15.65" customHeight="1" thickBot="1">
      <c r="A88" s="439"/>
      <c r="B88" s="281" t="s">
        <v>289</v>
      </c>
      <c r="C88" s="274"/>
      <c r="D88" s="275" t="s">
        <v>290</v>
      </c>
      <c r="E88" s="276">
        <v>705</v>
      </c>
      <c r="F88" s="279" t="s">
        <v>118</v>
      </c>
      <c r="G88" s="277">
        <v>10</v>
      </c>
      <c r="H88" s="277">
        <f t="shared" ref="H88" si="14">E88*G88</f>
        <v>7050</v>
      </c>
      <c r="I88" s="363"/>
      <c r="J88" s="436"/>
      <c r="K88" s="367"/>
      <c r="L88" s="374"/>
      <c r="M88" s="366"/>
    </row>
    <row r="89" spans="1:13" ht="15.5" thickBot="1">
      <c r="A89" s="329"/>
      <c r="B89" s="330"/>
      <c r="C89" s="331"/>
      <c r="D89" s="332"/>
      <c r="E89" s="333"/>
      <c r="F89" s="334"/>
      <c r="G89" s="335"/>
      <c r="H89" s="336"/>
      <c r="I89" s="337"/>
      <c r="J89" s="164"/>
      <c r="K89" s="97"/>
      <c r="L89" s="97"/>
      <c r="M89" s="97"/>
    </row>
    <row r="90" spans="1:13">
      <c r="A90" s="431" t="s">
        <v>301</v>
      </c>
      <c r="B90" s="185"/>
      <c r="C90" s="185"/>
      <c r="D90" s="172" t="s">
        <v>295</v>
      </c>
      <c r="E90" s="199"/>
      <c r="F90" s="199"/>
      <c r="G90" s="257"/>
      <c r="H90" s="128"/>
      <c r="I90" s="220"/>
      <c r="J90" s="434">
        <v>45404</v>
      </c>
      <c r="K90" s="320"/>
      <c r="L90" s="381"/>
      <c r="M90" s="345"/>
    </row>
    <row r="91" spans="1:13">
      <c r="A91" s="432"/>
      <c r="B91" s="186" t="s">
        <v>292</v>
      </c>
      <c r="C91" s="187" t="s">
        <v>166</v>
      </c>
      <c r="D91" s="188"/>
      <c r="E91" s="200">
        <v>20</v>
      </c>
      <c r="F91" s="123" t="s">
        <v>171</v>
      </c>
      <c r="G91" s="258">
        <v>1500</v>
      </c>
      <c r="H91" s="245">
        <f>E91*G91</f>
        <v>30000</v>
      </c>
      <c r="I91" s="236"/>
      <c r="J91" s="435"/>
      <c r="K91" s="316"/>
      <c r="L91" s="44"/>
      <c r="M91" s="346"/>
    </row>
    <row r="92" spans="1:13">
      <c r="A92" s="432"/>
      <c r="B92" s="111" t="s">
        <v>156</v>
      </c>
      <c r="C92" s="187"/>
      <c r="D92" s="188"/>
      <c r="E92" s="200"/>
      <c r="F92" s="201"/>
      <c r="G92" s="258"/>
      <c r="H92" s="245"/>
      <c r="I92" s="89"/>
      <c r="J92" s="435"/>
      <c r="K92" s="316"/>
      <c r="L92" s="44"/>
      <c r="M92" s="346"/>
    </row>
    <row r="93" spans="1:13" ht="16.5" customHeight="1">
      <c r="A93" s="432"/>
      <c r="B93" s="190" t="s">
        <v>293</v>
      </c>
      <c r="C93" s="187"/>
      <c r="D93" s="189"/>
      <c r="E93" s="201"/>
      <c r="F93" s="201"/>
      <c r="G93" s="258"/>
      <c r="H93" s="245"/>
      <c r="I93" s="89"/>
      <c r="J93" s="435"/>
      <c r="K93" s="316"/>
      <c r="L93" s="44"/>
      <c r="M93" s="346"/>
    </row>
    <row r="94" spans="1:13" ht="17" thickBot="1">
      <c r="A94" s="432"/>
      <c r="B94" s="210" t="s">
        <v>294</v>
      </c>
      <c r="C94" s="191"/>
      <c r="D94" s="192"/>
      <c r="E94" s="204"/>
      <c r="F94" s="204"/>
      <c r="G94" s="246"/>
      <c r="H94" s="247"/>
      <c r="I94" s="318" t="s">
        <v>297</v>
      </c>
      <c r="J94" s="435"/>
      <c r="K94" s="316"/>
      <c r="L94" s="44"/>
      <c r="M94" s="346"/>
    </row>
    <row r="95" spans="1:13" ht="15.65" customHeight="1" thickBot="1">
      <c r="A95" s="432"/>
      <c r="B95" s="379"/>
      <c r="C95" s="112"/>
      <c r="D95" s="107"/>
      <c r="E95" s="202"/>
      <c r="F95" s="222"/>
      <c r="G95" s="262"/>
      <c r="H95" s="262"/>
      <c r="I95" s="362"/>
      <c r="J95" s="435"/>
      <c r="K95" s="316"/>
      <c r="L95" s="44"/>
      <c r="M95" s="346"/>
    </row>
    <row r="96" spans="1:13">
      <c r="A96" s="432"/>
      <c r="B96" s="185"/>
      <c r="C96" s="185"/>
      <c r="D96" s="172" t="s">
        <v>295</v>
      </c>
      <c r="E96" s="199"/>
      <c r="F96" s="199"/>
      <c r="G96" s="257"/>
      <c r="H96" s="128"/>
      <c r="I96" s="89"/>
      <c r="J96" s="435"/>
      <c r="K96" s="316"/>
      <c r="L96" s="44"/>
      <c r="M96" s="346"/>
    </row>
    <row r="97" spans="1:13">
      <c r="A97" s="432"/>
      <c r="B97" s="186" t="s">
        <v>296</v>
      </c>
      <c r="C97" s="187" t="s">
        <v>166</v>
      </c>
      <c r="D97" s="188"/>
      <c r="E97" s="200">
        <v>18</v>
      </c>
      <c r="F97" s="123" t="s">
        <v>171</v>
      </c>
      <c r="G97" s="258">
        <v>1500</v>
      </c>
      <c r="H97" s="245">
        <f>E97*G97</f>
        <v>27000</v>
      </c>
      <c r="I97" s="236"/>
      <c r="J97" s="435"/>
      <c r="K97" s="316"/>
      <c r="L97" s="44"/>
      <c r="M97" s="346"/>
    </row>
    <row r="98" spans="1:13">
      <c r="A98" s="432"/>
      <c r="B98" s="111" t="s">
        <v>156</v>
      </c>
      <c r="C98" s="187"/>
      <c r="D98" s="188"/>
      <c r="E98" s="200"/>
      <c r="F98" s="201"/>
      <c r="G98" s="258"/>
      <c r="H98" s="245"/>
      <c r="I98" s="89"/>
      <c r="J98" s="435"/>
      <c r="K98" s="316"/>
      <c r="L98" s="44"/>
      <c r="M98" s="346"/>
    </row>
    <row r="99" spans="1:13" ht="16.5" customHeight="1">
      <c r="A99" s="432"/>
      <c r="B99" s="190" t="s">
        <v>293</v>
      </c>
      <c r="C99" s="187"/>
      <c r="D99" s="189"/>
      <c r="E99" s="201"/>
      <c r="F99" s="201"/>
      <c r="G99" s="258"/>
      <c r="H99" s="245"/>
      <c r="I99" s="89"/>
      <c r="J99" s="435"/>
      <c r="K99" s="316"/>
      <c r="L99" s="44"/>
      <c r="M99" s="346"/>
    </row>
    <row r="100" spans="1:13" ht="15" customHeight="1" thickBot="1">
      <c r="A100" s="432"/>
      <c r="B100" s="210" t="s">
        <v>294</v>
      </c>
      <c r="C100" s="191"/>
      <c r="D100" s="192"/>
      <c r="E100" s="204"/>
      <c r="F100" s="204"/>
      <c r="G100" s="246"/>
      <c r="H100" s="247"/>
      <c r="I100" s="89"/>
      <c r="J100" s="435"/>
      <c r="K100" s="316"/>
      <c r="L100" s="44"/>
      <c r="M100" s="346"/>
    </row>
    <row r="101" spans="1:13" ht="15" customHeight="1" thickBot="1">
      <c r="A101" s="432"/>
      <c r="B101" s="307"/>
      <c r="C101" s="230"/>
      <c r="D101" s="221"/>
      <c r="E101" s="231"/>
      <c r="F101" s="360"/>
      <c r="G101" s="264"/>
      <c r="H101" s="262"/>
      <c r="I101" s="89"/>
      <c r="J101" s="435"/>
      <c r="K101" s="316"/>
      <c r="L101" s="44"/>
      <c r="M101" s="346"/>
    </row>
    <row r="102" spans="1:13">
      <c r="A102" s="432"/>
      <c r="B102" s="380" t="s">
        <v>137</v>
      </c>
      <c r="C102" s="166"/>
      <c r="D102" s="196" t="s">
        <v>298</v>
      </c>
      <c r="E102" s="203">
        <v>3</v>
      </c>
      <c r="F102" s="287" t="s">
        <v>144</v>
      </c>
      <c r="G102" s="244">
        <v>100</v>
      </c>
      <c r="H102" s="244">
        <f t="shared" ref="H102:H103" si="15">E102*G102</f>
        <v>300</v>
      </c>
      <c r="I102" s="362"/>
      <c r="J102" s="435"/>
      <c r="K102" s="316"/>
      <c r="L102" s="44"/>
      <c r="M102" s="346"/>
    </row>
    <row r="103" spans="1:13">
      <c r="A103" s="432"/>
      <c r="B103" s="349" t="s">
        <v>137</v>
      </c>
      <c r="C103" s="161"/>
      <c r="D103" s="102" t="s">
        <v>299</v>
      </c>
      <c r="E103" s="197">
        <v>3</v>
      </c>
      <c r="F103" s="271" t="s">
        <v>144</v>
      </c>
      <c r="G103" s="245">
        <v>100</v>
      </c>
      <c r="H103" s="245">
        <f t="shared" si="15"/>
        <v>300</v>
      </c>
      <c r="I103" s="318"/>
      <c r="J103" s="435"/>
      <c r="K103" s="316"/>
      <c r="L103" s="44"/>
      <c r="M103" s="346"/>
    </row>
    <row r="104" spans="1:13" ht="15.5" thickBot="1">
      <c r="A104" s="433"/>
      <c r="B104" s="243" t="s">
        <v>137</v>
      </c>
      <c r="C104" s="105"/>
      <c r="D104" s="104" t="s">
        <v>300</v>
      </c>
      <c r="E104" s="152">
        <v>3</v>
      </c>
      <c r="F104" s="288" t="s">
        <v>144</v>
      </c>
      <c r="G104" s="247">
        <v>100</v>
      </c>
      <c r="H104" s="247">
        <f>E104*G104</f>
        <v>300</v>
      </c>
      <c r="I104" s="363"/>
      <c r="J104" s="436"/>
      <c r="K104" s="317"/>
      <c r="L104" s="382"/>
      <c r="M104" s="347"/>
    </row>
    <row r="105" spans="1:13" ht="15.5" thickBot="1">
      <c r="A105" s="383"/>
      <c r="B105" s="384"/>
      <c r="C105" s="112"/>
      <c r="D105" s="107"/>
      <c r="E105" s="106"/>
      <c r="F105" s="89"/>
      <c r="G105" s="265"/>
      <c r="H105" s="262"/>
      <c r="I105" s="273"/>
      <c r="J105" s="168"/>
      <c r="K105" s="89"/>
      <c r="L105" s="89"/>
      <c r="M105" s="167"/>
    </row>
    <row r="106" spans="1:13" ht="15.5" thickTop="1">
      <c r="A106" s="385"/>
      <c r="B106" s="386" t="s">
        <v>127</v>
      </c>
      <c r="C106" s="387" t="s">
        <v>302</v>
      </c>
      <c r="D106" s="388"/>
      <c r="E106" s="394">
        <f>SUMIF($F$8:$F$104,"M.",$E$8:$E$104)</f>
        <v>1267.0999999999999</v>
      </c>
      <c r="F106" s="389" t="s">
        <v>117</v>
      </c>
      <c r="G106" s="390"/>
      <c r="H106" s="396">
        <f>SUMIF($F$8:$F$104,"M.",$H$8:$H$104)</f>
        <v>1351855</v>
      </c>
      <c r="I106" s="390"/>
      <c r="J106" s="391"/>
      <c r="K106" s="392"/>
      <c r="L106" s="392"/>
      <c r="M106" s="393"/>
    </row>
    <row r="107" spans="1:13">
      <c r="A107" s="94"/>
      <c r="B107" s="111"/>
      <c r="C107" s="94"/>
      <c r="D107" s="121"/>
      <c r="E107" s="270">
        <f>SUMIF($F$8:$F$104,"PCS.",$E$8:$E$104)</f>
        <v>1304</v>
      </c>
      <c r="F107" s="120" t="s">
        <v>118</v>
      </c>
      <c r="G107" s="245"/>
      <c r="H107" s="397">
        <f>SUMIF($F$8:$F$104,"PCS.",$H$8:$H$104)</f>
        <v>554550</v>
      </c>
      <c r="I107" s="94"/>
      <c r="J107" s="135"/>
      <c r="K107" s="94"/>
      <c r="L107" s="94"/>
      <c r="M107" s="99"/>
    </row>
    <row r="108" spans="1:13">
      <c r="A108" s="94"/>
      <c r="B108" s="111"/>
      <c r="C108" s="94"/>
      <c r="D108" s="121"/>
      <c r="E108" s="270">
        <f>SUMIF($F$8:$F$105,"SET.",$E$8:$E$105)</f>
        <v>27</v>
      </c>
      <c r="F108" s="271" t="s">
        <v>144</v>
      </c>
      <c r="G108" s="94"/>
      <c r="H108" s="395">
        <f>SUMIF($F$8:$F$104,"SET.",$H$8:$H$104)</f>
        <v>2700</v>
      </c>
      <c r="I108" s="94"/>
      <c r="J108" s="135"/>
      <c r="K108" s="94"/>
      <c r="L108" s="94"/>
      <c r="M108" s="99"/>
    </row>
    <row r="109" spans="1:13">
      <c r="A109" s="94"/>
      <c r="B109" s="111"/>
      <c r="C109" s="94"/>
      <c r="D109" s="122"/>
      <c r="E109" s="135"/>
      <c r="F109" s="120"/>
      <c r="G109" s="245"/>
      <c r="H109" s="395">
        <f>SUM(H106:H108)</f>
        <v>1909105</v>
      </c>
      <c r="I109" s="94"/>
      <c r="J109" s="135"/>
      <c r="K109" s="94"/>
      <c r="L109" s="94"/>
      <c r="M109" s="99"/>
    </row>
    <row r="113" spans="3:3">
      <c r="C113" s="3"/>
    </row>
    <row r="114" spans="3:3">
      <c r="C114" s="3"/>
    </row>
    <row r="161" spans="1:1">
      <c r="A161" s="70" t="s">
        <v>131</v>
      </c>
    </row>
  </sheetData>
  <mergeCells count="22">
    <mergeCell ref="M20:M24"/>
    <mergeCell ref="A56:A64"/>
    <mergeCell ref="M26:M30"/>
    <mergeCell ref="M32:M36"/>
    <mergeCell ref="A2:H2"/>
    <mergeCell ref="F4:G4"/>
    <mergeCell ref="M14:M18"/>
    <mergeCell ref="M8:M12"/>
    <mergeCell ref="A8:A12"/>
    <mergeCell ref="A90:A104"/>
    <mergeCell ref="J90:J104"/>
    <mergeCell ref="A66:A88"/>
    <mergeCell ref="J8:J12"/>
    <mergeCell ref="J14:J18"/>
    <mergeCell ref="J20:J24"/>
    <mergeCell ref="J26:J30"/>
    <mergeCell ref="J32:J36"/>
    <mergeCell ref="J38:J42"/>
    <mergeCell ref="J44:J48"/>
    <mergeCell ref="J50:J54"/>
    <mergeCell ref="J56:J64"/>
    <mergeCell ref="J66:J88"/>
  </mergeCells>
  <phoneticPr fontId="11"/>
  <pageMargins left="0.51181102362204722" right="0" top="0.74803149606299213" bottom="0.74803149606299213" header="0.31496062992125984" footer="0.31496062992125984"/>
  <pageSetup paperSize="9" scale="37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8FA1-6F61-4CB0-8A41-E6F8FBB13D92}">
  <sheetPr>
    <tabColor rgb="FFFF0000"/>
    <pageSetUpPr fitToPage="1"/>
  </sheetPr>
  <dimension ref="A1:I12"/>
  <sheetViews>
    <sheetView view="pageBreakPreview" zoomScale="30" zoomScaleNormal="90" zoomScaleSheetLayoutView="30" workbookViewId="0">
      <selection activeCell="N7" sqref="N7"/>
    </sheetView>
  </sheetViews>
  <sheetFormatPr defaultRowHeight="31.5"/>
  <cols>
    <col min="1" max="1" width="14.453125" customWidth="1"/>
    <col min="2" max="2" width="40.90625" style="154" customWidth="1"/>
    <col min="3" max="3" width="41.36328125" style="155" customWidth="1"/>
    <col min="4" max="4" width="86.08984375" style="155" customWidth="1"/>
    <col min="5" max="5" width="42.1796875" style="155" customWidth="1"/>
    <col min="6" max="6" width="34.81640625" style="156" customWidth="1"/>
    <col min="7" max="7" width="50.6328125" style="156" customWidth="1"/>
    <col min="8" max="8" width="34.81640625" style="157" customWidth="1"/>
    <col min="9" max="9" width="34.81640625" style="209" customWidth="1"/>
    <col min="10" max="16" width="34.81640625" customWidth="1"/>
  </cols>
  <sheetData>
    <row r="1" spans="1:9">
      <c r="D1" s="160" t="s">
        <v>155</v>
      </c>
    </row>
    <row r="2" spans="1:9" s="216" customFormat="1" ht="88.25" customHeight="1" thickBot="1">
      <c r="A2" s="212"/>
      <c r="B2" s="213" t="s">
        <v>151</v>
      </c>
      <c r="C2" s="214" t="s">
        <v>152</v>
      </c>
      <c r="D2" s="214"/>
      <c r="E2" s="214" t="s">
        <v>160</v>
      </c>
      <c r="F2" s="215" t="s">
        <v>154</v>
      </c>
      <c r="G2" s="215" t="s">
        <v>150</v>
      </c>
      <c r="H2" s="214" t="s">
        <v>149</v>
      </c>
      <c r="I2" s="215" t="s">
        <v>161</v>
      </c>
    </row>
    <row r="3" spans="1:9" ht="194.75" customHeight="1">
      <c r="A3" s="293"/>
      <c r="B3" s="405" t="s">
        <v>274</v>
      </c>
      <c r="C3" s="294" t="s">
        <v>303</v>
      </c>
      <c r="D3" s="295" t="s">
        <v>258</v>
      </c>
      <c r="E3" s="294" t="s">
        <v>153</v>
      </c>
      <c r="F3" s="296" t="s">
        <v>136</v>
      </c>
      <c r="G3" s="296"/>
      <c r="H3" s="297" t="s">
        <v>308</v>
      </c>
      <c r="I3" s="455">
        <v>58</v>
      </c>
    </row>
    <row r="4" spans="1:9" ht="194.75" customHeight="1">
      <c r="A4" s="298"/>
      <c r="B4" s="208" t="s">
        <v>275</v>
      </c>
      <c r="C4" s="205" t="s">
        <v>175</v>
      </c>
      <c r="D4" s="290" t="s">
        <v>260</v>
      </c>
      <c r="E4" s="205" t="s">
        <v>153</v>
      </c>
      <c r="F4" s="206" t="s">
        <v>136</v>
      </c>
      <c r="G4" s="206"/>
      <c r="H4" s="207" t="s">
        <v>311</v>
      </c>
      <c r="I4" s="456"/>
    </row>
    <row r="5" spans="1:9" ht="194.75" customHeight="1">
      <c r="A5" s="298"/>
      <c r="B5" s="208" t="s">
        <v>277</v>
      </c>
      <c r="C5" s="205" t="s">
        <v>304</v>
      </c>
      <c r="D5" s="291" t="s">
        <v>262</v>
      </c>
      <c r="E5" s="205" t="s">
        <v>153</v>
      </c>
      <c r="F5" s="206" t="s">
        <v>156</v>
      </c>
      <c r="G5" s="206"/>
      <c r="H5" s="207" t="s">
        <v>309</v>
      </c>
      <c r="I5" s="456"/>
    </row>
    <row r="6" spans="1:9" ht="194.75" customHeight="1">
      <c r="A6" s="299"/>
      <c r="B6" s="208" t="s">
        <v>279</v>
      </c>
      <c r="C6" s="205" t="s">
        <v>305</v>
      </c>
      <c r="D6" s="291" t="s">
        <v>264</v>
      </c>
      <c r="E6" s="205" t="s">
        <v>153</v>
      </c>
      <c r="F6" s="206" t="s">
        <v>156</v>
      </c>
      <c r="G6" s="206"/>
      <c r="H6" s="207" t="s">
        <v>310</v>
      </c>
      <c r="I6" s="456"/>
    </row>
    <row r="7" spans="1:9" ht="194.75" customHeight="1">
      <c r="A7" s="299"/>
      <c r="B7" s="208" t="s">
        <v>281</v>
      </c>
      <c r="C7" s="205" t="s">
        <v>306</v>
      </c>
      <c r="D7" s="292" t="s">
        <v>266</v>
      </c>
      <c r="E7" s="205" t="s">
        <v>153</v>
      </c>
      <c r="F7" s="206" t="s">
        <v>136</v>
      </c>
      <c r="G7" s="206"/>
      <c r="H7" s="211" t="s">
        <v>312</v>
      </c>
      <c r="I7" s="456"/>
    </row>
    <row r="8" spans="1:9" ht="194.75" customHeight="1">
      <c r="A8" s="299"/>
      <c r="B8" s="208" t="s">
        <v>283</v>
      </c>
      <c r="C8" s="205" t="s">
        <v>177</v>
      </c>
      <c r="D8" s="404" t="s">
        <v>268</v>
      </c>
      <c r="E8" s="205" t="s">
        <v>153</v>
      </c>
      <c r="F8" s="206" t="s">
        <v>136</v>
      </c>
      <c r="G8" s="206"/>
      <c r="H8" s="207" t="s">
        <v>163</v>
      </c>
      <c r="I8" s="456"/>
    </row>
    <row r="9" spans="1:9" ht="194.75" customHeight="1">
      <c r="A9" s="398"/>
      <c r="B9" s="399" t="s">
        <v>285</v>
      </c>
      <c r="C9" s="400" t="s">
        <v>176</v>
      </c>
      <c r="D9" s="401" t="s">
        <v>270</v>
      </c>
      <c r="E9" s="205" t="s">
        <v>153</v>
      </c>
      <c r="F9" s="402" t="s">
        <v>136</v>
      </c>
      <c r="G9" s="402"/>
      <c r="H9" s="403" t="s">
        <v>313</v>
      </c>
      <c r="I9" s="456"/>
    </row>
    <row r="10" spans="1:9" ht="194.75" customHeight="1" thickBot="1">
      <c r="A10" s="300"/>
      <c r="B10" s="289" t="s">
        <v>287</v>
      </c>
      <c r="C10" s="301" t="s">
        <v>307</v>
      </c>
      <c r="D10" s="302" t="s">
        <v>272</v>
      </c>
      <c r="E10" s="205" t="s">
        <v>153</v>
      </c>
      <c r="F10" s="303" t="s">
        <v>136</v>
      </c>
      <c r="G10" s="303"/>
      <c r="H10" s="403" t="s">
        <v>313</v>
      </c>
      <c r="I10" s="456"/>
    </row>
    <row r="11" spans="1:9" ht="134" customHeight="1"/>
    <row r="12" spans="1:9" ht="134" customHeight="1"/>
  </sheetData>
  <mergeCells count="1">
    <mergeCell ref="I3:I10"/>
  </mergeCells>
  <phoneticPr fontId="11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8838-09BA-4F87-B283-0BDB26ADD709}">
  <sheetPr>
    <pageSetUpPr fitToPage="1"/>
  </sheetPr>
  <dimension ref="A1:D115"/>
  <sheetViews>
    <sheetView view="pageBreakPreview" topLeftCell="A88" zoomScale="80" zoomScaleNormal="70" zoomScaleSheetLayoutView="80" workbookViewId="0">
      <selection activeCell="N97" sqref="N97"/>
    </sheetView>
  </sheetViews>
  <sheetFormatPr defaultRowHeight="15"/>
  <cols>
    <col min="1" max="1" width="7.90625" customWidth="1"/>
    <col min="2" max="2" width="38.08984375" style="124" customWidth="1"/>
    <col min="3" max="3" width="59" customWidth="1"/>
    <col min="4" max="4" width="23.6328125" customWidth="1"/>
  </cols>
  <sheetData>
    <row r="1" spans="1:4" ht="17.399999999999999" customHeight="1">
      <c r="A1" s="45"/>
    </row>
    <row r="2" spans="1:4" ht="15" customHeight="1">
      <c r="A2" s="457" t="s">
        <v>162</v>
      </c>
      <c r="B2" s="457"/>
      <c r="C2" s="228"/>
    </row>
    <row r="3" spans="1:4" ht="15.65" customHeight="1" thickBot="1">
      <c r="A3" s="113"/>
      <c r="B3" s="125"/>
      <c r="C3" s="113"/>
    </row>
    <row r="4" spans="1:4" ht="21.75" customHeight="1" thickBot="1">
      <c r="A4" s="132" t="s">
        <v>60</v>
      </c>
      <c r="B4" s="126" t="s">
        <v>128</v>
      </c>
      <c r="C4" s="117" t="s">
        <v>120</v>
      </c>
      <c r="D4" s="133" t="s">
        <v>134</v>
      </c>
    </row>
    <row r="5" spans="1:4" ht="16.25" customHeight="1">
      <c r="A5" s="452" t="s">
        <v>184</v>
      </c>
      <c r="B5" s="185"/>
      <c r="C5" s="406" t="s">
        <v>182</v>
      </c>
      <c r="D5" s="411"/>
    </row>
    <row r="6" spans="1:4" ht="15" customHeight="1">
      <c r="A6" s="453"/>
      <c r="B6" s="186" t="s">
        <v>179</v>
      </c>
      <c r="C6" s="407" t="s">
        <v>156</v>
      </c>
      <c r="D6" s="412"/>
    </row>
    <row r="7" spans="1:4" ht="15" customHeight="1">
      <c r="A7" s="453"/>
      <c r="B7" s="111" t="s">
        <v>156</v>
      </c>
      <c r="C7" s="407" t="s">
        <v>199</v>
      </c>
      <c r="D7" s="410" t="s">
        <v>135</v>
      </c>
    </row>
    <row r="8" spans="1:4" ht="15" customHeight="1">
      <c r="A8" s="453"/>
      <c r="B8" s="190" t="s">
        <v>181</v>
      </c>
      <c r="C8" s="408" t="s">
        <v>183</v>
      </c>
      <c r="D8" s="410" t="s">
        <v>91</v>
      </c>
    </row>
    <row r="9" spans="1:4" ht="15" customHeight="1" thickBot="1">
      <c r="A9" s="454"/>
      <c r="B9" s="210" t="s">
        <v>180</v>
      </c>
      <c r="C9" s="409"/>
      <c r="D9" s="413"/>
    </row>
    <row r="10" spans="1:4" ht="21.75" customHeight="1" thickBot="1">
      <c r="A10" s="329"/>
      <c r="B10" s="330"/>
      <c r="C10" s="332"/>
      <c r="D10" s="115"/>
    </row>
    <row r="11" spans="1:4" ht="21.75" customHeight="1" thickBot="1">
      <c r="A11" s="132" t="s">
        <v>60</v>
      </c>
      <c r="B11" s="126" t="s">
        <v>128</v>
      </c>
      <c r="C11" s="117" t="s">
        <v>120</v>
      </c>
      <c r="D11" s="133" t="s">
        <v>134</v>
      </c>
    </row>
    <row r="12" spans="1:4" ht="16.25" customHeight="1">
      <c r="A12" s="312"/>
      <c r="B12" s="185"/>
      <c r="C12" s="172" t="s">
        <v>182</v>
      </c>
      <c r="D12" s="304"/>
    </row>
    <row r="13" spans="1:4" ht="15" customHeight="1">
      <c r="A13" s="313"/>
      <c r="B13" s="186" t="s">
        <v>185</v>
      </c>
      <c r="C13" s="188" t="s">
        <v>156</v>
      </c>
      <c r="D13" s="304"/>
    </row>
    <row r="14" spans="1:4" ht="15" customHeight="1">
      <c r="A14" s="308" t="s">
        <v>186</v>
      </c>
      <c r="B14" s="111" t="s">
        <v>156</v>
      </c>
      <c r="C14" s="319" t="s">
        <v>197</v>
      </c>
      <c r="D14" s="410" t="s">
        <v>135</v>
      </c>
    </row>
    <row r="15" spans="1:4" ht="15" customHeight="1">
      <c r="A15" s="313"/>
      <c r="B15" s="190" t="s">
        <v>164</v>
      </c>
      <c r="C15" s="189" t="s">
        <v>189</v>
      </c>
      <c r="D15" s="410" t="s">
        <v>91</v>
      </c>
    </row>
    <row r="16" spans="1:4" ht="15" customHeight="1" thickBot="1">
      <c r="A16" s="314"/>
      <c r="B16" s="210" t="s">
        <v>180</v>
      </c>
      <c r="C16" s="192"/>
      <c r="D16" s="305"/>
    </row>
    <row r="17" spans="1:4" ht="21.75" customHeight="1" thickBot="1">
      <c r="A17" s="329"/>
      <c r="B17" s="330"/>
      <c r="C17" s="332"/>
      <c r="D17" s="115"/>
    </row>
    <row r="18" spans="1:4" ht="21.75" customHeight="1" thickBot="1">
      <c r="A18" s="132" t="s">
        <v>60</v>
      </c>
      <c r="B18" s="126" t="s">
        <v>128</v>
      </c>
      <c r="C18" s="117" t="s">
        <v>120</v>
      </c>
      <c r="D18" s="133" t="s">
        <v>134</v>
      </c>
    </row>
    <row r="19" spans="1:4" ht="16.25" customHeight="1">
      <c r="A19" s="232"/>
      <c r="B19" s="185"/>
      <c r="C19" s="172" t="s">
        <v>192</v>
      </c>
      <c r="D19" s="304"/>
    </row>
    <row r="20" spans="1:4" ht="15" customHeight="1">
      <c r="A20" s="233"/>
      <c r="B20" s="186" t="s">
        <v>190</v>
      </c>
      <c r="C20" s="188" t="s">
        <v>156</v>
      </c>
      <c r="D20" s="304"/>
    </row>
    <row r="21" spans="1:4" ht="15" customHeight="1">
      <c r="A21" s="233" t="s">
        <v>196</v>
      </c>
      <c r="B21" s="111" t="s">
        <v>156</v>
      </c>
      <c r="C21" s="319" t="s">
        <v>198</v>
      </c>
      <c r="D21" s="410" t="s">
        <v>135</v>
      </c>
    </row>
    <row r="22" spans="1:4" ht="15" customHeight="1">
      <c r="A22" s="233"/>
      <c r="B22" s="190" t="s">
        <v>181</v>
      </c>
      <c r="C22" s="189" t="s">
        <v>193</v>
      </c>
      <c r="D22" s="410" t="s">
        <v>91</v>
      </c>
    </row>
    <row r="23" spans="1:4" ht="15" customHeight="1" thickBot="1">
      <c r="A23" s="234"/>
      <c r="B23" s="210" t="s">
        <v>180</v>
      </c>
      <c r="C23" s="192"/>
      <c r="D23" s="305"/>
    </row>
    <row r="24" spans="1:4" ht="21.75" customHeight="1" thickBot="1">
      <c r="A24" s="329"/>
      <c r="B24" s="330"/>
      <c r="C24" s="332"/>
      <c r="D24" s="115"/>
    </row>
    <row r="25" spans="1:4" ht="17.399999999999999" customHeight="1" thickBot="1">
      <c r="A25" s="132" t="s">
        <v>60</v>
      </c>
      <c r="B25" s="126" t="s">
        <v>128</v>
      </c>
      <c r="C25" s="117" t="s">
        <v>120</v>
      </c>
      <c r="D25" s="133" t="s">
        <v>134</v>
      </c>
    </row>
    <row r="26" spans="1:4" ht="15" customHeight="1">
      <c r="A26" s="232"/>
      <c r="B26" s="185"/>
      <c r="C26" s="172" t="s">
        <v>192</v>
      </c>
      <c r="D26" s="414"/>
    </row>
    <row r="27" spans="1:4" ht="15" customHeight="1">
      <c r="A27" s="233"/>
      <c r="B27" s="186" t="s">
        <v>200</v>
      </c>
      <c r="C27" s="188" t="s">
        <v>156</v>
      </c>
      <c r="D27" s="304"/>
    </row>
    <row r="28" spans="1:4" ht="15" customHeight="1">
      <c r="A28" s="233" t="s">
        <v>201</v>
      </c>
      <c r="B28" s="111" t="s">
        <v>156</v>
      </c>
      <c r="C28" s="319" t="s">
        <v>204</v>
      </c>
      <c r="D28" s="410" t="s">
        <v>135</v>
      </c>
    </row>
    <row r="29" spans="1:4" ht="20" customHeight="1">
      <c r="A29" s="233"/>
      <c r="B29" s="190" t="s">
        <v>181</v>
      </c>
      <c r="C29" s="189" t="s">
        <v>203</v>
      </c>
      <c r="D29" s="410" t="s">
        <v>91</v>
      </c>
    </row>
    <row r="30" spans="1:4" ht="15" customHeight="1" thickBot="1">
      <c r="A30" s="234"/>
      <c r="B30" s="210" t="s">
        <v>180</v>
      </c>
      <c r="C30" s="192"/>
      <c r="D30" s="413"/>
    </row>
    <row r="31" spans="1:4" ht="21.75" customHeight="1" thickBot="1">
      <c r="A31" s="329"/>
      <c r="B31" s="330"/>
      <c r="C31" s="332"/>
      <c r="D31" s="115"/>
    </row>
    <row r="32" spans="1:4" ht="17.399999999999999" customHeight="1" thickBot="1">
      <c r="A32" s="132" t="s">
        <v>60</v>
      </c>
      <c r="B32" s="126" t="s">
        <v>128</v>
      </c>
      <c r="C32" s="117" t="s">
        <v>120</v>
      </c>
      <c r="D32" s="133" t="s">
        <v>134</v>
      </c>
    </row>
    <row r="33" spans="1:4" ht="15" customHeight="1">
      <c r="A33" s="232"/>
      <c r="B33" s="185"/>
      <c r="C33" s="172" t="s">
        <v>244</v>
      </c>
      <c r="D33" s="414"/>
    </row>
    <row r="34" spans="1:4" ht="13.25" customHeight="1">
      <c r="A34" s="233"/>
      <c r="B34" s="186" t="s">
        <v>207</v>
      </c>
      <c r="C34" s="188" t="s">
        <v>136</v>
      </c>
      <c r="D34" s="304"/>
    </row>
    <row r="35" spans="1:4" ht="15" customHeight="1">
      <c r="A35" s="233" t="s">
        <v>206</v>
      </c>
      <c r="B35" s="111" t="s">
        <v>143</v>
      </c>
      <c r="C35" s="188" t="s">
        <v>213</v>
      </c>
      <c r="D35" s="410" t="s">
        <v>135</v>
      </c>
    </row>
    <row r="36" spans="1:4" ht="15" customHeight="1">
      <c r="A36" s="233"/>
      <c r="B36" s="190" t="s">
        <v>208</v>
      </c>
      <c r="C36" s="189" t="s">
        <v>214</v>
      </c>
      <c r="D36" s="410" t="s">
        <v>91</v>
      </c>
    </row>
    <row r="37" spans="1:4" ht="15" customHeight="1" thickBot="1">
      <c r="A37" s="234"/>
      <c r="B37" s="210" t="s">
        <v>209</v>
      </c>
      <c r="C37" s="192"/>
      <c r="D37" s="413"/>
    </row>
    <row r="38" spans="1:4" ht="21.75" customHeight="1" thickBot="1">
      <c r="A38" s="329"/>
      <c r="B38" s="330"/>
      <c r="C38" s="332"/>
      <c r="D38" s="115"/>
    </row>
    <row r="39" spans="1:4" ht="17.399999999999999" customHeight="1" thickBot="1">
      <c r="A39" s="132" t="s">
        <v>60</v>
      </c>
      <c r="B39" s="126" t="s">
        <v>128</v>
      </c>
      <c r="C39" s="117" t="s">
        <v>120</v>
      </c>
      <c r="D39" s="133" t="s">
        <v>134</v>
      </c>
    </row>
    <row r="40" spans="1:4" ht="15" customHeight="1">
      <c r="A40" s="237"/>
      <c r="B40" s="225"/>
      <c r="C40" s="278" t="s">
        <v>245</v>
      </c>
      <c r="D40" s="414"/>
    </row>
    <row r="41" spans="1:4" ht="15" customHeight="1">
      <c r="A41" s="238"/>
      <c r="B41" s="186" t="s">
        <v>216</v>
      </c>
      <c r="C41" s="188" t="s">
        <v>136</v>
      </c>
      <c r="D41" s="304"/>
    </row>
    <row r="42" spans="1:4" ht="15" customHeight="1">
      <c r="A42" s="238" t="s">
        <v>221</v>
      </c>
      <c r="B42" s="111" t="s">
        <v>143</v>
      </c>
      <c r="C42" s="188" t="s">
        <v>165</v>
      </c>
      <c r="D42" s="410" t="s">
        <v>135</v>
      </c>
    </row>
    <row r="43" spans="1:4" ht="21.75" customHeight="1">
      <c r="A43" s="238"/>
      <c r="B43" s="190" t="s">
        <v>208</v>
      </c>
      <c r="C43" s="189" t="s">
        <v>219</v>
      </c>
      <c r="D43" s="410" t="s">
        <v>91</v>
      </c>
    </row>
    <row r="44" spans="1:4" ht="15" customHeight="1" thickBot="1">
      <c r="A44" s="239"/>
      <c r="B44" s="210" t="s">
        <v>209</v>
      </c>
      <c r="C44" s="241"/>
      <c r="D44" s="413"/>
    </row>
    <row r="45" spans="1:4" ht="21.75" customHeight="1" thickBot="1">
      <c r="A45" s="329"/>
      <c r="B45" s="330"/>
      <c r="C45" s="332"/>
      <c r="D45" s="115"/>
    </row>
    <row r="46" spans="1:4" ht="17.399999999999999" customHeight="1" thickBot="1">
      <c r="A46" s="132" t="s">
        <v>60</v>
      </c>
      <c r="B46" s="126" t="s">
        <v>128</v>
      </c>
      <c r="C46" s="117" t="s">
        <v>120</v>
      </c>
      <c r="D46" s="133" t="s">
        <v>134</v>
      </c>
    </row>
    <row r="47" spans="1:4" ht="15" customHeight="1">
      <c r="A47" s="309"/>
      <c r="B47" s="227"/>
      <c r="C47" s="278" t="s">
        <v>291</v>
      </c>
      <c r="D47" s="414"/>
    </row>
    <row r="48" spans="1:4" ht="15" customHeight="1">
      <c r="A48" s="310"/>
      <c r="B48" s="171" t="s">
        <v>225</v>
      </c>
      <c r="C48" s="188"/>
      <c r="D48" s="304"/>
    </row>
    <row r="49" spans="1:4" ht="15" customHeight="1">
      <c r="A49" s="310" t="s">
        <v>230</v>
      </c>
      <c r="B49" s="171" t="s">
        <v>226</v>
      </c>
      <c r="C49" s="188" t="s">
        <v>157</v>
      </c>
      <c r="D49" s="410" t="s">
        <v>135</v>
      </c>
    </row>
    <row r="50" spans="1:4" ht="21.75" customHeight="1">
      <c r="A50" s="310"/>
      <c r="B50" s="338" t="s">
        <v>157</v>
      </c>
      <c r="C50" s="189"/>
      <c r="D50" s="410" t="s">
        <v>91</v>
      </c>
    </row>
    <row r="51" spans="1:4" ht="15" customHeight="1" thickBot="1">
      <c r="A51" s="311"/>
      <c r="B51" s="340" t="s">
        <v>227</v>
      </c>
      <c r="C51" s="339"/>
      <c r="D51" s="413"/>
    </row>
    <row r="52" spans="1:4" ht="21.75" customHeight="1" thickBot="1">
      <c r="A52" s="329"/>
      <c r="B52" s="330"/>
      <c r="C52" s="332"/>
      <c r="D52" s="115"/>
    </row>
    <row r="53" spans="1:4" ht="17.399999999999999" customHeight="1" thickBot="1">
      <c r="A53" s="132" t="s">
        <v>60</v>
      </c>
      <c r="B53" s="126" t="s">
        <v>128</v>
      </c>
      <c r="C53" s="117" t="s">
        <v>120</v>
      </c>
      <c r="D53" s="133" t="s">
        <v>134</v>
      </c>
    </row>
    <row r="54" spans="1:4" ht="15" customHeight="1">
      <c r="A54" s="309"/>
      <c r="B54" s="227"/>
      <c r="C54" s="172" t="s">
        <v>233</v>
      </c>
      <c r="D54" s="414"/>
    </row>
    <row r="55" spans="1:4" ht="15" customHeight="1">
      <c r="A55" s="310"/>
      <c r="B55" s="171" t="s">
        <v>232</v>
      </c>
      <c r="C55" s="188"/>
      <c r="D55" s="304"/>
    </row>
    <row r="56" spans="1:4" ht="15" customHeight="1">
      <c r="A56" s="310">
        <v>49</v>
      </c>
      <c r="B56" s="171" t="s">
        <v>145</v>
      </c>
      <c r="C56" s="188" t="s">
        <v>157</v>
      </c>
      <c r="D56" s="410" t="s">
        <v>135</v>
      </c>
    </row>
    <row r="57" spans="1:4" ht="17.5" customHeight="1">
      <c r="A57" s="310"/>
      <c r="B57" s="171" t="s">
        <v>168</v>
      </c>
      <c r="C57" s="189"/>
      <c r="D57" s="410" t="s">
        <v>91</v>
      </c>
    </row>
    <row r="58" spans="1:4" ht="15" customHeight="1" thickBot="1">
      <c r="A58" s="311"/>
      <c r="B58" s="340" t="s">
        <v>227</v>
      </c>
      <c r="C58" s="192"/>
      <c r="D58" s="413"/>
    </row>
    <row r="59" spans="1:4" ht="21.75" customHeight="1" thickBot="1">
      <c r="A59" s="329"/>
      <c r="B59" s="330"/>
      <c r="C59" s="332"/>
      <c r="D59" s="115"/>
    </row>
    <row r="60" spans="1:4" ht="17.399999999999999" customHeight="1" thickBot="1">
      <c r="A60" s="132" t="s">
        <v>60</v>
      </c>
      <c r="B60" s="126" t="s">
        <v>128</v>
      </c>
      <c r="C60" s="117" t="s">
        <v>120</v>
      </c>
      <c r="D60" s="133" t="s">
        <v>134</v>
      </c>
    </row>
    <row r="61" spans="1:4" ht="15" customHeight="1">
      <c r="A61" s="446" t="s">
        <v>235</v>
      </c>
      <c r="B61" s="248"/>
      <c r="C61" s="250" t="s">
        <v>243</v>
      </c>
      <c r="D61" s="414"/>
    </row>
    <row r="62" spans="1:4" ht="15" customHeight="1">
      <c r="A62" s="447"/>
      <c r="B62" s="186" t="s">
        <v>178</v>
      </c>
      <c r="C62" s="415"/>
      <c r="D62" s="418"/>
    </row>
    <row r="63" spans="1:4" ht="15" customHeight="1">
      <c r="A63" s="447"/>
      <c r="B63" s="186" t="s">
        <v>167</v>
      </c>
      <c r="C63" s="416" t="s">
        <v>167</v>
      </c>
      <c r="D63" s="418" t="s">
        <v>135</v>
      </c>
    </row>
    <row r="64" spans="1:4" ht="15" customHeight="1">
      <c r="A64" s="447"/>
      <c r="B64" s="186" t="s">
        <v>168</v>
      </c>
      <c r="C64" s="415"/>
      <c r="D64" s="418" t="s">
        <v>91</v>
      </c>
    </row>
    <row r="65" spans="1:4" ht="15" customHeight="1">
      <c r="A65" s="447"/>
      <c r="B65" s="349" t="s">
        <v>169</v>
      </c>
      <c r="C65" s="415"/>
      <c r="D65" s="419"/>
    </row>
    <row r="66" spans="1:4" ht="15" customHeight="1">
      <c r="A66" s="447"/>
      <c r="B66" s="348"/>
      <c r="C66" s="415"/>
      <c r="D66" s="419"/>
    </row>
    <row r="67" spans="1:4" ht="15" customHeight="1">
      <c r="A67" s="447"/>
      <c r="B67" s="186"/>
      <c r="C67" s="415"/>
      <c r="D67" s="419"/>
    </row>
    <row r="68" spans="1:4" ht="15" customHeight="1">
      <c r="A68" s="447"/>
      <c r="B68" s="186"/>
      <c r="C68" s="415"/>
      <c r="D68" s="419"/>
    </row>
    <row r="69" spans="1:4" ht="15.65" customHeight="1" thickBot="1">
      <c r="A69" s="448"/>
      <c r="B69" s="243"/>
      <c r="C69" s="417"/>
      <c r="D69" s="420"/>
    </row>
    <row r="70" spans="1:4" ht="21.75" customHeight="1" thickBot="1">
      <c r="A70" s="329"/>
      <c r="B70" s="330"/>
      <c r="C70" s="332"/>
      <c r="D70" s="115"/>
    </row>
    <row r="71" spans="1:4" ht="15" customHeight="1" thickBot="1">
      <c r="A71" s="132" t="s">
        <v>60</v>
      </c>
      <c r="B71" s="126" t="s">
        <v>128</v>
      </c>
      <c r="C71" s="117" t="s">
        <v>120</v>
      </c>
      <c r="D71" s="133" t="s">
        <v>134</v>
      </c>
    </row>
    <row r="72" spans="1:4" ht="14.4" customHeight="1">
      <c r="A72" s="458" t="s">
        <v>257</v>
      </c>
      <c r="B72" s="227"/>
      <c r="C72" s="172" t="s">
        <v>192</v>
      </c>
      <c r="D72" s="414"/>
    </row>
    <row r="73" spans="1:4" ht="19" customHeight="1">
      <c r="A73" s="459"/>
      <c r="B73" s="171" t="s">
        <v>248</v>
      </c>
      <c r="C73" s="188" t="s">
        <v>156</v>
      </c>
      <c r="D73" s="410"/>
    </row>
    <row r="74" spans="1:4" ht="15" customHeight="1">
      <c r="A74" s="459"/>
      <c r="B74" s="111" t="s">
        <v>156</v>
      </c>
      <c r="C74" s="319" t="s">
        <v>198</v>
      </c>
      <c r="D74" s="410"/>
    </row>
    <row r="75" spans="1:4" ht="15" customHeight="1">
      <c r="A75" s="459"/>
      <c r="B75" s="190" t="s">
        <v>164</v>
      </c>
      <c r="C75" s="408" t="s">
        <v>250</v>
      </c>
      <c r="D75" s="410"/>
    </row>
    <row r="76" spans="1:4" ht="21.65" customHeight="1" thickBot="1">
      <c r="A76" s="459"/>
      <c r="B76" s="210" t="s">
        <v>180</v>
      </c>
      <c r="C76" s="409"/>
      <c r="D76" s="410"/>
    </row>
    <row r="77" spans="1:4" ht="15" customHeight="1" thickBot="1">
      <c r="A77" s="459"/>
      <c r="B77" s="195"/>
      <c r="C77" s="421"/>
      <c r="D77" s="410"/>
    </row>
    <row r="78" spans="1:4" ht="15" customHeight="1">
      <c r="A78" s="459"/>
      <c r="B78" s="193" t="s">
        <v>137</v>
      </c>
      <c r="C78" s="196" t="s">
        <v>251</v>
      </c>
      <c r="D78" s="304"/>
    </row>
    <row r="79" spans="1:4" ht="15" customHeight="1">
      <c r="A79" s="459"/>
      <c r="B79" s="163" t="s">
        <v>137</v>
      </c>
      <c r="C79" s="102" t="s">
        <v>252</v>
      </c>
      <c r="D79" s="304"/>
    </row>
    <row r="80" spans="1:4" ht="15" customHeight="1">
      <c r="A80" s="459"/>
      <c r="B80" s="163" t="s">
        <v>137</v>
      </c>
      <c r="C80" s="102" t="s">
        <v>253</v>
      </c>
      <c r="D80" s="410" t="s">
        <v>135</v>
      </c>
    </row>
    <row r="81" spans="1:4" ht="13.25" customHeight="1">
      <c r="A81" s="459"/>
      <c r="B81" s="163" t="s">
        <v>137</v>
      </c>
      <c r="C81" s="102" t="s">
        <v>254</v>
      </c>
      <c r="D81" s="410" t="s">
        <v>91</v>
      </c>
    </row>
    <row r="82" spans="1:4" ht="21.65" customHeight="1">
      <c r="A82" s="459"/>
      <c r="B82" s="163" t="s">
        <v>137</v>
      </c>
      <c r="C82" s="102" t="s">
        <v>255</v>
      </c>
      <c r="D82" s="304"/>
    </row>
    <row r="83" spans="1:4" ht="15.65" customHeight="1" thickBot="1">
      <c r="A83" s="459"/>
      <c r="B83" s="194" t="s">
        <v>137</v>
      </c>
      <c r="C83" s="104" t="s">
        <v>256</v>
      </c>
      <c r="D83" s="304"/>
    </row>
    <row r="84" spans="1:4" ht="21.75" customHeight="1" thickBot="1">
      <c r="A84" s="459"/>
      <c r="B84" s="195"/>
      <c r="C84" s="107"/>
      <c r="D84" s="304"/>
    </row>
    <row r="85" spans="1:4" ht="15" customHeight="1">
      <c r="A85" s="459"/>
      <c r="B85" s="280" t="s">
        <v>259</v>
      </c>
      <c r="C85" s="196" t="s">
        <v>274</v>
      </c>
      <c r="D85" s="304"/>
    </row>
    <row r="86" spans="1:4" ht="15" customHeight="1">
      <c r="A86" s="459"/>
      <c r="B86" s="282" t="s">
        <v>261</v>
      </c>
      <c r="C86" s="102" t="s">
        <v>276</v>
      </c>
      <c r="D86" s="304"/>
    </row>
    <row r="87" spans="1:4" ht="16.25" customHeight="1">
      <c r="A87" s="459"/>
      <c r="B87" s="163" t="s">
        <v>263</v>
      </c>
      <c r="C87" s="102" t="s">
        <v>278</v>
      </c>
      <c r="D87" s="304"/>
    </row>
    <row r="88" spans="1:4" ht="15.65" customHeight="1">
      <c r="A88" s="459"/>
      <c r="B88" s="163" t="s">
        <v>265</v>
      </c>
      <c r="C88" s="102" t="s">
        <v>280</v>
      </c>
      <c r="D88" s="304"/>
    </row>
    <row r="89" spans="1:4" ht="15" customHeight="1">
      <c r="A89" s="459"/>
      <c r="B89" s="286" t="s">
        <v>267</v>
      </c>
      <c r="C89" s="102" t="s">
        <v>282</v>
      </c>
      <c r="D89" s="304"/>
    </row>
    <row r="90" spans="1:4" ht="15" customHeight="1">
      <c r="A90" s="459"/>
      <c r="B90" s="286" t="s">
        <v>269</v>
      </c>
      <c r="C90" s="369" t="s">
        <v>284</v>
      </c>
      <c r="D90" s="304"/>
    </row>
    <row r="91" spans="1:4" ht="16.5" customHeight="1">
      <c r="A91" s="459"/>
      <c r="B91" s="286" t="s">
        <v>271</v>
      </c>
      <c r="C91" s="102" t="s">
        <v>286</v>
      </c>
      <c r="D91" s="304"/>
    </row>
    <row r="92" spans="1:4" ht="15" customHeight="1" thickBot="1">
      <c r="A92" s="459"/>
      <c r="B92" s="376" t="s">
        <v>273</v>
      </c>
      <c r="C92" s="104" t="s">
        <v>288</v>
      </c>
      <c r="D92" s="304"/>
    </row>
    <row r="93" spans="1:4" ht="16.25" customHeight="1" thickBot="1">
      <c r="A93" s="459"/>
      <c r="B93" s="195"/>
      <c r="C93" s="107"/>
      <c r="D93" s="304"/>
    </row>
    <row r="94" spans="1:4" ht="15" customHeight="1" thickBot="1">
      <c r="A94" s="460"/>
      <c r="B94" s="281" t="s">
        <v>289</v>
      </c>
      <c r="C94" s="275" t="s">
        <v>290</v>
      </c>
      <c r="D94" s="305"/>
    </row>
    <row r="95" spans="1:4" ht="21.75" customHeight="1" thickBot="1">
      <c r="A95" s="329"/>
      <c r="B95" s="330"/>
      <c r="C95" s="332"/>
      <c r="D95" s="115"/>
    </row>
    <row r="96" spans="1:4" ht="21.65" customHeight="1" thickBot="1">
      <c r="A96" s="132" t="s">
        <v>60</v>
      </c>
      <c r="B96" s="126" t="s">
        <v>128</v>
      </c>
      <c r="C96" s="117" t="s">
        <v>120</v>
      </c>
      <c r="D96" s="306"/>
    </row>
    <row r="97" spans="1:4" ht="15" customHeight="1" thickBot="1">
      <c r="A97" s="431" t="s">
        <v>301</v>
      </c>
      <c r="B97" s="185"/>
      <c r="C97" s="172" t="s">
        <v>295</v>
      </c>
      <c r="D97" s="133" t="s">
        <v>134</v>
      </c>
    </row>
    <row r="98" spans="1:4" ht="16.25" customHeight="1">
      <c r="A98" s="432"/>
      <c r="B98" s="186" t="s">
        <v>292</v>
      </c>
      <c r="C98" s="188"/>
      <c r="D98" s="414"/>
    </row>
    <row r="99" spans="1:4" ht="15" customHeight="1">
      <c r="A99" s="432"/>
      <c r="B99" s="111" t="s">
        <v>156</v>
      </c>
      <c r="C99" s="188"/>
      <c r="D99" s="410"/>
    </row>
    <row r="100" spans="1:4" ht="15" customHeight="1">
      <c r="A100" s="432"/>
      <c r="B100" s="190" t="s">
        <v>293</v>
      </c>
      <c r="C100" s="189"/>
      <c r="D100" s="410"/>
    </row>
    <row r="101" spans="1:4" ht="15" customHeight="1" thickBot="1">
      <c r="A101" s="432"/>
      <c r="B101" s="210" t="s">
        <v>294</v>
      </c>
      <c r="C101" s="192"/>
      <c r="D101" s="410"/>
    </row>
    <row r="102" spans="1:4" ht="15" customHeight="1" thickBot="1">
      <c r="A102" s="432"/>
      <c r="B102" s="379"/>
      <c r="C102" s="107"/>
      <c r="D102" s="410"/>
    </row>
    <row r="103" spans="1:4" ht="17" customHeight="1">
      <c r="A103" s="432"/>
      <c r="B103" s="185"/>
      <c r="C103" s="172" t="s">
        <v>295</v>
      </c>
      <c r="D103" s="410"/>
    </row>
    <row r="104" spans="1:4" ht="15" customHeight="1">
      <c r="A104" s="432"/>
      <c r="B104" s="186" t="s">
        <v>296</v>
      </c>
      <c r="C104" s="188"/>
      <c r="D104" s="304"/>
    </row>
    <row r="105" spans="1:4" ht="16.25" customHeight="1">
      <c r="A105" s="432"/>
      <c r="B105" s="111" t="s">
        <v>156</v>
      </c>
      <c r="C105" s="188"/>
      <c r="D105" s="304"/>
    </row>
    <row r="106" spans="1:4" ht="15" customHeight="1">
      <c r="A106" s="432"/>
      <c r="B106" s="190" t="s">
        <v>293</v>
      </c>
      <c r="C106" s="189"/>
      <c r="D106" s="410" t="s">
        <v>135</v>
      </c>
    </row>
    <row r="107" spans="1:4" ht="15" customHeight="1" thickBot="1">
      <c r="A107" s="432"/>
      <c r="B107" s="210" t="s">
        <v>294</v>
      </c>
      <c r="C107" s="192"/>
      <c r="D107" s="410" t="s">
        <v>91</v>
      </c>
    </row>
    <row r="108" spans="1:4" ht="15" customHeight="1" thickBot="1">
      <c r="A108" s="432"/>
      <c r="B108" s="307"/>
      <c r="C108" s="221"/>
      <c r="D108" s="304"/>
    </row>
    <row r="109" spans="1:4" ht="15" customHeight="1">
      <c r="A109" s="432"/>
      <c r="B109" s="380" t="s">
        <v>137</v>
      </c>
      <c r="C109" s="196" t="s">
        <v>298</v>
      </c>
      <c r="D109" s="304"/>
    </row>
    <row r="110" spans="1:4" ht="21.65" customHeight="1">
      <c r="A110" s="432"/>
      <c r="B110" s="349" t="s">
        <v>137</v>
      </c>
      <c r="C110" s="102" t="s">
        <v>299</v>
      </c>
      <c r="D110" s="304"/>
    </row>
    <row r="111" spans="1:4" ht="15" customHeight="1" thickBot="1">
      <c r="A111" s="433"/>
      <c r="B111" s="243" t="s">
        <v>137</v>
      </c>
      <c r="C111" s="104" t="s">
        <v>300</v>
      </c>
      <c r="D111" s="305"/>
    </row>
    <row r="112" spans="1:4" ht="16.25" customHeight="1">
      <c r="A112" s="115"/>
      <c r="B112" s="115"/>
      <c r="C112" s="115"/>
      <c r="D112" s="115"/>
    </row>
    <row r="113" spans="1:4">
      <c r="A113" s="115"/>
      <c r="B113" s="115"/>
      <c r="C113" s="115"/>
      <c r="D113" s="115"/>
    </row>
    <row r="114" spans="1:4">
      <c r="A114" s="115"/>
      <c r="B114" s="115"/>
      <c r="C114" s="115"/>
      <c r="D114" s="115"/>
    </row>
    <row r="115" spans="1:4">
      <c r="A115" s="115"/>
      <c r="B115" s="115"/>
      <c r="C115" s="115"/>
      <c r="D115" s="115"/>
    </row>
  </sheetData>
  <mergeCells count="5">
    <mergeCell ref="A2:B2"/>
    <mergeCell ref="A61:A69"/>
    <mergeCell ref="A97:A111"/>
    <mergeCell ref="A5:A9"/>
    <mergeCell ref="A72:A94"/>
  </mergeCells>
  <phoneticPr fontId="11"/>
  <pageMargins left="0.51181102362204722" right="0" top="0.74803149606299213" bottom="0.74803149606299213" header="0.31496062992125984" footer="0.31496062992125984"/>
  <pageSetup paperSize="9" scale="75" fitToHeight="0" orientation="portrait" r:id="rId1"/>
  <headerFooter>
    <oddFooter>&amp;C&amp;"Century Gothic,太字"&amp;10&amp;  -   P A G E  3- &amp;P   -</oddFooter>
  </headerFooter>
  <rowBreaks count="1" manualBreakCount="1">
    <brk id="59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invoice</vt:lpstr>
      <vt:lpstr>case mark 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2023-10-30T23:41:03Z</cp:lastPrinted>
  <dcterms:created xsi:type="dcterms:W3CDTF">2002-07-31T13:14:08Z</dcterms:created>
  <dcterms:modified xsi:type="dcterms:W3CDTF">2025-10-30T08:14:03Z</dcterms:modified>
</cp:coreProperties>
</file>