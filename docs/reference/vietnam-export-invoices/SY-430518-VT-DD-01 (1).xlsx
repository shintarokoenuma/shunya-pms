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17512AFB-7C17-4157-9BF8-C5297329416A}" xr6:coauthVersionLast="47" xr6:coauthVersionMax="47" xr10:uidLastSave="{00000000-0000-0000-0000-000000000000}"/>
  <bookViews>
    <workbookView xWindow="-110" yWindow="-110" windowWidth="25820" windowHeight="14620" activeTab="6" xr2:uid="{00000000-000D-0000-FFFF-FFFF00000000}"/>
  </bookViews>
  <sheets>
    <sheet name="shipper master" sheetId="17" r:id="rId1"/>
    <sheet name="invoice" sheetId="21" r:id="rId2"/>
    <sheet name="case mark (2)" sheetId="54" r:id="rId3"/>
    <sheet name="NARITA" sheetId="49" r:id="rId4"/>
    <sheet name="NARITA (2)" sheetId="53" r:id="rId5"/>
    <sheet name="LABEL①" sheetId="52" r:id="rId6"/>
    <sheet name="サンプル製品カタログ" sheetId="55" r:id="rId7"/>
  </sheets>
  <externalReferences>
    <externalReference r:id="rId8"/>
    <externalReference r:id="rId9"/>
  </externalReferences>
  <definedNames>
    <definedName name="pricetable" localSheetId="2">#REF!</definedName>
    <definedName name="pricetable" localSheetId="5">#REF!</definedName>
    <definedName name="pricetable" localSheetId="3">#REF!</definedName>
    <definedName name="pricetable" localSheetId="4">#REF!</definedName>
    <definedName name="pricetable" localSheetId="6">#REF!</definedName>
    <definedName name="pricetable">#REF!</definedName>
    <definedName name="_xlnm.Print_Area" localSheetId="3">NARITA!$A$1:$K$16</definedName>
    <definedName name="_xlnm.Print_Area" localSheetId="4">'NARITA (2)'!$A$1:$J$81</definedName>
    <definedName name="_xlnm.Print_Area" localSheetId="6">サンプル製品カタログ!$A$1:$G$17</definedName>
    <definedName name="_xlnm.Print_Titles" localSheetId="5">LABEL①!$1:$3</definedName>
    <definedName name="_xlnm.Print_Titles" localSheetId="3">NARITA!$1:$6</definedName>
    <definedName name="_xlnm.Print_Titles" localSheetId="4">'NARITA (2)'!$1:$6</definedName>
    <definedName name="_xlnm.Print_Titles" localSheetId="6">サンプル製品カタログ!$1:$1</definedName>
  </definedNames>
  <calcPr calcId="191029"/>
</workbook>
</file>

<file path=xl/calcChain.xml><?xml version="1.0" encoding="utf-8"?>
<calcChain xmlns="http://schemas.openxmlformats.org/spreadsheetml/2006/main">
  <c r="C45" i="17" l="1"/>
  <c r="L32" i="21"/>
  <c r="L28" i="21"/>
  <c r="H36" i="53"/>
  <c r="H35" i="53"/>
  <c r="E34" i="53"/>
  <c r="E33" i="53"/>
  <c r="H30" i="53"/>
  <c r="H28" i="53"/>
  <c r="H27" i="53"/>
  <c r="H24" i="53"/>
  <c r="H18" i="53"/>
  <c r="H19" i="53"/>
  <c r="H20" i="53"/>
  <c r="H13" i="53" l="1"/>
  <c r="E23" i="49"/>
  <c r="H23" i="49"/>
  <c r="H19" i="49" l="1"/>
  <c r="F35" i="53"/>
  <c r="E35" i="53"/>
  <c r="H33" i="53"/>
  <c r="H17" i="53"/>
  <c r="H14" i="49" l="1"/>
  <c r="I18" i="54"/>
  <c r="A18" i="54"/>
  <c r="I16" i="54"/>
  <c r="A16" i="54"/>
  <c r="I15" i="54"/>
  <c r="A15" i="54"/>
  <c r="I14" i="54"/>
  <c r="A14" i="54"/>
  <c r="I13" i="54"/>
  <c r="A13" i="54"/>
  <c r="I7" i="54"/>
  <c r="A7" i="54"/>
  <c r="I5" i="54"/>
  <c r="A5" i="54"/>
  <c r="I4" i="54"/>
  <c r="A4" i="54"/>
  <c r="I3" i="54"/>
  <c r="A3" i="54"/>
  <c r="I2" i="54"/>
  <c r="A2" i="54"/>
  <c r="K11" i="21"/>
  <c r="K10" i="21"/>
  <c r="K9" i="21"/>
  <c r="K8" i="21"/>
  <c r="H32" i="21" l="1"/>
  <c r="J32" i="21"/>
  <c r="H11" i="53"/>
  <c r="H12" i="53"/>
  <c r="J29" i="21"/>
  <c r="E32" i="21" s="1"/>
  <c r="E24" i="49" l="1"/>
  <c r="H24" i="49"/>
  <c r="H10" i="53" l="1"/>
  <c r="H34" i="53" l="1"/>
  <c r="G6" i="53"/>
  <c r="D6" i="53"/>
  <c r="H9" i="49"/>
  <c r="A10" i="21"/>
  <c r="K29" i="21"/>
  <c r="K28" i="21"/>
  <c r="B28" i="21"/>
  <c r="G6" i="49"/>
  <c r="D6" i="49"/>
  <c r="E7" i="21"/>
  <c r="A36" i="21"/>
  <c r="A35" i="21"/>
  <c r="K13" i="21"/>
  <c r="A8" i="21"/>
  <c r="C52" i="17"/>
  <c r="A2" i="21"/>
  <c r="A3" i="21"/>
  <c r="A4" i="21"/>
  <c r="K4" i="21"/>
  <c r="A5" i="21"/>
  <c r="K5" i="21"/>
  <c r="A7" i="21"/>
  <c r="A9" i="21"/>
  <c r="E9" i="21"/>
  <c r="A11" i="21"/>
  <c r="A13" i="21"/>
  <c r="E13" i="21"/>
  <c r="A14" i="21"/>
  <c r="A15" i="21"/>
  <c r="E15" i="21"/>
  <c r="A16" i="21"/>
  <c r="A17" i="21"/>
  <c r="A19" i="21"/>
  <c r="A21" i="21"/>
  <c r="C21" i="21"/>
  <c r="F21" i="21"/>
  <c r="B24" i="21"/>
  <c r="K24" i="21"/>
  <c r="B26" i="21"/>
  <c r="C37" i="21"/>
  <c r="A38" i="21"/>
  <c r="A2" i="17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86" i="17"/>
  <c r="C27" i="17"/>
  <c r="C49" i="17" s="1"/>
  <c r="L29" i="21" l="1"/>
  <c r="J28" i="21"/>
  <c r="C32" i="21" s="1"/>
  <c r="E11" i="21"/>
  <c r="H25" i="49" l="1"/>
</calcChain>
</file>

<file path=xl/sharedStrings.xml><?xml version="1.0" encoding="utf-8"?>
<sst xmlns="http://schemas.openxmlformats.org/spreadsheetml/2006/main" count="396" uniqueCount="229">
  <si>
    <t>SHIPPER NAME</t>
    <phoneticPr fontId="4" type="noConversion"/>
  </si>
  <si>
    <t xml:space="preserve"> </t>
    <phoneticPr fontId="8"/>
  </si>
  <si>
    <t>S/CODE</t>
    <phoneticPr fontId="4" type="noConversion"/>
  </si>
  <si>
    <t>SHIPPER ADDRESS 2</t>
    <phoneticPr fontId="9"/>
  </si>
  <si>
    <t>SHIPPER ADDRESS 1</t>
    <phoneticPr fontId="9"/>
  </si>
  <si>
    <t>SHIPPER ADDRESS 3</t>
    <phoneticPr fontId="9"/>
  </si>
  <si>
    <t xml:space="preserve">SHIPPER </t>
    <phoneticPr fontId="9"/>
  </si>
  <si>
    <t>TEL</t>
    <phoneticPr fontId="9"/>
  </si>
  <si>
    <t>FAX</t>
    <phoneticPr fontId="9"/>
  </si>
  <si>
    <t>CONSIGNEE</t>
    <phoneticPr fontId="8"/>
  </si>
  <si>
    <t>INVOICE NO.</t>
    <phoneticPr fontId="8"/>
  </si>
  <si>
    <t>INVOICE DATE</t>
    <phoneticPr fontId="8"/>
  </si>
  <si>
    <t>CONTRACT NO.</t>
    <phoneticPr fontId="8"/>
  </si>
  <si>
    <t>L/C NO.</t>
    <phoneticPr fontId="8"/>
  </si>
  <si>
    <t>PAYMENT METHOD</t>
    <phoneticPr fontId="8"/>
  </si>
  <si>
    <t>SHIPPED PER</t>
    <phoneticPr fontId="8"/>
  </si>
  <si>
    <t>FROM</t>
    <phoneticPr fontId="8"/>
  </si>
  <si>
    <t>TO</t>
    <phoneticPr fontId="8"/>
  </si>
  <si>
    <t>VIA</t>
    <phoneticPr fontId="8"/>
  </si>
  <si>
    <t>CASE MARK</t>
    <phoneticPr fontId="8"/>
  </si>
  <si>
    <t>Q'TY</t>
    <phoneticPr fontId="8"/>
  </si>
  <si>
    <t>AMOUNT</t>
    <phoneticPr fontId="8"/>
  </si>
  <si>
    <t>U/PRICE</t>
    <phoneticPr fontId="8"/>
  </si>
  <si>
    <t>C/NO.</t>
    <phoneticPr fontId="8"/>
  </si>
  <si>
    <t>SIZE</t>
    <phoneticPr fontId="9"/>
  </si>
  <si>
    <t>ART NO.</t>
    <phoneticPr fontId="9"/>
  </si>
  <si>
    <t xml:space="preserve">  DESCRIPTION  OF  GOODS</t>
    <phoneticPr fontId="8"/>
  </si>
  <si>
    <t>TOTAL :</t>
    <phoneticPr fontId="9"/>
  </si>
  <si>
    <t>COLOR</t>
    <phoneticPr fontId="9"/>
  </si>
  <si>
    <t>INVOICE</t>
    <phoneticPr fontId="9"/>
  </si>
  <si>
    <t>ATTN OR VAT NO.</t>
    <phoneticPr fontId="9"/>
  </si>
  <si>
    <t xml:space="preserve">ORDER NO. </t>
    <phoneticPr fontId="8"/>
  </si>
  <si>
    <t>ORDER DATE</t>
    <phoneticPr fontId="9"/>
  </si>
  <si>
    <t>TEL/FAX</t>
    <phoneticPr fontId="9"/>
  </si>
  <si>
    <t>ATTN</t>
    <phoneticPr fontId="9"/>
  </si>
  <si>
    <t>CONSIGNEE :</t>
    <phoneticPr fontId="9"/>
  </si>
  <si>
    <t>CONSIGNEE ADDRESS1</t>
    <phoneticPr fontId="9"/>
  </si>
  <si>
    <t>CONSIGNEE ADDRESS2</t>
    <phoneticPr fontId="9"/>
  </si>
  <si>
    <t>CONSIGNEE ADDRESS3</t>
    <phoneticPr fontId="9"/>
  </si>
  <si>
    <t>TEL</t>
    <phoneticPr fontId="9"/>
  </si>
  <si>
    <t>FAX</t>
    <phoneticPr fontId="9"/>
  </si>
  <si>
    <t>PAYMENT 1</t>
    <phoneticPr fontId="9"/>
  </si>
  <si>
    <t>PAYMENT 2</t>
    <phoneticPr fontId="9"/>
  </si>
  <si>
    <t>SHIPPER PER</t>
    <phoneticPr fontId="9"/>
  </si>
  <si>
    <t>INVOICE DATE</t>
    <phoneticPr fontId="9"/>
  </si>
  <si>
    <t>INVOICE NO.</t>
    <phoneticPr fontId="9"/>
  </si>
  <si>
    <t>CONTRACT NO.</t>
    <phoneticPr fontId="9"/>
  </si>
  <si>
    <t>CONTRACT DATE</t>
    <phoneticPr fontId="9"/>
  </si>
  <si>
    <t>ORDER DATE</t>
    <phoneticPr fontId="9"/>
  </si>
  <si>
    <t>ORDER NO.</t>
    <phoneticPr fontId="9"/>
  </si>
  <si>
    <t>L/C DATE</t>
    <phoneticPr fontId="9"/>
  </si>
  <si>
    <t>FROM</t>
    <phoneticPr fontId="9"/>
  </si>
  <si>
    <t xml:space="preserve"> TOKYO, JAPAN</t>
    <phoneticPr fontId="9"/>
  </si>
  <si>
    <t>TO</t>
    <phoneticPr fontId="9"/>
  </si>
  <si>
    <t>VIA</t>
    <phoneticPr fontId="9"/>
  </si>
  <si>
    <t>SHIPPING TERMS</t>
    <phoneticPr fontId="9"/>
  </si>
  <si>
    <t>TITTLE 1</t>
    <phoneticPr fontId="9"/>
  </si>
  <si>
    <t>TITTLE 2</t>
    <phoneticPr fontId="9"/>
  </si>
  <si>
    <t>ATTACHE</t>
    <phoneticPr fontId="9"/>
  </si>
  <si>
    <t>- DETAILS AS PER ATTACHED SHEET -</t>
    <phoneticPr fontId="9"/>
  </si>
  <si>
    <t>C/NO.</t>
    <phoneticPr fontId="9"/>
  </si>
  <si>
    <t>STYLE NO.</t>
    <phoneticPr fontId="9"/>
  </si>
  <si>
    <t>DESCRIPTION</t>
    <phoneticPr fontId="9"/>
  </si>
  <si>
    <t>Q'TY CODE</t>
    <phoneticPr fontId="9"/>
  </si>
  <si>
    <t>PCS</t>
    <phoneticPr fontId="9"/>
  </si>
  <si>
    <t>QUANTITY</t>
    <phoneticPr fontId="9"/>
  </si>
  <si>
    <t>UNIT PRICE</t>
    <phoneticPr fontId="9"/>
  </si>
  <si>
    <t>AMOUNT</t>
    <phoneticPr fontId="9"/>
  </si>
  <si>
    <t>DISCOUNT</t>
    <phoneticPr fontId="9"/>
  </si>
  <si>
    <t>CASE MARK1</t>
    <phoneticPr fontId="9"/>
  </si>
  <si>
    <t>CASE MARK2</t>
    <phoneticPr fontId="9"/>
  </si>
  <si>
    <t>CASE MARK3</t>
    <phoneticPr fontId="9"/>
  </si>
  <si>
    <t>CASE MARK4</t>
    <phoneticPr fontId="9"/>
  </si>
  <si>
    <t>CASE MARK5</t>
    <phoneticPr fontId="9"/>
  </si>
  <si>
    <t xml:space="preserve"> MADE IN JAPAN</t>
    <phoneticPr fontId="9"/>
  </si>
  <si>
    <t>CASE MARK6</t>
    <phoneticPr fontId="9"/>
  </si>
  <si>
    <t>TOTAL</t>
    <phoneticPr fontId="9"/>
  </si>
  <si>
    <t>MANUFACTURED BY</t>
    <phoneticPr fontId="9"/>
  </si>
  <si>
    <t>ORIGIN</t>
    <phoneticPr fontId="9"/>
  </si>
  <si>
    <t>COUNTRY OF ORIGIN : JAPAN</t>
    <phoneticPr fontId="9"/>
  </si>
  <si>
    <t>OUR BANK</t>
    <phoneticPr fontId="9"/>
  </si>
  <si>
    <t>ETD TYO</t>
    <phoneticPr fontId="9"/>
  </si>
  <si>
    <t>DELIVERY SCHEDULES</t>
    <phoneticPr fontId="9"/>
  </si>
  <si>
    <t>INSURANCE</t>
    <phoneticPr fontId="9"/>
  </si>
  <si>
    <t>REMARK 1</t>
    <phoneticPr fontId="9"/>
  </si>
  <si>
    <t>AIR FREIGHT</t>
    <phoneticPr fontId="9"/>
  </si>
  <si>
    <t>YOUR (OUR) FORWARDER</t>
    <phoneticPr fontId="9"/>
  </si>
  <si>
    <t>CUSTOMS AGENT</t>
    <phoneticPr fontId="9"/>
  </si>
  <si>
    <t>FORWARDER</t>
    <phoneticPr fontId="9"/>
  </si>
  <si>
    <t>C/O ISSUED DATE</t>
    <phoneticPr fontId="9"/>
  </si>
  <si>
    <t>COUNTRY</t>
    <phoneticPr fontId="9"/>
  </si>
  <si>
    <t>F.O.B. TOKYO IN YEN</t>
    <phoneticPr fontId="9"/>
  </si>
  <si>
    <t xml:space="preserve"> SHUNYA CO., LTD.</t>
    <phoneticPr fontId="9"/>
  </si>
  <si>
    <t xml:space="preserve"> KENSHIN BLDG., 1F, 1-22-10 DOUGENZAKA,</t>
    <phoneticPr fontId="9"/>
  </si>
  <si>
    <t xml:space="preserve"> SHIBUYA-KU 150-0043</t>
    <phoneticPr fontId="9"/>
  </si>
  <si>
    <t xml:space="preserve"> TEL : +81(0)3-5459-1177</t>
    <phoneticPr fontId="9"/>
  </si>
  <si>
    <t xml:space="preserve"> - SAME AS BUYER -</t>
    <phoneticPr fontId="9"/>
  </si>
  <si>
    <t xml:space="preserve"> HOCHIMINH-CITY, VIETNAM</t>
    <phoneticPr fontId="9"/>
  </si>
  <si>
    <t>" NO COMMER VALUE</t>
    <phoneticPr fontId="9"/>
  </si>
  <si>
    <t xml:space="preserve">  VALUE FOR CUSTOMS PURPOSE ONLY "</t>
    <phoneticPr fontId="9"/>
  </si>
  <si>
    <t xml:space="preserve"> C/NO.</t>
    <phoneticPr fontId="9"/>
  </si>
  <si>
    <t>VIETNAM</t>
    <phoneticPr fontId="9"/>
  </si>
  <si>
    <t>PREPAID</t>
    <phoneticPr fontId="9"/>
  </si>
  <si>
    <t>IMPORTER</t>
    <phoneticPr fontId="8"/>
  </si>
  <si>
    <t>COVERED BY SHIPPER</t>
    <phoneticPr fontId="9"/>
  </si>
  <si>
    <t>MEITETSU WORLD TRANSPORT (MR. NAMIKI)</t>
    <phoneticPr fontId="9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</si>
  <si>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9"/>
  </si>
  <si>
    <t>BUYER</t>
    <phoneticPr fontId="9"/>
  </si>
  <si>
    <t>BUYER ADDRESS1</t>
    <phoneticPr fontId="9"/>
  </si>
  <si>
    <t>BUYER ADDRESS2</t>
    <phoneticPr fontId="9"/>
  </si>
  <si>
    <t>BUYER ADDRESS3</t>
    <phoneticPr fontId="9"/>
  </si>
  <si>
    <t xml:space="preserve"> SHUNYA VIETNAM </t>
    <phoneticPr fontId="9"/>
  </si>
  <si>
    <t xml:space="preserve"> COMPANY LIMITED</t>
    <phoneticPr fontId="9"/>
  </si>
  <si>
    <t xml:space="preserve"> AIRCRAFT</t>
    <phoneticPr fontId="9"/>
  </si>
  <si>
    <t>持ち帰り条件</t>
    <rPh sb="0" eb="1">
      <t>モ</t>
    </rPh>
    <rPh sb="2" eb="3">
      <t>カエ</t>
    </rPh>
    <rPh sb="4" eb="6">
      <t>ジョウケン</t>
    </rPh>
    <phoneticPr fontId="9"/>
  </si>
  <si>
    <t>" NO COMMERCIAL VALUE</t>
    <phoneticPr fontId="9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</si>
  <si>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9"/>
  </si>
  <si>
    <t xml:space="preserve">  AFTER MANUFACTURED AT VIET NAM "</t>
    <phoneticPr fontId="9"/>
  </si>
  <si>
    <t xml:space="preserve"> VALUE FOR CUSTOMS PURPOSE ONLY "</t>
    <phoneticPr fontId="9"/>
  </si>
  <si>
    <t xml:space="preserve"> NO COMMERCIAL</t>
    <phoneticPr fontId="8"/>
  </si>
  <si>
    <t>M.</t>
    <phoneticPr fontId="9"/>
  </si>
  <si>
    <t>PCS.</t>
    <phoneticPr fontId="9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</si>
  <si>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</si>
  <si>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</si>
  <si>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</si>
  <si>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</si>
  <si>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</si>
  <si>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</si>
  <si>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</si>
  <si>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</si>
  <si>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</si>
  <si>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</si>
  <si>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>TOTAL :</t>
  </si>
  <si>
    <t xml:space="preserve">ART NO. </t>
    <phoneticPr fontId="9"/>
  </si>
  <si>
    <t>搬入内容</t>
    <rPh sb="0" eb="2">
      <t>ハンニュウ</t>
    </rPh>
    <phoneticPr fontId="9"/>
  </si>
  <si>
    <t>(H.S. CODE)</t>
    <phoneticPr fontId="9"/>
  </si>
  <si>
    <t>- ATTACHED SHEET -</t>
    <phoneticPr fontId="9"/>
  </si>
  <si>
    <t xml:space="preserve"> </t>
    <phoneticPr fontId="9"/>
  </si>
  <si>
    <t>TOTAL CARTONS :</t>
    <phoneticPr fontId="9"/>
  </si>
  <si>
    <t>TOTAL GROSS WEIGHT :</t>
    <phoneticPr fontId="9"/>
  </si>
  <si>
    <t>FABRIC &amp; PARTS FOR WEAR</t>
    <phoneticPr fontId="9"/>
  </si>
  <si>
    <r>
      <t>MADE</t>
    </r>
    <r>
      <rPr>
        <b/>
        <u/>
        <sz val="10"/>
        <rFont val="ＭＳ Ｐゴシック"/>
        <family val="3"/>
        <charset val="128"/>
      </rPr>
      <t>　IN　JAPAN</t>
    </r>
    <phoneticPr fontId="9"/>
  </si>
  <si>
    <t>原産国</t>
    <rPh sb="0" eb="3">
      <t>ゲンサンコク</t>
    </rPh>
    <phoneticPr fontId="9"/>
  </si>
  <si>
    <t>MADE IN JAPAN</t>
    <phoneticPr fontId="9"/>
  </si>
  <si>
    <t>LABEL SHEET</t>
    <phoneticPr fontId="9"/>
  </si>
  <si>
    <t>May,26 2022</t>
    <phoneticPr fontId="9"/>
  </si>
  <si>
    <t>TOTAL</t>
    <phoneticPr fontId="39"/>
  </si>
  <si>
    <t>June,13, 2022</t>
    <phoneticPr fontId="9"/>
  </si>
  <si>
    <t>WOVEN FABRIC</t>
    <phoneticPr fontId="39"/>
  </si>
  <si>
    <t>WOVEN FABRIC</t>
    <phoneticPr fontId="9"/>
  </si>
  <si>
    <t>pattern paper</t>
    <phoneticPr fontId="9"/>
  </si>
  <si>
    <t>WOVEN NEME</t>
    <phoneticPr fontId="9"/>
  </si>
  <si>
    <t>No.10 , D17 Street , Sai Gon South Residential Area</t>
  </si>
  <si>
    <t>VIVAN GARMENTS VIET NAM COMPANY LIMITED</t>
    <phoneticPr fontId="9"/>
  </si>
  <si>
    <t>Hamlet 3 , Long Hau Commune , Can Giuoc District,</t>
    <phoneticPr fontId="9"/>
  </si>
  <si>
    <t xml:space="preserve"> Long An Province , VietNam</t>
    <phoneticPr fontId="9"/>
  </si>
  <si>
    <t xml:space="preserve"> TEL : :   ( 084 ) 097 22 00 798  ATTN : MR. TUAN</t>
    <phoneticPr fontId="9"/>
  </si>
  <si>
    <r>
      <t>STYLE</t>
    </r>
    <r>
      <rPr>
        <b/>
        <sz val="11"/>
        <rFont val="Yu Gothic"/>
        <family val="2"/>
        <charset val="128"/>
      </rPr>
      <t>、</t>
    </r>
    <r>
      <rPr>
        <b/>
        <sz val="11"/>
        <rFont val="Century Gothic"/>
        <family val="2"/>
      </rPr>
      <t>22SY-74</t>
    </r>
    <phoneticPr fontId="9"/>
  </si>
  <si>
    <r>
      <t>STYLE</t>
    </r>
    <r>
      <rPr>
        <b/>
        <sz val="12"/>
        <rFont val="Yu Gothic"/>
        <family val="2"/>
        <charset val="128"/>
      </rPr>
      <t>、</t>
    </r>
    <r>
      <rPr>
        <b/>
        <sz val="12"/>
        <rFont val="Century Gothic"/>
        <family val="2"/>
      </rPr>
      <t>22SY-74</t>
    </r>
    <phoneticPr fontId="9"/>
  </si>
  <si>
    <t>M.</t>
  </si>
  <si>
    <t xml:space="preserve"> C/NO. 1-</t>
    <phoneticPr fontId="9"/>
  </si>
  <si>
    <t>WOVEN FABRIC</t>
  </si>
  <si>
    <r>
      <t>#BK-72</t>
    </r>
    <r>
      <rPr>
        <b/>
        <sz val="10"/>
        <rFont val="ＭＳ ゴシック"/>
        <family val="3"/>
        <charset val="128"/>
      </rPr>
      <t>　#</t>
    </r>
    <r>
      <rPr>
        <b/>
        <sz val="10"/>
        <rFont val="Century Gothic"/>
        <family val="2"/>
      </rPr>
      <t>28-10</t>
    </r>
    <r>
      <rPr>
        <b/>
        <sz val="10"/>
        <rFont val="ＭＳ ゴシック"/>
        <family val="3"/>
        <charset val="128"/>
      </rPr>
      <t>　#</t>
    </r>
    <r>
      <rPr>
        <b/>
        <sz val="10"/>
        <rFont val="Century Gothic"/>
        <family val="2"/>
      </rPr>
      <t>10-22</t>
    </r>
    <phoneticPr fontId="9"/>
  </si>
  <si>
    <t>SB2030</t>
    <phoneticPr fontId="9"/>
  </si>
  <si>
    <t>C/#5 BLACK</t>
    <phoneticPr fontId="39"/>
  </si>
  <si>
    <r>
      <t>STYLE</t>
    </r>
    <r>
      <rPr>
        <b/>
        <sz val="11"/>
        <rFont val="Yu Gothic"/>
        <family val="2"/>
        <charset val="128"/>
      </rPr>
      <t>、22SY-65</t>
    </r>
    <phoneticPr fontId="9"/>
  </si>
  <si>
    <t>cotton60% polyester40%</t>
    <phoneticPr fontId="9"/>
  </si>
  <si>
    <t>1-3</t>
    <phoneticPr fontId="9"/>
  </si>
  <si>
    <t>M-6543ST</t>
    <phoneticPr fontId="9"/>
  </si>
  <si>
    <r>
      <t>STYLE</t>
    </r>
    <r>
      <rPr>
        <b/>
        <sz val="11"/>
        <rFont val="Yu Gothic"/>
        <family val="2"/>
        <charset val="128"/>
      </rPr>
      <t>、</t>
    </r>
    <r>
      <rPr>
        <b/>
        <sz val="11"/>
        <rFont val="Century Gothic"/>
        <family val="2"/>
      </rPr>
      <t>22SY-53</t>
    </r>
    <phoneticPr fontId="9"/>
  </si>
  <si>
    <t>NYLON100%</t>
    <phoneticPr fontId="9"/>
  </si>
  <si>
    <t>4</t>
    <phoneticPr fontId="9"/>
  </si>
  <si>
    <t>4/28</t>
    <phoneticPr fontId="9"/>
  </si>
  <si>
    <t>STYLE、22SY-66</t>
  </si>
  <si>
    <t>TAN-ST23150</t>
  </si>
  <si>
    <t>C/#0 INDIGO</t>
  </si>
  <si>
    <t>cotton70% polyester30%</t>
  </si>
  <si>
    <t>5</t>
    <phoneticPr fontId="9"/>
  </si>
  <si>
    <t>packaging bag</t>
    <phoneticPr fontId="9"/>
  </si>
  <si>
    <t>3CARTONS</t>
    <phoneticPr fontId="9"/>
  </si>
  <si>
    <t>5/15</t>
    <phoneticPr fontId="9"/>
  </si>
  <si>
    <t>men's pants</t>
    <phoneticPr fontId="9"/>
  </si>
  <si>
    <t>c/#BLACK</t>
    <phoneticPr fontId="9"/>
  </si>
  <si>
    <t>c/#BLUE</t>
    <phoneticPr fontId="9"/>
  </si>
  <si>
    <t>men's jacket</t>
    <phoneticPr fontId="9"/>
  </si>
  <si>
    <t>c/#BEIGE</t>
    <phoneticPr fontId="9"/>
  </si>
  <si>
    <t>7</t>
    <phoneticPr fontId="9"/>
  </si>
  <si>
    <t>W</t>
  </si>
  <si>
    <t>ELASTIC WAIST PANTS   30MM</t>
  </si>
  <si>
    <t>122-337-555</t>
  </si>
  <si>
    <t>140</t>
  </si>
  <si>
    <t xml:space="preserve">CORD </t>
  </si>
  <si>
    <t>B204</t>
  </si>
  <si>
    <t>ELASTIC WAIST PANTS   35MM</t>
  </si>
  <si>
    <t>1QS*2QM</t>
  </si>
  <si>
    <t>QUICKLON  25ＭＭ</t>
  </si>
  <si>
    <r>
      <t>STYLE</t>
    </r>
    <r>
      <rPr>
        <b/>
        <sz val="12"/>
        <rFont val="Yu Gothic"/>
        <family val="2"/>
        <charset val="128"/>
      </rPr>
      <t>、</t>
    </r>
    <r>
      <rPr>
        <b/>
        <sz val="12"/>
        <rFont val="Century Gothic"/>
        <family val="2"/>
      </rPr>
      <t>21SY-14</t>
    </r>
    <phoneticPr fontId="9"/>
  </si>
  <si>
    <t>B204</t>
    <phoneticPr fontId="9"/>
  </si>
  <si>
    <r>
      <rPr>
        <b/>
        <sz val="10"/>
        <rFont val="ＭＳ ゴシック"/>
        <family val="3"/>
        <charset val="128"/>
      </rPr>
      <t>＃</t>
    </r>
    <r>
      <rPr>
        <b/>
        <sz val="10"/>
        <rFont val="Century Gothic"/>
        <family val="2"/>
      </rPr>
      <t>576-6M</t>
    </r>
    <r>
      <rPr>
        <b/>
        <sz val="10"/>
        <rFont val="ＭＳ ゴシック"/>
        <family val="3"/>
        <charset val="128"/>
      </rPr>
      <t>　＃</t>
    </r>
    <r>
      <rPr>
        <b/>
        <sz val="10"/>
        <rFont val="Century Gothic"/>
        <family val="2"/>
      </rPr>
      <t>580-10M</t>
    </r>
    <phoneticPr fontId="9"/>
  </si>
  <si>
    <t>709PCS</t>
    <phoneticPr fontId="9"/>
  </si>
  <si>
    <t>1034M</t>
    <phoneticPr fontId="9"/>
  </si>
  <si>
    <t xml:space="preserve"> SY-430518-VT-DD-01</t>
    <phoneticPr fontId="9"/>
  </si>
  <si>
    <t>c/#018 BEIGE</t>
    <phoneticPr fontId="9"/>
  </si>
  <si>
    <t>8CARTONS</t>
    <phoneticPr fontId="9"/>
  </si>
  <si>
    <t>8 PACKAGES</t>
    <phoneticPr fontId="9"/>
  </si>
  <si>
    <t>5CARTONS</t>
    <phoneticPr fontId="9"/>
  </si>
  <si>
    <r>
      <t>STYLE</t>
    </r>
    <r>
      <rPr>
        <b/>
        <sz val="11"/>
        <rFont val="Yu Gothic"/>
        <family val="2"/>
        <charset val="128"/>
      </rPr>
      <t>、</t>
    </r>
    <r>
      <rPr>
        <b/>
        <sz val="11"/>
        <rFont val="Century Gothic"/>
        <family val="2"/>
      </rPr>
      <t>21SY-14</t>
    </r>
    <phoneticPr fontId="9"/>
  </si>
  <si>
    <t>QUICKLON  25MM</t>
    <phoneticPr fontId="9"/>
  </si>
  <si>
    <r>
      <t>WIDTH:128CM (260</t>
    </r>
    <r>
      <rPr>
        <b/>
        <sz val="10"/>
        <rFont val="Yu Gothic"/>
        <family val="2"/>
        <charset val="128"/>
      </rPr>
      <t>ｇ</t>
    </r>
    <r>
      <rPr>
        <b/>
        <sz val="10"/>
        <rFont val="Century Gothic"/>
        <family val="2"/>
      </rPr>
      <t>/</t>
    </r>
    <r>
      <rPr>
        <b/>
        <sz val="10"/>
        <rFont val="Segoe UI Symbol"/>
        <family val="2"/>
      </rPr>
      <t>㎡</t>
    </r>
    <r>
      <rPr>
        <b/>
        <sz val="10"/>
        <rFont val="Century Gothic"/>
        <family val="2"/>
      </rPr>
      <t xml:space="preserve"> )</t>
    </r>
    <phoneticPr fontId="9"/>
  </si>
  <si>
    <r>
      <t>WIDTH:115CM (370</t>
    </r>
    <r>
      <rPr>
        <b/>
        <sz val="10"/>
        <rFont val="Yu Gothic"/>
        <family val="2"/>
        <charset val="128"/>
      </rPr>
      <t>ｇ</t>
    </r>
    <r>
      <rPr>
        <b/>
        <sz val="10"/>
        <rFont val="Century Gothic"/>
        <family val="2"/>
      </rPr>
      <t>/</t>
    </r>
    <r>
      <rPr>
        <b/>
        <sz val="10"/>
        <rFont val="Segoe UI Symbol"/>
        <family val="2"/>
      </rPr>
      <t>㎡</t>
    </r>
    <r>
      <rPr>
        <b/>
        <sz val="10"/>
        <rFont val="Century Gothic"/>
        <family val="2"/>
      </rPr>
      <t xml:space="preserve"> )</t>
    </r>
    <phoneticPr fontId="9"/>
  </si>
  <si>
    <t>TAN-ST23150</t>
    <phoneticPr fontId="9"/>
  </si>
  <si>
    <r>
      <t>WIDTH:118CM (208</t>
    </r>
    <r>
      <rPr>
        <b/>
        <sz val="10"/>
        <rFont val="Yu Gothic"/>
        <family val="2"/>
        <charset val="128"/>
      </rPr>
      <t>ｇ</t>
    </r>
    <r>
      <rPr>
        <b/>
        <sz val="10"/>
        <rFont val="Century Gothic"/>
        <family val="2"/>
      </rPr>
      <t>/</t>
    </r>
    <r>
      <rPr>
        <b/>
        <sz val="10"/>
        <rFont val="Segoe UI Symbol"/>
        <family val="2"/>
      </rPr>
      <t>㎡</t>
    </r>
    <r>
      <rPr>
        <b/>
        <sz val="10"/>
        <rFont val="Century Gothic"/>
        <family val="2"/>
      </rPr>
      <t xml:space="preserve"> )</t>
    </r>
    <phoneticPr fontId="9"/>
  </si>
  <si>
    <t>デニム生地　先染め　短繊維</t>
    <rPh sb="2" eb="4">
      <t>キジ</t>
    </rPh>
    <rPh sb="5" eb="7">
      <t>サキゾ</t>
    </rPh>
    <rPh sb="9" eb="12">
      <t>タンセンイ</t>
    </rPh>
    <phoneticPr fontId="9"/>
  </si>
  <si>
    <t>ツイル生地 後染め　短繊維</t>
    <rPh sb="1" eb="3">
      <t>キジ</t>
    </rPh>
    <rPh sb="6" eb="7">
      <t>アト</t>
    </rPh>
    <rPh sb="7" eb="8">
      <t>ゾ</t>
    </rPh>
    <rPh sb="10" eb="13">
      <t>タンセンイ</t>
    </rPh>
    <phoneticPr fontId="9"/>
  </si>
  <si>
    <r>
      <rPr>
        <b/>
        <sz val="10"/>
        <color rgb="FFFF0000"/>
        <rFont val="Yu Gothic"/>
        <family val="2"/>
        <charset val="128"/>
      </rPr>
      <t>後染め　長繊維　</t>
    </r>
    <phoneticPr fontId="9"/>
  </si>
  <si>
    <t>C/#BLACK</t>
    <phoneticPr fontId="39"/>
  </si>
  <si>
    <t>FRONT COTTON 100% LINING COTTON 100%</t>
    <phoneticPr fontId="9"/>
  </si>
  <si>
    <t>PANTS SAMPLE</t>
    <phoneticPr fontId="9"/>
  </si>
  <si>
    <t>C/#BLACK</t>
    <phoneticPr fontId="9"/>
  </si>
  <si>
    <t xml:space="preserve">PANTS SASMPLE </t>
    <phoneticPr fontId="39"/>
  </si>
  <si>
    <t>CORDUROY PANTS(SAMPLE)</t>
    <phoneticPr fontId="9"/>
  </si>
  <si>
    <t>KAMEI PANTS(SAMPLE)</t>
    <phoneticPr fontId="9"/>
  </si>
  <si>
    <r>
      <t>FRONT COTTON</t>
    </r>
    <r>
      <rPr>
        <sz val="18"/>
        <rFont val="游ゴシック"/>
        <family val="1"/>
        <charset val="128"/>
      </rPr>
      <t xml:space="preserve"> </t>
    </r>
    <r>
      <rPr>
        <sz val="18"/>
        <rFont val="新細明體"/>
        <family val="1"/>
      </rPr>
      <t>60% 　　POLYESTER40%
LINING COTTON 100%</t>
    </r>
    <phoneticPr fontId="9"/>
  </si>
  <si>
    <r>
      <t xml:space="preserve">NYLON 100%
</t>
    </r>
    <r>
      <rPr>
        <sz val="14"/>
        <rFont val="新細明體"/>
        <family val="1"/>
      </rPr>
      <t>LINING</t>
    </r>
    <r>
      <rPr>
        <sz val="14"/>
        <rFont val="游ゴシック"/>
        <family val="1"/>
        <charset val="128"/>
      </rPr>
      <t xml:space="preserve"> POLYESTER100%</t>
    </r>
    <phoneticPr fontId="9"/>
  </si>
  <si>
    <r>
      <t>No</t>
    </r>
    <r>
      <rPr>
        <b/>
        <sz val="26"/>
        <rFont val="游ゴシック"/>
        <family val="3"/>
        <charset val="128"/>
      </rPr>
      <t>.</t>
    </r>
    <r>
      <rPr>
        <b/>
        <sz val="26"/>
        <rFont val="新細明體"/>
      </rPr>
      <t>6</t>
    </r>
    <phoneticPr fontId="9"/>
  </si>
  <si>
    <r>
      <t>No.</t>
    </r>
    <r>
      <rPr>
        <b/>
        <sz val="26"/>
        <rFont val="游ゴシック"/>
        <family val="1"/>
        <charset val="128"/>
      </rPr>
      <t>7</t>
    </r>
    <phoneticPr fontId="9"/>
  </si>
  <si>
    <t xml:space="preserve">KAMEI COACH JACKET(SAMPLE）
</t>
    <phoneticPr fontId="9"/>
  </si>
  <si>
    <t>C/#BEIGE</t>
    <phoneticPr fontId="9"/>
  </si>
  <si>
    <t>JACKET SAMPLE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</si>
</sst>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26" formatCode="\$#,##0.00_);[Red]\(\$#,##0.00\)"/>
    <numFmt numFmtId="176" formatCode="_(* #,##0_);_(* \(#,##0\);_(* &quot;-&quot;_);_(@_)"/>
    <numFmt numFmtId="177" formatCode="[$€-410]\ #,##0.00_);[Red]\([$€-410]\ #,##0.00\)"/>
    <numFmt numFmtId="178" formatCode="0_);[Red]\(0\)"/>
    <numFmt numFmtId="179" formatCode="[$€-410]\ #,##0.00;\-[$€-410]\ #,##0.00"/>
    <numFmt numFmtId="180" formatCode="&quot;¥&quot;#,##0_);\(&quot;¥&quot;#,##0\)"/>
    <numFmt numFmtId="181" formatCode="&quot;¥&quot;#,##0_);[Red]\(&quot;¥&quot;#,##0\)"/>
    <numFmt numFmtId="182" formatCode="#,##0.0"/>
    <numFmt numFmtId="183" formatCode="_(* #,##0.0_);_(* \(#,##0.0\);_(* &quot;-&quot;_);_(@_)"/>
    <numFmt numFmtId="184" formatCode="#,##0.0_);\(#,##0.0\)"/>
    <numFmt numFmtId="185" formatCode="m/d;@"/>
  </numFmts>
  <fonts count="72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sz val="12"/>
      <name val="Century Gothic"/>
      <family val="2"/>
    </font>
    <font>
      <b/>
      <u/>
      <sz val="1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sz val="22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b/>
      <i/>
      <sz val="9"/>
      <name val="Century Gothic"/>
      <family val="2"/>
    </font>
    <font>
      <sz val="16"/>
      <name val="Century Gothic"/>
      <family val="2"/>
    </font>
    <font>
      <b/>
      <u/>
      <sz val="11"/>
      <name val="Century Gothic"/>
      <family val="2"/>
    </font>
    <font>
      <b/>
      <i/>
      <sz val="10"/>
      <name val="Century Gothic"/>
      <family val="2"/>
    </font>
    <font>
      <i/>
      <sz val="10"/>
      <name val="Century Gothic"/>
      <family val="2"/>
    </font>
    <font>
      <b/>
      <sz val="20"/>
      <name val="Century Gothic"/>
      <family val="2"/>
    </font>
    <font>
      <u/>
      <sz val="10"/>
      <color indexed="12"/>
      <name val="Verdana"/>
      <family val="2"/>
    </font>
    <font>
      <sz val="28"/>
      <name val="新細明體"/>
      <family val="1"/>
    </font>
    <font>
      <b/>
      <i/>
      <sz val="20"/>
      <name val="Century Gothic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name val="ＭＳ　ゴシック"/>
      <family val="3"/>
      <charset val="128"/>
    </font>
    <font>
      <b/>
      <sz val="12"/>
      <name val="Century Gothic"/>
      <family val="2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sz val="28"/>
      <name val="ＭＳ Ｐゴシック"/>
      <family val="3"/>
      <charset val="128"/>
      <scheme val="minor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u/>
      <sz val="10"/>
      <color theme="3"/>
      <name val="Century Gothic"/>
      <family val="2"/>
    </font>
    <font>
      <sz val="10"/>
      <name val="新細明體"/>
      <family val="1"/>
    </font>
    <font>
      <b/>
      <sz val="14"/>
      <name val="Century Gothic"/>
      <family val="2"/>
    </font>
    <font>
      <sz val="12"/>
      <name val="游ゴシック"/>
      <family val="1"/>
      <charset val="128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b/>
      <sz val="8"/>
      <name val="ＭＳ Ｐゴシック"/>
      <family val="3"/>
      <charset val="128"/>
    </font>
    <font>
      <u/>
      <sz val="10"/>
      <name val="Century Gothic"/>
      <family val="2"/>
    </font>
    <font>
      <b/>
      <sz val="10"/>
      <color theme="1"/>
      <name val="ＭＳ Ｐゴシック"/>
      <family val="3"/>
      <charset val="128"/>
    </font>
    <font>
      <b/>
      <sz val="12"/>
      <name val="新細明體"/>
    </font>
    <font>
      <b/>
      <sz val="12"/>
      <name val="新細明體"/>
      <family val="1"/>
    </font>
    <font>
      <b/>
      <sz val="12"/>
      <name val="Yu Gothic"/>
      <family val="2"/>
      <charset val="128"/>
    </font>
    <font>
      <b/>
      <sz val="11"/>
      <name val="Yu Gothic"/>
      <family val="2"/>
      <charset val="128"/>
    </font>
    <font>
      <b/>
      <sz val="10"/>
      <name val="ＭＳ Ｐゴシック"/>
      <family val="3"/>
      <charset val="128"/>
      <scheme val="minor"/>
    </font>
    <font>
      <b/>
      <sz val="10"/>
      <name val="ＭＳ ゴシック"/>
      <family val="3"/>
      <charset val="128"/>
    </font>
    <font>
      <b/>
      <sz val="10"/>
      <name val="Century Gothic"/>
      <family val="3"/>
      <charset val="128"/>
    </font>
    <font>
      <sz val="10"/>
      <color rgb="FF222222"/>
      <name val="Century Gothic"/>
      <family val="2"/>
    </font>
    <font>
      <b/>
      <sz val="10"/>
      <name val="Yu Gothic"/>
      <family val="2"/>
      <charset val="128"/>
    </font>
    <font>
      <b/>
      <sz val="10"/>
      <name val="Segoe UI Symbol"/>
      <family val="2"/>
    </font>
    <font>
      <b/>
      <sz val="10"/>
      <color rgb="FFFF0000"/>
      <name val="Yu Gothic"/>
      <family val="2"/>
      <charset val="128"/>
    </font>
    <font>
      <b/>
      <sz val="9"/>
      <color rgb="FFFF0000"/>
      <name val="Yu Gothic"/>
      <family val="2"/>
      <charset val="128"/>
    </font>
    <font>
      <b/>
      <sz val="18"/>
      <name val="ＭＳ Ｐゴシック"/>
      <family val="3"/>
      <charset val="128"/>
      <scheme val="minor"/>
    </font>
    <font>
      <sz val="18"/>
      <name val="新細明體"/>
      <family val="1"/>
    </font>
    <font>
      <b/>
      <sz val="26"/>
      <name val="新細明體"/>
    </font>
    <font>
      <b/>
      <sz val="18"/>
      <name val="Century Gothic"/>
      <family val="2"/>
    </font>
    <font>
      <b/>
      <sz val="26"/>
      <name val="新細明體"/>
      <family val="1"/>
    </font>
    <font>
      <sz val="18"/>
      <name val="游ゴシック"/>
      <family val="1"/>
      <charset val="128"/>
    </font>
    <font>
      <sz val="14"/>
      <name val="新細明體"/>
      <family val="1"/>
    </font>
    <font>
      <sz val="14"/>
      <name val="游ゴシック"/>
      <family val="1"/>
      <charset val="128"/>
    </font>
    <font>
      <b/>
      <sz val="26"/>
      <name val="游ゴシック"/>
      <family val="3"/>
      <charset val="128"/>
    </font>
    <font>
      <b/>
      <sz val="26"/>
      <name val="游ゴシック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9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8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541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vertical="center" shrinkToFit="1"/>
    </xf>
    <xf numFmtId="0" fontId="7" fillId="0" borderId="0" xfId="0" applyFont="1">
      <alignment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49" fontId="11" fillId="0" borderId="0" xfId="0" applyNumberFormat="1" applyFont="1">
      <alignment vertical="center"/>
    </xf>
    <xf numFmtId="0" fontId="11" fillId="0" borderId="3" xfId="0" applyFont="1" applyBorder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4" xfId="0" applyFont="1" applyBorder="1">
      <alignment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8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0" xfId="0" quotePrefix="1" applyFont="1">
      <alignment vertical="center"/>
    </xf>
    <xf numFmtId="0" fontId="7" fillId="0" borderId="0" xfId="0" quotePrefix="1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9" fillId="0" borderId="0" xfId="0" applyFont="1">
      <alignment vertical="center"/>
    </xf>
    <xf numFmtId="0" fontId="7" fillId="0" borderId="3" xfId="0" applyFont="1" applyBorder="1">
      <alignment vertical="center"/>
    </xf>
    <xf numFmtId="0" fontId="18" fillId="0" borderId="0" xfId="0" applyFont="1">
      <alignment vertical="center"/>
    </xf>
    <xf numFmtId="0" fontId="13" fillId="0" borderId="6" xfId="0" applyFont="1" applyBorder="1">
      <alignment vertical="center"/>
    </xf>
    <xf numFmtId="0" fontId="18" fillId="0" borderId="7" xfId="0" applyFont="1" applyBorder="1">
      <alignment vertical="center"/>
    </xf>
    <xf numFmtId="0" fontId="18" fillId="0" borderId="6" xfId="0" applyFont="1" applyBorder="1">
      <alignment vertical="center"/>
    </xf>
    <xf numFmtId="0" fontId="13" fillId="0" borderId="8" xfId="0" applyFont="1" applyBorder="1">
      <alignment vertical="center"/>
    </xf>
    <xf numFmtId="0" fontId="18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3" fillId="0" borderId="1" xfId="0" applyFont="1" applyBorder="1">
      <alignment vertical="center"/>
    </xf>
    <xf numFmtId="0" fontId="13" fillId="0" borderId="9" xfId="0" applyFont="1" applyBorder="1">
      <alignment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6" fillId="0" borderId="0" xfId="0" applyFont="1">
      <alignment vertical="center"/>
    </xf>
    <xf numFmtId="0" fontId="17" fillId="0" borderId="0" xfId="0" applyFont="1" applyAlignment="1">
      <alignment horizontal="right"/>
    </xf>
    <xf numFmtId="0" fontId="7" fillId="0" borderId="0" xfId="0" applyFont="1" applyAlignment="1">
      <alignment horizontal="right" vertical="center"/>
    </xf>
    <xf numFmtId="0" fontId="7" fillId="0" borderId="8" xfId="0" applyFont="1" applyBorder="1">
      <alignment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Alignment="1">
      <alignment horizontal="right"/>
    </xf>
    <xf numFmtId="49" fontId="13" fillId="0" borderId="0" xfId="0" applyNumberFormat="1" applyFont="1" applyAlignment="1">
      <alignment horizontal="right"/>
    </xf>
    <xf numFmtId="0" fontId="20" fillId="0" borderId="0" xfId="0" applyFont="1">
      <alignment vertical="center"/>
    </xf>
    <xf numFmtId="0" fontId="20" fillId="0" borderId="1" xfId="0" applyFont="1" applyBorder="1" applyAlignment="1">
      <alignment horizontal="left"/>
    </xf>
    <xf numFmtId="49" fontId="13" fillId="0" borderId="1" xfId="0" applyNumberFormat="1" applyFont="1" applyBorder="1" applyAlignment="1">
      <alignment horizontal="right"/>
    </xf>
    <xf numFmtId="49" fontId="13" fillId="0" borderId="0" xfId="0" applyNumberFormat="1" applyFont="1">
      <alignment vertical="center"/>
    </xf>
    <xf numFmtId="0" fontId="21" fillId="0" borderId="11" xfId="0" applyFont="1" applyBorder="1" applyAlignment="1">
      <alignment horizontal="center" vertical="center"/>
    </xf>
    <xf numFmtId="0" fontId="21" fillId="0" borderId="11" xfId="0" applyFont="1" applyBorder="1">
      <alignment vertical="center"/>
    </xf>
    <xf numFmtId="0" fontId="21" fillId="0" borderId="12" xfId="0" applyFont="1" applyBorder="1" applyAlignment="1">
      <alignment horizontal="center" vertical="center"/>
    </xf>
    <xf numFmtId="0" fontId="22" fillId="0" borderId="0" xfId="0" applyFont="1">
      <alignment vertical="center"/>
    </xf>
    <xf numFmtId="179" fontId="7" fillId="0" borderId="0" xfId="0" applyNumberFormat="1" applyFont="1">
      <alignment vertical="center"/>
    </xf>
    <xf numFmtId="26" fontId="7" fillId="0" borderId="0" xfId="0" applyNumberFormat="1" applyFont="1">
      <alignment vertical="center"/>
    </xf>
    <xf numFmtId="0" fontId="7" fillId="0" borderId="0" xfId="0" applyFont="1" applyAlignment="1">
      <alignment horizontal="left"/>
    </xf>
    <xf numFmtId="0" fontId="21" fillId="0" borderId="13" xfId="0" applyFont="1" applyBorder="1" applyAlignment="1">
      <alignment horizontal="center" vertical="center"/>
    </xf>
    <xf numFmtId="0" fontId="13" fillId="0" borderId="14" xfId="0" applyFont="1" applyBorder="1">
      <alignment vertical="center"/>
    </xf>
    <xf numFmtId="0" fontId="12" fillId="0" borderId="10" xfId="0" applyFont="1" applyBorder="1" applyAlignment="1">
      <alignment horizontal="center" vertical="center"/>
    </xf>
    <xf numFmtId="0" fontId="23" fillId="0" borderId="0" xfId="0" applyFont="1">
      <alignment vertical="center"/>
    </xf>
    <xf numFmtId="49" fontId="7" fillId="0" borderId="2" xfId="0" applyNumberFormat="1" applyFont="1" applyBorder="1">
      <alignment vertical="center"/>
    </xf>
    <xf numFmtId="49" fontId="7" fillId="0" borderId="1" xfId="0" applyNumberFormat="1" applyFont="1" applyBorder="1">
      <alignment vertical="center"/>
    </xf>
    <xf numFmtId="49" fontId="7" fillId="0" borderId="9" xfId="0" applyNumberFormat="1" applyFont="1" applyBorder="1">
      <alignment vertical="center"/>
    </xf>
    <xf numFmtId="0" fontId="13" fillId="0" borderId="2" xfId="0" applyFont="1" applyBorder="1">
      <alignment vertical="center"/>
    </xf>
    <xf numFmtId="0" fontId="12" fillId="0" borderId="0" xfId="0" applyFont="1">
      <alignment vertical="center"/>
    </xf>
    <xf numFmtId="49" fontId="7" fillId="0" borderId="0" xfId="0" applyNumberFormat="1" applyFont="1" applyAlignment="1">
      <alignment horizontal="left" vertical="center" shrinkToFit="1"/>
    </xf>
    <xf numFmtId="49" fontId="12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7" fillId="2" borderId="0" xfId="0" applyFont="1" applyFill="1" applyAlignment="1">
      <alignment horizontal="left" vertical="center"/>
    </xf>
    <xf numFmtId="0" fontId="7" fillId="0" borderId="15" xfId="0" applyFont="1" applyBorder="1">
      <alignment vertical="center"/>
    </xf>
    <xf numFmtId="0" fontId="18" fillId="0" borderId="8" xfId="0" applyFont="1" applyBorder="1">
      <alignment vertical="center"/>
    </xf>
    <xf numFmtId="26" fontId="12" fillId="0" borderId="8" xfId="0" applyNumberFormat="1" applyFont="1" applyBorder="1" applyAlignment="1">
      <alignment horizontal="left" vertical="center"/>
    </xf>
    <xf numFmtId="0" fontId="35" fillId="0" borderId="0" xfId="0" applyFont="1" applyAlignment="1">
      <alignment vertical="center" shrinkToFit="1"/>
    </xf>
    <xf numFmtId="49" fontId="7" fillId="0" borderId="0" xfId="0" applyNumberFormat="1" applyFont="1" applyAlignment="1">
      <alignment vertical="center" shrinkToFit="1"/>
    </xf>
    <xf numFmtId="0" fontId="24" fillId="0" borderId="0" xfId="1" applyNumberFormat="1" applyFont="1" applyFill="1" applyBorder="1" applyAlignment="1" applyProtection="1"/>
    <xf numFmtId="26" fontId="7" fillId="0" borderId="0" xfId="0" applyNumberFormat="1" applyFont="1" applyAlignment="1">
      <alignment horizontal="left" vertical="center" shrinkToFit="1"/>
    </xf>
    <xf numFmtId="181" fontId="7" fillId="0" borderId="0" xfId="0" applyNumberFormat="1" applyFont="1" applyAlignment="1">
      <alignment horizontal="left" vertical="center" shrinkToFit="1"/>
    </xf>
    <xf numFmtId="0" fontId="12" fillId="0" borderId="0" xfId="0" applyFont="1" applyAlignment="1">
      <alignment vertical="center" shrinkToFit="1"/>
    </xf>
    <xf numFmtId="0" fontId="36" fillId="0" borderId="0" xfId="0" applyFont="1">
      <alignment vertical="center"/>
    </xf>
    <xf numFmtId="0" fontId="25" fillId="0" borderId="0" xfId="0" applyFont="1">
      <alignment vertical="center"/>
    </xf>
    <xf numFmtId="0" fontId="36" fillId="0" borderId="0" xfId="0" applyFont="1" applyAlignment="1">
      <alignment horizontal="left" vertical="center"/>
    </xf>
    <xf numFmtId="0" fontId="36" fillId="0" borderId="16" xfId="0" applyFont="1" applyBorder="1">
      <alignment vertical="center"/>
    </xf>
    <xf numFmtId="0" fontId="36" fillId="0" borderId="17" xfId="0" applyFont="1" applyBorder="1">
      <alignment vertical="center"/>
    </xf>
    <xf numFmtId="0" fontId="36" fillId="0" borderId="18" xfId="0" applyFont="1" applyBorder="1">
      <alignment vertical="center"/>
    </xf>
    <xf numFmtId="0" fontId="26" fillId="0" borderId="0" xfId="0" applyFont="1">
      <alignment vertical="center"/>
    </xf>
    <xf numFmtId="0" fontId="7" fillId="0" borderId="10" xfId="0" applyFont="1" applyBorder="1" applyAlignment="1">
      <alignment horizontal="center" vertical="center"/>
    </xf>
    <xf numFmtId="0" fontId="37" fillId="0" borderId="0" xfId="0" applyFont="1" applyAlignment="1">
      <alignment vertical="center" shrinkToFit="1"/>
    </xf>
    <xf numFmtId="0" fontId="17" fillId="0" borderId="0" xfId="0" applyFont="1">
      <alignment vertical="center"/>
    </xf>
    <xf numFmtId="0" fontId="38" fillId="0" borderId="0" xfId="0" applyFont="1" applyAlignment="1">
      <alignment horizontal="left" vertical="center"/>
    </xf>
    <xf numFmtId="182" fontId="7" fillId="0" borderId="0" xfId="0" applyNumberFormat="1" applyFont="1" applyAlignment="1">
      <alignment horizontal="left" vertical="center" shrinkToFit="1"/>
    </xf>
    <xf numFmtId="0" fontId="0" fillId="0" borderId="0" xfId="0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49" fontId="7" fillId="0" borderId="0" xfId="0" applyNumberFormat="1" applyFont="1" applyAlignment="1">
      <alignment horizontal="right" vertical="center"/>
    </xf>
    <xf numFmtId="0" fontId="7" fillId="0" borderId="25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7" fillId="0" borderId="26" xfId="0" applyFont="1" applyBorder="1">
      <alignment vertical="center"/>
    </xf>
    <xf numFmtId="0" fontId="7" fillId="0" borderId="21" xfId="0" applyFont="1" applyBorder="1" applyAlignment="1">
      <alignment horizontal="center" vertical="center"/>
    </xf>
    <xf numFmtId="0" fontId="7" fillId="0" borderId="21" xfId="0" applyFont="1" applyBorder="1">
      <alignment vertical="center"/>
    </xf>
    <xf numFmtId="0" fontId="12" fillId="0" borderId="2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3" xfId="0" applyFont="1" applyBorder="1" applyAlignment="1">
      <alignment horizontal="right" vertical="center"/>
    </xf>
    <xf numFmtId="0" fontId="7" fillId="0" borderId="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49" fontId="30" fillId="0" borderId="0" xfId="0" applyNumberFormat="1" applyFont="1">
      <alignment vertical="center"/>
    </xf>
    <xf numFmtId="0" fontId="12" fillId="0" borderId="21" xfId="0" applyFont="1" applyBorder="1">
      <alignment vertical="center"/>
    </xf>
    <xf numFmtId="26" fontId="12" fillId="0" borderId="21" xfId="0" applyNumberFormat="1" applyFont="1" applyBorder="1">
      <alignment vertical="center"/>
    </xf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180" fontId="7" fillId="0" borderId="21" xfId="0" applyNumberFormat="1" applyFont="1" applyBorder="1">
      <alignment vertical="center"/>
    </xf>
    <xf numFmtId="182" fontId="7" fillId="0" borderId="21" xfId="0" applyNumberFormat="1" applyFont="1" applyBorder="1" applyAlignment="1">
      <alignment vertical="center" shrinkToFit="1"/>
    </xf>
    <xf numFmtId="0" fontId="7" fillId="0" borderId="19" xfId="0" applyFont="1" applyBorder="1">
      <alignment vertical="center"/>
    </xf>
    <xf numFmtId="0" fontId="7" fillId="0" borderId="31" xfId="0" applyFont="1" applyBorder="1">
      <alignment vertical="center"/>
    </xf>
    <xf numFmtId="0" fontId="7" fillId="0" borderId="29" xfId="0" applyFont="1" applyBorder="1">
      <alignment vertical="center"/>
    </xf>
    <xf numFmtId="0" fontId="7" fillId="0" borderId="29" xfId="0" applyFont="1" applyBorder="1" applyAlignment="1">
      <alignment horizontal="center" vertical="center"/>
    </xf>
    <xf numFmtId="0" fontId="7" fillId="0" borderId="29" xfId="0" applyFont="1" applyBorder="1" applyAlignment="1">
      <alignment horizontal="right" vertical="center"/>
    </xf>
    <xf numFmtId="0" fontId="7" fillId="0" borderId="32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80" fontId="7" fillId="0" borderId="19" xfId="0" applyNumberFormat="1" applyFont="1" applyBorder="1">
      <alignment vertical="center"/>
    </xf>
    <xf numFmtId="0" fontId="7" fillId="0" borderId="22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182" fontId="7" fillId="0" borderId="23" xfId="0" applyNumberFormat="1" applyFont="1" applyBorder="1" applyAlignment="1">
      <alignment vertical="center" shrinkToFit="1"/>
    </xf>
    <xf numFmtId="0" fontId="7" fillId="0" borderId="26" xfId="0" applyFont="1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7" fillId="0" borderId="23" xfId="0" applyFont="1" applyBorder="1" applyAlignment="1">
      <alignment horizontal="left" vertical="center"/>
    </xf>
    <xf numFmtId="182" fontId="7" fillId="0" borderId="10" xfId="0" applyNumberFormat="1" applyFont="1" applyBorder="1" applyAlignment="1">
      <alignment horizontal="center" vertical="center" shrinkToFit="1"/>
    </xf>
    <xf numFmtId="182" fontId="7" fillId="0" borderId="10" xfId="0" applyNumberFormat="1" applyFont="1" applyBorder="1" applyAlignment="1">
      <alignment vertical="center" shrinkToFit="1"/>
    </xf>
    <xf numFmtId="0" fontId="0" fillId="0" borderId="19" xfId="0" applyBorder="1">
      <alignment vertical="center"/>
    </xf>
    <xf numFmtId="0" fontId="21" fillId="0" borderId="34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80" fontId="7" fillId="0" borderId="23" xfId="0" applyNumberFormat="1" applyFont="1" applyBorder="1" applyAlignment="1">
      <alignment horizontal="right" vertical="center"/>
    </xf>
    <xf numFmtId="180" fontId="7" fillId="0" borderId="10" xfId="0" applyNumberFormat="1" applyFont="1" applyBorder="1" applyAlignment="1">
      <alignment horizontal="right" vertical="center"/>
    </xf>
    <xf numFmtId="0" fontId="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right" vertical="center"/>
    </xf>
    <xf numFmtId="0" fontId="7" fillId="0" borderId="3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 wrapText="1"/>
    </xf>
    <xf numFmtId="0" fontId="31" fillId="0" borderId="35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left" vertical="center"/>
    </xf>
    <xf numFmtId="49" fontId="37" fillId="0" borderId="21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49" fontId="42" fillId="0" borderId="3" xfId="0" applyNumberFormat="1" applyFont="1" applyBorder="1" applyAlignment="1">
      <alignment horizontal="center" vertical="center"/>
    </xf>
    <xf numFmtId="0" fontId="43" fillId="0" borderId="0" xfId="0" applyFont="1">
      <alignment vertical="center"/>
    </xf>
    <xf numFmtId="0" fontId="7" fillId="0" borderId="21" xfId="0" applyFont="1" applyBorder="1" applyAlignment="1">
      <alignment horizontal="center"/>
    </xf>
    <xf numFmtId="0" fontId="6" fillId="0" borderId="21" xfId="0" applyFont="1" applyBorder="1">
      <alignment vertical="center"/>
    </xf>
    <xf numFmtId="0" fontId="6" fillId="0" borderId="21" xfId="0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37" fillId="0" borderId="0" xfId="0" applyNumberFormat="1" applyFont="1">
      <alignment vertical="center"/>
    </xf>
    <xf numFmtId="0" fontId="21" fillId="0" borderId="41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40" fillId="0" borderId="21" xfId="0" applyFont="1" applyBorder="1">
      <alignment vertical="center"/>
    </xf>
    <xf numFmtId="0" fontId="7" fillId="0" borderId="21" xfId="0" applyFont="1" applyBorder="1" applyAlignment="1">
      <alignment horizontal="left" vertical="center"/>
    </xf>
    <xf numFmtId="176" fontId="7" fillId="0" borderId="21" xfId="2" applyFont="1" applyFill="1" applyBorder="1" applyAlignment="1">
      <alignment horizontal="right" vertical="center"/>
    </xf>
    <xf numFmtId="1" fontId="7" fillId="0" borderId="21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vertical="center" shrinkToFit="1"/>
    </xf>
    <xf numFmtId="0" fontId="7" fillId="4" borderId="21" xfId="0" applyFont="1" applyFill="1" applyBorder="1">
      <alignment vertical="center"/>
    </xf>
    <xf numFmtId="180" fontId="7" fillId="0" borderId="21" xfId="0" applyNumberFormat="1" applyFont="1" applyBorder="1" applyAlignment="1">
      <alignment horizontal="right" vertical="center"/>
    </xf>
    <xf numFmtId="0" fontId="7" fillId="0" borderId="21" xfId="0" applyFont="1" applyBorder="1" applyAlignment="1">
      <alignment horizontal="right" vertical="center"/>
    </xf>
    <xf numFmtId="0" fontId="7" fillId="0" borderId="19" xfId="0" applyFont="1" applyBorder="1" applyAlignment="1"/>
    <xf numFmtId="176" fontId="7" fillId="0" borderId="19" xfId="2" applyFont="1" applyFill="1" applyBorder="1" applyAlignment="1">
      <alignment horizontal="right" vertical="center"/>
    </xf>
    <xf numFmtId="1" fontId="7" fillId="0" borderId="19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horizontal="right" vertical="center"/>
    </xf>
    <xf numFmtId="178" fontId="7" fillId="4" borderId="23" xfId="0" applyNumberFormat="1" applyFont="1" applyFill="1" applyBorder="1">
      <alignment vertical="center"/>
    </xf>
    <xf numFmtId="182" fontId="7" fillId="0" borderId="39" xfId="0" applyNumberFormat="1" applyFont="1" applyBorder="1" applyAlignment="1">
      <alignment vertical="center" shrinkToFit="1"/>
    </xf>
    <xf numFmtId="49" fontId="0" fillId="0" borderId="0" xfId="0" applyNumberFormat="1" applyAlignment="1">
      <alignment horizontal="left" vertical="center"/>
    </xf>
    <xf numFmtId="49" fontId="42" fillId="0" borderId="3" xfId="0" applyNumberFormat="1" applyFont="1" applyBorder="1" applyAlignment="1">
      <alignment horizontal="left" vertical="center"/>
    </xf>
    <xf numFmtId="49" fontId="21" fillId="0" borderId="41" xfId="0" applyNumberFormat="1" applyFont="1" applyBorder="1" applyAlignment="1">
      <alignment horizontal="left" vertical="center"/>
    </xf>
    <xf numFmtId="49" fontId="12" fillId="0" borderId="21" xfId="0" applyNumberFormat="1" applyFont="1" applyBorder="1" applyAlignment="1">
      <alignment horizontal="left" vertical="center"/>
    </xf>
    <xf numFmtId="180" fontId="7" fillId="0" borderId="10" xfId="0" applyNumberFormat="1" applyFont="1" applyBorder="1">
      <alignment vertical="center"/>
    </xf>
    <xf numFmtId="0" fontId="16" fillId="0" borderId="21" xfId="0" applyFont="1" applyBorder="1" applyAlignment="1">
      <alignment vertical="center" wrapText="1"/>
    </xf>
    <xf numFmtId="0" fontId="37" fillId="5" borderId="10" xfId="0" applyFont="1" applyFill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10" fillId="0" borderId="13" xfId="0" applyFont="1" applyBorder="1">
      <alignment vertical="center"/>
    </xf>
    <xf numFmtId="0" fontId="37" fillId="5" borderId="44" xfId="0" applyFont="1" applyFill="1" applyBorder="1" applyAlignment="1">
      <alignment horizontal="center"/>
    </xf>
    <xf numFmtId="0" fontId="0" fillId="0" borderId="28" xfId="0" applyBorder="1">
      <alignment vertical="center"/>
    </xf>
    <xf numFmtId="0" fontId="37" fillId="5" borderId="45" xfId="0" applyFont="1" applyFill="1" applyBorder="1" applyAlignment="1">
      <alignment horizontal="center"/>
    </xf>
    <xf numFmtId="0" fontId="0" fillId="0" borderId="9" xfId="0" applyBorder="1">
      <alignment vertical="center"/>
    </xf>
    <xf numFmtId="0" fontId="0" fillId="0" borderId="15" xfId="0" applyBorder="1">
      <alignment vertical="center"/>
    </xf>
    <xf numFmtId="0" fontId="37" fillId="0" borderId="42" xfId="0" quotePrefix="1" applyFont="1" applyBorder="1" applyAlignment="1">
      <alignment horizontal="center"/>
    </xf>
    <xf numFmtId="0" fontId="41" fillId="0" borderId="23" xfId="0" applyFont="1" applyBorder="1">
      <alignment vertical="center"/>
    </xf>
    <xf numFmtId="0" fontId="0" fillId="0" borderId="46" xfId="0" applyBorder="1">
      <alignment vertical="center"/>
    </xf>
    <xf numFmtId="0" fontId="7" fillId="0" borderId="14" xfId="0" applyFont="1" applyBorder="1" applyAlignment="1">
      <alignment horizontal="center"/>
    </xf>
    <xf numFmtId="49" fontId="7" fillId="0" borderId="14" xfId="0" applyNumberFormat="1" applyFont="1" applyBorder="1" applyAlignment="1">
      <alignment horizontal="left" vertical="center"/>
    </xf>
    <xf numFmtId="0" fontId="12" fillId="0" borderId="14" xfId="0" applyFont="1" applyBorder="1" applyAlignment="1">
      <alignment horizontal="center" vertical="center"/>
    </xf>
    <xf numFmtId="0" fontId="12" fillId="0" borderId="14" xfId="0" applyFont="1" applyBorder="1">
      <alignment vertical="center"/>
    </xf>
    <xf numFmtId="26" fontId="12" fillId="0" borderId="14" xfId="0" applyNumberFormat="1" applyFont="1" applyBorder="1">
      <alignment vertical="center"/>
    </xf>
    <xf numFmtId="0" fontId="10" fillId="0" borderId="47" xfId="0" applyFont="1" applyBorder="1">
      <alignment vertical="center"/>
    </xf>
    <xf numFmtId="0" fontId="7" fillId="0" borderId="48" xfId="0" applyFont="1" applyBorder="1" applyAlignment="1">
      <alignment horizontal="center" vertical="center"/>
    </xf>
    <xf numFmtId="0" fontId="7" fillId="0" borderId="13" xfId="0" applyFont="1" applyBorder="1" applyAlignment="1">
      <alignment horizontal="right" vertical="center"/>
    </xf>
    <xf numFmtId="0" fontId="12" fillId="0" borderId="13" xfId="0" applyFont="1" applyBorder="1" applyAlignment="1">
      <alignment horizontal="center" vertical="center"/>
    </xf>
    <xf numFmtId="182" fontId="7" fillId="0" borderId="23" xfId="0" applyNumberFormat="1" applyFont="1" applyBorder="1" applyAlignment="1">
      <alignment horizontal="right" vertical="center"/>
    </xf>
    <xf numFmtId="180" fontId="7" fillId="0" borderId="23" xfId="0" applyNumberFormat="1" applyFont="1" applyBorder="1" applyAlignment="1">
      <alignment horizontal="center" vertical="center"/>
    </xf>
    <xf numFmtId="182" fontId="7" fillId="0" borderId="21" xfId="0" applyNumberFormat="1" applyFont="1" applyBorder="1" applyAlignment="1">
      <alignment horizontal="center" vertical="center" shrinkToFit="1"/>
    </xf>
    <xf numFmtId="0" fontId="21" fillId="0" borderId="7" xfId="0" applyFont="1" applyBorder="1" applyAlignment="1">
      <alignment horizontal="center" vertical="center"/>
    </xf>
    <xf numFmtId="180" fontId="7" fillId="0" borderId="21" xfId="0" applyNumberFormat="1" applyFont="1" applyBorder="1" applyAlignment="1">
      <alignment horizontal="right" vertical="center" shrinkToFit="1"/>
    </xf>
    <xf numFmtId="0" fontId="21" fillId="0" borderId="49" xfId="0" applyFont="1" applyBorder="1" applyAlignment="1">
      <alignment horizontal="center"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1" fontId="7" fillId="0" borderId="24" xfId="0" applyNumberFormat="1" applyFont="1" applyBorder="1" applyAlignment="1">
      <alignment horizontal="center" vertical="center"/>
    </xf>
    <xf numFmtId="0" fontId="31" fillId="0" borderId="54" xfId="0" applyFont="1" applyBorder="1" applyAlignment="1">
      <alignment horizontal="center" vertical="center"/>
    </xf>
    <xf numFmtId="0" fontId="37" fillId="3" borderId="8" xfId="0" applyFont="1" applyFill="1" applyBorder="1" applyAlignment="1">
      <alignment horizontal="left" vertical="center"/>
    </xf>
    <xf numFmtId="0" fontId="37" fillId="5" borderId="0" xfId="0" applyFont="1" applyFill="1" applyAlignment="1">
      <alignment horizontal="center"/>
    </xf>
    <xf numFmtId="182" fontId="7" fillId="0" borderId="0" xfId="0" applyNumberFormat="1" applyFont="1" applyAlignment="1">
      <alignment vertical="center" shrinkToFit="1"/>
    </xf>
    <xf numFmtId="182" fontId="7" fillId="0" borderId="0" xfId="0" applyNumberFormat="1" applyFont="1" applyAlignment="1">
      <alignment horizontal="center" vertical="center" shrinkToFit="1"/>
    </xf>
    <xf numFmtId="1" fontId="7" fillId="0" borderId="0" xfId="0" applyNumberFormat="1" applyFont="1" applyAlignment="1">
      <alignment horizontal="center" vertical="center"/>
    </xf>
    <xf numFmtId="0" fontId="7" fillId="0" borderId="24" xfId="0" applyFont="1" applyBorder="1" applyAlignment="1">
      <alignment horizontal="left" vertical="center"/>
    </xf>
    <xf numFmtId="0" fontId="7" fillId="0" borderId="24" xfId="0" applyFont="1" applyBorder="1" applyAlignment="1">
      <alignment horizontal="center"/>
    </xf>
    <xf numFmtId="0" fontId="37" fillId="0" borderId="24" xfId="0" applyFont="1" applyBorder="1" applyAlignment="1">
      <alignment horizontal="left" vertical="center"/>
    </xf>
    <xf numFmtId="49" fontId="7" fillId="0" borderId="43" xfId="0" applyNumberFormat="1" applyFont="1" applyBorder="1" applyAlignment="1">
      <alignment horizontal="center" vertical="center"/>
    </xf>
    <xf numFmtId="49" fontId="0" fillId="0" borderId="10" xfId="0" applyNumberFormat="1" applyBorder="1">
      <alignment vertical="center"/>
    </xf>
    <xf numFmtId="49" fontId="7" fillId="4" borderId="23" xfId="0" applyNumberFormat="1" applyFont="1" applyFill="1" applyBorder="1" applyAlignment="1">
      <alignment horizontal="center" vertical="center"/>
    </xf>
    <xf numFmtId="49" fontId="7" fillId="0" borderId="19" xfId="0" applyNumberFormat="1" applyFont="1" applyBorder="1">
      <alignment vertical="center"/>
    </xf>
    <xf numFmtId="49" fontId="7" fillId="0" borderId="21" xfId="0" applyNumberFormat="1" applyFont="1" applyBorder="1">
      <alignment vertical="center"/>
    </xf>
    <xf numFmtId="49" fontId="7" fillId="0" borderId="21" xfId="0" applyNumberFormat="1" applyFont="1" applyBorder="1" applyAlignment="1">
      <alignment horizontal="center" vertical="center"/>
    </xf>
    <xf numFmtId="49" fontId="37" fillId="0" borderId="0" xfId="0" applyNumberFormat="1" applyFont="1" applyAlignment="1">
      <alignment horizontal="left" vertical="center"/>
    </xf>
    <xf numFmtId="26" fontId="12" fillId="0" borderId="0" xfId="0" applyNumberFormat="1" applyFont="1" applyAlignment="1">
      <alignment horizontal="left" vertical="center"/>
    </xf>
    <xf numFmtId="0" fontId="35" fillId="0" borderId="10" xfId="0" applyFont="1" applyBorder="1" applyAlignment="1">
      <alignment horizontal="right" vertical="center"/>
    </xf>
    <xf numFmtId="177" fontId="35" fillId="0" borderId="10" xfId="0" applyNumberFormat="1" applyFont="1" applyBorder="1">
      <alignment vertical="center"/>
    </xf>
    <xf numFmtId="181" fontId="35" fillId="0" borderId="8" xfId="0" applyNumberFormat="1" applyFont="1" applyBorder="1">
      <alignment vertical="center"/>
    </xf>
    <xf numFmtId="184" fontId="35" fillId="0" borderId="10" xfId="2" applyNumberFormat="1" applyFont="1" applyFill="1" applyBorder="1" applyAlignment="1">
      <alignment horizontal="right" vertical="center"/>
    </xf>
    <xf numFmtId="0" fontId="35" fillId="0" borderId="10" xfId="2" applyNumberFormat="1" applyFont="1" applyFill="1" applyBorder="1" applyAlignment="1">
      <alignment horizontal="left" vertical="center"/>
    </xf>
    <xf numFmtId="180" fontId="35" fillId="0" borderId="8" xfId="2" applyNumberFormat="1" applyFont="1" applyFill="1" applyBorder="1" applyAlignment="1">
      <alignment horizontal="right" vertical="center"/>
    </xf>
    <xf numFmtId="176" fontId="35" fillId="0" borderId="10" xfId="2" applyFont="1" applyFill="1" applyBorder="1" applyAlignment="1">
      <alignment horizontal="right" vertical="center"/>
    </xf>
    <xf numFmtId="0" fontId="35" fillId="0" borderId="10" xfId="2" applyNumberFormat="1" applyFont="1" applyFill="1" applyBorder="1" applyAlignment="1">
      <alignment horizontal="right" vertical="center"/>
    </xf>
    <xf numFmtId="177" fontId="35" fillId="0" borderId="0" xfId="0" applyNumberFormat="1" applyFont="1" applyAlignment="1">
      <alignment horizontal="left"/>
    </xf>
    <xf numFmtId="181" fontId="35" fillId="0" borderId="8" xfId="2" applyNumberFormat="1" applyFont="1" applyFill="1" applyBorder="1" applyAlignment="1"/>
    <xf numFmtId="49" fontId="35" fillId="0" borderId="19" xfId="0" applyNumberFormat="1" applyFont="1" applyBorder="1" applyAlignment="1"/>
    <xf numFmtId="177" fontId="35" fillId="0" borderId="1" xfId="0" applyNumberFormat="1" applyFont="1" applyBorder="1" applyAlignment="1">
      <alignment horizontal="right"/>
    </xf>
    <xf numFmtId="181" fontId="35" fillId="0" borderId="2" xfId="2" applyNumberFormat="1" applyFont="1" applyFill="1" applyBorder="1" applyAlignment="1"/>
    <xf numFmtId="183" fontId="35" fillId="0" borderId="5" xfId="2" applyNumberFormat="1" applyFont="1" applyFill="1" applyBorder="1" applyAlignment="1">
      <alignment horizontal="left" vertical="center"/>
    </xf>
    <xf numFmtId="177" fontId="35" fillId="0" borderId="5" xfId="0" applyNumberFormat="1" applyFont="1" applyBorder="1" applyAlignment="1">
      <alignment horizontal="left" vertical="center"/>
    </xf>
    <xf numFmtId="181" fontId="35" fillId="0" borderId="5" xfId="0" applyNumberFormat="1" applyFont="1" applyBorder="1" applyAlignment="1">
      <alignment horizontal="right" vertical="center"/>
    </xf>
    <xf numFmtId="0" fontId="37" fillId="3" borderId="19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center" vertical="center"/>
    </xf>
    <xf numFmtId="49" fontId="7" fillId="5" borderId="0" xfId="0" applyNumberFormat="1" applyFont="1" applyFill="1" applyAlignment="1">
      <alignment horizontal="left" vertical="center"/>
    </xf>
    <xf numFmtId="0" fontId="7" fillId="5" borderId="0" xfId="0" applyFont="1" applyFill="1" applyAlignment="1">
      <alignment vertical="center" shrinkToFit="1"/>
    </xf>
    <xf numFmtId="0" fontId="45" fillId="5" borderId="44" xfId="0" applyFont="1" applyFill="1" applyBorder="1" applyAlignment="1">
      <alignment horizontal="center"/>
    </xf>
    <xf numFmtId="49" fontId="37" fillId="0" borderId="23" xfId="0" quotePrefix="1" applyNumberFormat="1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180" fontId="35" fillId="5" borderId="8" xfId="2" applyNumberFormat="1" applyFont="1" applyFill="1" applyBorder="1" applyAlignment="1">
      <alignment horizontal="right" vertical="center"/>
    </xf>
    <xf numFmtId="180" fontId="29" fillId="5" borderId="0" xfId="0" applyNumberFormat="1" applyFont="1" applyFill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85" fontId="7" fillId="0" borderId="28" xfId="0" applyNumberFormat="1" applyFont="1" applyBorder="1" applyAlignment="1">
      <alignment horizontal="center" vertical="center"/>
    </xf>
    <xf numFmtId="0" fontId="21" fillId="3" borderId="49" xfId="0" applyFont="1" applyFill="1" applyBorder="1" applyAlignment="1">
      <alignment horizontal="center" vertical="center"/>
    </xf>
    <xf numFmtId="0" fontId="12" fillId="0" borderId="44" xfId="0" applyFont="1" applyBorder="1" applyAlignment="1">
      <alignment horizontal="center"/>
    </xf>
    <xf numFmtId="0" fontId="7" fillId="0" borderId="55" xfId="0" applyFont="1" applyBorder="1" applyAlignment="1">
      <alignment horizontal="center"/>
    </xf>
    <xf numFmtId="49" fontId="37" fillId="0" borderId="14" xfId="0" applyNumberFormat="1" applyFont="1" applyBorder="1" applyAlignment="1">
      <alignment horizontal="left" vertical="center"/>
    </xf>
    <xf numFmtId="0" fontId="6" fillId="0" borderId="14" xfId="0" applyFont="1" applyBorder="1">
      <alignment vertical="center"/>
    </xf>
    <xf numFmtId="0" fontId="6" fillId="0" borderId="14" xfId="0" applyFont="1" applyBorder="1" applyAlignment="1">
      <alignment horizontal="center" vertical="center"/>
    </xf>
    <xf numFmtId="0" fontId="7" fillId="0" borderId="56" xfId="0" applyFont="1" applyBorder="1">
      <alignment vertical="center"/>
    </xf>
    <xf numFmtId="0" fontId="7" fillId="0" borderId="57" xfId="0" applyFont="1" applyBorder="1" applyAlignment="1">
      <alignment horizontal="center" vertical="center"/>
    </xf>
    <xf numFmtId="0" fontId="10" fillId="0" borderId="14" xfId="0" applyFont="1" applyBorder="1">
      <alignment vertical="center"/>
    </xf>
    <xf numFmtId="0" fontId="7" fillId="0" borderId="58" xfId="0" applyFont="1" applyBorder="1" applyAlignment="1">
      <alignment horizontal="center" vertical="center"/>
    </xf>
    <xf numFmtId="0" fontId="37" fillId="5" borderId="59" xfId="0" applyFont="1" applyFill="1" applyBorder="1" applyAlignment="1">
      <alignment horizontal="center"/>
    </xf>
    <xf numFmtId="0" fontId="41" fillId="0" borderId="14" xfId="0" applyFont="1" applyBorder="1">
      <alignment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left" vertical="center"/>
    </xf>
    <xf numFmtId="0" fontId="33" fillId="3" borderId="34" xfId="0" applyFont="1" applyFill="1" applyBorder="1" applyAlignment="1">
      <alignment horizontal="left" vertical="center"/>
    </xf>
    <xf numFmtId="0" fontId="7" fillId="3" borderId="34" xfId="0" applyFont="1" applyFill="1" applyBorder="1" applyAlignment="1">
      <alignment horizontal="center" vertical="center"/>
    </xf>
    <xf numFmtId="0" fontId="7" fillId="3" borderId="34" xfId="0" applyFont="1" applyFill="1" applyBorder="1">
      <alignment vertical="center"/>
    </xf>
    <xf numFmtId="0" fontId="10" fillId="0" borderId="21" xfId="0" applyFont="1" applyBorder="1">
      <alignment vertical="center"/>
    </xf>
    <xf numFmtId="0" fontId="7" fillId="0" borderId="61" xfId="0" applyFont="1" applyBorder="1" applyAlignment="1">
      <alignment horizontal="center"/>
    </xf>
    <xf numFmtId="0" fontId="41" fillId="0" borderId="21" xfId="0" applyFont="1" applyBorder="1">
      <alignment vertical="center"/>
    </xf>
    <xf numFmtId="0" fontId="7" fillId="0" borderId="62" xfId="0" applyFont="1" applyBorder="1" applyAlignment="1">
      <alignment horizontal="center"/>
    </xf>
    <xf numFmtId="0" fontId="7" fillId="0" borderId="14" xfId="0" applyFont="1" applyBorder="1">
      <alignment vertical="center"/>
    </xf>
    <xf numFmtId="0" fontId="0" fillId="0" borderId="14" xfId="0" applyBorder="1">
      <alignment vertical="center"/>
    </xf>
    <xf numFmtId="180" fontId="7" fillId="0" borderId="14" xfId="0" applyNumberFormat="1" applyFont="1" applyBorder="1" applyAlignment="1">
      <alignment horizontal="right" vertic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/>
    </xf>
    <xf numFmtId="180" fontId="7" fillId="0" borderId="23" xfId="0" applyNumberFormat="1" applyFont="1" applyBorder="1">
      <alignment vertical="center"/>
    </xf>
    <xf numFmtId="184" fontId="7" fillId="0" borderId="19" xfId="2" applyNumberFormat="1" applyFont="1" applyFill="1" applyBorder="1" applyAlignment="1">
      <alignment horizontal="right" vertical="center"/>
    </xf>
    <xf numFmtId="0" fontId="7" fillId="0" borderId="20" xfId="0" applyFont="1" applyBorder="1">
      <alignment vertical="center"/>
    </xf>
    <xf numFmtId="0" fontId="7" fillId="0" borderId="20" xfId="0" applyFont="1" applyBorder="1" applyAlignment="1">
      <alignment horizontal="center" vertical="center"/>
    </xf>
    <xf numFmtId="176" fontId="7" fillId="0" borderId="20" xfId="0" applyNumberFormat="1" applyFont="1" applyBorder="1" applyAlignment="1">
      <alignment horizontal="right" vertical="center"/>
    </xf>
    <xf numFmtId="0" fontId="7" fillId="0" borderId="34" xfId="0" applyFont="1" applyBorder="1" applyAlignment="1">
      <alignment horizontal="center" vertical="center"/>
    </xf>
    <xf numFmtId="180" fontId="7" fillId="0" borderId="20" xfId="0" applyNumberFormat="1" applyFont="1" applyBorder="1" applyAlignment="1">
      <alignment horizontal="right" vertical="center"/>
    </xf>
    <xf numFmtId="0" fontId="10" fillId="0" borderId="34" xfId="0" applyFont="1" applyBorder="1">
      <alignment vertical="center"/>
    </xf>
    <xf numFmtId="56" fontId="10" fillId="0" borderId="65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 shrinkToFit="1"/>
    </xf>
    <xf numFmtId="180" fontId="7" fillId="0" borderId="0" xfId="0" applyNumberFormat="1" applyFont="1" applyAlignment="1">
      <alignment horizontal="right" vertical="center" shrinkToFit="1"/>
    </xf>
    <xf numFmtId="180" fontId="7" fillId="0" borderId="0" xfId="0" applyNumberFormat="1" applyFont="1">
      <alignment vertical="center"/>
    </xf>
    <xf numFmtId="49" fontId="35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180" fontId="7" fillId="0" borderId="0" xfId="0" applyNumberFormat="1" applyFont="1" applyAlignment="1">
      <alignment horizontal="right" vertical="center"/>
    </xf>
    <xf numFmtId="0" fontId="41" fillId="0" borderId="0" xfId="0" applyFont="1">
      <alignment vertical="center"/>
    </xf>
    <xf numFmtId="0" fontId="0" fillId="0" borderId="1" xfId="0" applyBorder="1">
      <alignment vertical="center"/>
    </xf>
    <xf numFmtId="0" fontId="38" fillId="5" borderId="0" xfId="0" applyFont="1" applyFill="1" applyAlignment="1">
      <alignment horizontal="center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33" fillId="5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56" fontId="7" fillId="0" borderId="0" xfId="0" applyNumberFormat="1" applyFont="1" applyAlignment="1">
      <alignment horizontal="center" vertical="center"/>
    </xf>
    <xf numFmtId="49" fontId="49" fillId="0" borderId="0" xfId="0" applyNumberFormat="1" applyFont="1" applyAlignment="1">
      <alignment horizontal="center" vertical="center"/>
    </xf>
    <xf numFmtId="0" fontId="7" fillId="0" borderId="0" xfId="7" applyFont="1" applyAlignment="1">
      <alignment horizontal="center"/>
    </xf>
    <xf numFmtId="49" fontId="49" fillId="0" borderId="0" xfId="7" applyNumberFormat="1" applyFont="1" applyAlignment="1">
      <alignment horizontal="center" vertical="center"/>
    </xf>
    <xf numFmtId="0" fontId="17" fillId="0" borderId="0" xfId="7" applyFont="1" applyAlignment="1">
      <alignment horizontal="center" vertical="center"/>
    </xf>
    <xf numFmtId="0" fontId="46" fillId="0" borderId="0" xfId="7" applyFont="1">
      <alignment vertical="center"/>
    </xf>
    <xf numFmtId="3" fontId="7" fillId="0" borderId="0" xfId="7" applyNumberFormat="1" applyFont="1" applyAlignment="1">
      <alignment horizontal="center" vertical="center"/>
    </xf>
    <xf numFmtId="0" fontId="7" fillId="0" borderId="0" xfId="7" applyFont="1" applyAlignment="1">
      <alignment horizontal="center" vertical="center"/>
    </xf>
    <xf numFmtId="180" fontId="7" fillId="0" borderId="0" xfId="7" applyNumberFormat="1" applyFont="1" applyAlignment="1">
      <alignment horizontal="right" vertical="center"/>
    </xf>
    <xf numFmtId="180" fontId="7" fillId="0" borderId="0" xfId="7" applyNumberFormat="1" applyFont="1">
      <alignment vertical="center"/>
    </xf>
    <xf numFmtId="0" fontId="6" fillId="5" borderId="0" xfId="0" applyFont="1" applyFill="1" applyAlignment="1">
      <alignment horizontal="center" vertical="center"/>
    </xf>
    <xf numFmtId="0" fontId="48" fillId="5" borderId="0" xfId="0" applyFont="1" applyFill="1" applyAlignment="1">
      <alignment horizontal="left" vertical="center"/>
    </xf>
    <xf numFmtId="0" fontId="6" fillId="5" borderId="0" xfId="0" applyFont="1" applyFill="1">
      <alignment vertical="center"/>
    </xf>
    <xf numFmtId="0" fontId="7" fillId="5" borderId="0" xfId="0" applyFont="1" applyFill="1">
      <alignment vertical="center"/>
    </xf>
    <xf numFmtId="3" fontId="7" fillId="5" borderId="0" xfId="0" applyNumberFormat="1" applyFont="1" applyFill="1" applyAlignment="1">
      <alignment horizontal="center" vertical="center"/>
    </xf>
    <xf numFmtId="0" fontId="46" fillId="5" borderId="0" xfId="0" applyFont="1" applyFill="1" applyAlignment="1">
      <alignment horizontal="center" vertical="center"/>
    </xf>
    <xf numFmtId="180" fontId="7" fillId="5" borderId="0" xfId="0" applyNumberFormat="1" applyFont="1" applyFill="1" applyAlignment="1">
      <alignment horizontal="right" vertical="center"/>
    </xf>
    <xf numFmtId="180" fontId="7" fillId="5" borderId="0" xfId="0" applyNumberFormat="1" applyFont="1" applyFill="1">
      <alignment vertical="center"/>
    </xf>
    <xf numFmtId="3" fontId="7" fillId="5" borderId="0" xfId="0" applyNumberFormat="1" applyFont="1" applyFill="1" applyAlignment="1">
      <alignment horizontal="center" vertical="center" shrinkToFit="1"/>
    </xf>
    <xf numFmtId="1" fontId="7" fillId="5" borderId="0" xfId="0" applyNumberFormat="1" applyFont="1" applyFill="1" applyAlignment="1">
      <alignment horizontal="center" vertical="center"/>
    </xf>
    <xf numFmtId="180" fontId="7" fillId="5" borderId="0" xfId="0" applyNumberFormat="1" applyFont="1" applyFill="1" applyAlignment="1">
      <alignment horizontal="right" vertical="center" shrinkToFit="1"/>
    </xf>
    <xf numFmtId="0" fontId="7" fillId="5" borderId="0" xfId="0" applyFont="1" applyFill="1" applyAlignment="1">
      <alignment horizontal="center" vertical="center"/>
    </xf>
    <xf numFmtId="3" fontId="6" fillId="5" borderId="0" xfId="0" applyNumberFormat="1" applyFont="1" applyFill="1" applyAlignment="1">
      <alignment horizontal="center" vertical="center"/>
    </xf>
    <xf numFmtId="0" fontId="37" fillId="0" borderId="0" xfId="0" quotePrefix="1" applyFont="1" applyAlignment="1">
      <alignment horizontal="center"/>
    </xf>
    <xf numFmtId="0" fontId="3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5" fillId="5" borderId="0" xfId="0" applyFont="1" applyFill="1">
      <alignment vertical="center"/>
    </xf>
    <xf numFmtId="0" fontId="50" fillId="0" borderId="0" xfId="0" applyFont="1">
      <alignment vertical="center"/>
    </xf>
    <xf numFmtId="0" fontId="51" fillId="0" borderId="0" xfId="0" applyFont="1" applyAlignment="1">
      <alignment horizontal="center" vertical="center"/>
    </xf>
    <xf numFmtId="0" fontId="7" fillId="0" borderId="0" xfId="0" applyFont="1" applyAlignment="1"/>
    <xf numFmtId="176" fontId="7" fillId="5" borderId="0" xfId="2" applyFont="1" applyFill="1" applyBorder="1" applyAlignment="1">
      <alignment horizontal="right" vertical="center"/>
    </xf>
    <xf numFmtId="49" fontId="7" fillId="0" borderId="1" xfId="0" applyNumberFormat="1" applyFont="1" applyBorder="1" applyAlignment="1">
      <alignment horizontal="left" vertical="center"/>
    </xf>
    <xf numFmtId="0" fontId="7" fillId="6" borderId="1" xfId="0" applyFont="1" applyFill="1" applyBorder="1">
      <alignment vertical="center"/>
    </xf>
    <xf numFmtId="0" fontId="7" fillId="5" borderId="1" xfId="0" applyFont="1" applyFill="1" applyBorder="1" applyAlignment="1">
      <alignment horizontal="left" vertical="center"/>
    </xf>
    <xf numFmtId="1" fontId="7" fillId="5" borderId="1" xfId="0" applyNumberFormat="1" applyFont="1" applyFill="1" applyBorder="1" applyAlignment="1">
      <alignment horizontal="center" vertical="center"/>
    </xf>
    <xf numFmtId="180" fontId="7" fillId="5" borderId="1" xfId="0" applyNumberFormat="1" applyFont="1" applyFill="1" applyBorder="1">
      <alignment vertical="center"/>
    </xf>
    <xf numFmtId="180" fontId="7" fillId="5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47" fillId="0" borderId="21" xfId="0" applyFont="1" applyBorder="1">
      <alignment vertical="center"/>
    </xf>
    <xf numFmtId="0" fontId="7" fillId="5" borderId="19" xfId="0" applyFont="1" applyFill="1" applyBorder="1" applyAlignment="1">
      <alignment horizontal="left" vertical="center"/>
    </xf>
    <xf numFmtId="181" fontId="7" fillId="0" borderId="19" xfId="2" applyNumberFormat="1" applyFont="1" applyFill="1" applyBorder="1" applyAlignment="1">
      <alignment horizontal="right" vertical="center"/>
    </xf>
    <xf numFmtId="181" fontId="7" fillId="0" borderId="21" xfId="2" applyNumberFormat="1" applyFont="1" applyFill="1" applyBorder="1" applyAlignment="1">
      <alignment horizontal="right" vertical="center"/>
    </xf>
    <xf numFmtId="49" fontId="7" fillId="0" borderId="28" xfId="0" applyNumberFormat="1" applyFont="1" applyBorder="1">
      <alignment vertical="center"/>
    </xf>
    <xf numFmtId="0" fontId="17" fillId="0" borderId="21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49" fontId="35" fillId="0" borderId="14" xfId="0" applyNumberFormat="1" applyFont="1" applyBorder="1" applyAlignment="1">
      <alignment horizontal="left" vertical="center"/>
    </xf>
    <xf numFmtId="49" fontId="35" fillId="0" borderId="23" xfId="0" applyNumberFormat="1" applyFont="1" applyBorder="1" applyAlignment="1">
      <alignment horizontal="left" vertical="center"/>
    </xf>
    <xf numFmtId="49" fontId="35" fillId="0" borderId="21" xfId="0" applyNumberFormat="1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44" fillId="0" borderId="41" xfId="0" applyFont="1" applyBorder="1" applyAlignment="1">
      <alignment horizontal="center" vertical="center"/>
    </xf>
    <xf numFmtId="0" fontId="12" fillId="0" borderId="41" xfId="0" applyFont="1" applyBorder="1" applyAlignment="1">
      <alignment horizontal="left" vertical="center"/>
    </xf>
    <xf numFmtId="0" fontId="13" fillId="3" borderId="41" xfId="0" applyFont="1" applyFill="1" applyBorder="1" applyAlignment="1">
      <alignment horizontal="left" vertical="center"/>
    </xf>
    <xf numFmtId="0" fontId="37" fillId="0" borderId="62" xfId="0" applyFont="1" applyBorder="1" applyAlignment="1">
      <alignment horizontal="center"/>
    </xf>
    <xf numFmtId="49" fontId="35" fillId="0" borderId="10" xfId="0" applyNumberFormat="1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1" fontId="7" fillId="0" borderId="10" xfId="0" applyNumberFormat="1" applyFont="1" applyBorder="1" applyAlignment="1">
      <alignment horizontal="center" vertical="center"/>
    </xf>
    <xf numFmtId="1" fontId="7" fillId="0" borderId="23" xfId="0" applyNumberFormat="1" applyFont="1" applyBorder="1" applyAlignment="1">
      <alignment horizontal="center" vertical="center"/>
    </xf>
    <xf numFmtId="49" fontId="7" fillId="0" borderId="33" xfId="0" applyNumberFormat="1" applyFont="1" applyBorder="1">
      <alignment vertical="center"/>
    </xf>
    <xf numFmtId="184" fontId="7" fillId="0" borderId="23" xfId="0" applyNumberFormat="1" applyFont="1" applyBorder="1" applyAlignment="1">
      <alignment horizontal="right" vertical="center"/>
    </xf>
    <xf numFmtId="0" fontId="37" fillId="5" borderId="68" xfId="0" applyFont="1" applyFill="1" applyBorder="1" applyAlignment="1">
      <alignment horizontal="center"/>
    </xf>
    <xf numFmtId="182" fontId="7" fillId="0" borderId="24" xfId="0" applyNumberFormat="1" applyFont="1" applyBorder="1" applyAlignment="1">
      <alignment horizontal="center" vertical="center" shrinkToFit="1"/>
    </xf>
    <xf numFmtId="182" fontId="7" fillId="0" borderId="21" xfId="0" applyNumberFormat="1" applyFont="1" applyBorder="1" applyAlignment="1">
      <alignment horizontal="right" vertical="center"/>
    </xf>
    <xf numFmtId="0" fontId="17" fillId="0" borderId="19" xfId="0" applyFont="1" applyBorder="1" applyAlignment="1">
      <alignment horizontal="left" vertical="center"/>
    </xf>
    <xf numFmtId="0" fontId="37" fillId="0" borderId="66" xfId="0" applyFont="1" applyBorder="1" applyAlignment="1">
      <alignment horizontal="center"/>
    </xf>
    <xf numFmtId="0" fontId="7" fillId="0" borderId="69" xfId="0" applyFont="1" applyBorder="1">
      <alignment vertical="center"/>
    </xf>
    <xf numFmtId="0" fontId="7" fillId="0" borderId="44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83" fontId="7" fillId="0" borderId="5" xfId="2" applyNumberFormat="1" applyFont="1" applyFill="1" applyBorder="1" applyAlignment="1">
      <alignment horizontal="left" vertical="center"/>
    </xf>
    <xf numFmtId="180" fontId="7" fillId="0" borderId="19" xfId="0" applyNumberFormat="1" applyFont="1" applyBorder="1" applyAlignment="1">
      <alignment vertical="center" shrinkToFit="1"/>
    </xf>
    <xf numFmtId="0" fontId="7" fillId="0" borderId="10" xfId="0" applyFont="1" applyBorder="1" applyAlignment="1">
      <alignment horizontal="center"/>
    </xf>
    <xf numFmtId="1" fontId="7" fillId="0" borderId="22" xfId="0" applyNumberFormat="1" applyFont="1" applyBorder="1" applyAlignment="1">
      <alignment horizontal="right" vertical="center"/>
    </xf>
    <xf numFmtId="49" fontId="37" fillId="0" borderId="14" xfId="0" quotePrefix="1" applyNumberFormat="1" applyFont="1" applyBorder="1" applyAlignment="1">
      <alignment horizontal="left" vertical="center"/>
    </xf>
    <xf numFmtId="0" fontId="31" fillId="0" borderId="53" xfId="0" applyFont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49" fontId="21" fillId="0" borderId="34" xfId="0" applyNumberFormat="1" applyFont="1" applyBorder="1" applyAlignment="1">
      <alignment horizontal="left" vertical="center"/>
    </xf>
    <xf numFmtId="0" fontId="21" fillId="0" borderId="7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49" fontId="35" fillId="0" borderId="6" xfId="0" applyNumberFormat="1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182" fontId="7" fillId="0" borderId="6" xfId="0" applyNumberFormat="1" applyFont="1" applyBorder="1" applyAlignment="1">
      <alignment vertical="center" shrinkToFit="1"/>
    </xf>
    <xf numFmtId="182" fontId="7" fillId="0" borderId="6" xfId="0" applyNumberFormat="1" applyFont="1" applyBorder="1" applyAlignment="1">
      <alignment horizontal="right" vertical="center" shrinkToFit="1"/>
    </xf>
    <xf numFmtId="0" fontId="7" fillId="0" borderId="6" xfId="0" applyFont="1" applyBorder="1" applyAlignment="1">
      <alignment horizontal="center" vertical="center"/>
    </xf>
    <xf numFmtId="0" fontId="13" fillId="3" borderId="13" xfId="0" applyFont="1" applyFill="1" applyBorder="1" applyAlignment="1">
      <alignment horizontal="left" vertical="center"/>
    </xf>
    <xf numFmtId="182" fontId="7" fillId="0" borderId="23" xfId="0" applyNumberFormat="1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7" fillId="0" borderId="71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7" fillId="0" borderId="7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5" borderId="60" xfId="0" applyFont="1" applyFill="1" applyBorder="1" applyAlignment="1">
      <alignment horizontal="center"/>
    </xf>
    <xf numFmtId="0" fontId="47" fillId="0" borderId="19" xfId="0" applyFont="1" applyBorder="1">
      <alignment vertical="center"/>
    </xf>
    <xf numFmtId="1" fontId="7" fillId="0" borderId="14" xfId="0" applyNumberFormat="1" applyFont="1" applyBorder="1" applyAlignment="1">
      <alignment horizontal="center" vertical="center"/>
    </xf>
    <xf numFmtId="0" fontId="56" fillId="5" borderId="19" xfId="0" applyFont="1" applyFill="1" applyBorder="1" applyAlignment="1">
      <alignment horizontal="left" vertical="center"/>
    </xf>
    <xf numFmtId="0" fontId="56" fillId="0" borderId="14" xfId="0" applyFont="1" applyBorder="1">
      <alignment vertical="center"/>
    </xf>
    <xf numFmtId="49" fontId="37" fillId="0" borderId="60" xfId="0" quotePrefix="1" applyNumberFormat="1" applyFont="1" applyBorder="1" applyAlignment="1">
      <alignment horizontal="center"/>
    </xf>
    <xf numFmtId="49" fontId="37" fillId="3" borderId="0" xfId="0" applyNumberFormat="1" applyFont="1" applyFill="1" applyAlignment="1">
      <alignment horizontal="left" vertical="center"/>
    </xf>
    <xf numFmtId="49" fontId="7" fillId="0" borderId="28" xfId="0" applyNumberFormat="1" applyFont="1" applyBorder="1" applyAlignment="1">
      <alignment horizontal="center" vertical="center"/>
    </xf>
    <xf numFmtId="182" fontId="7" fillId="0" borderId="21" xfId="0" applyNumberFormat="1" applyFont="1" applyBorder="1" applyAlignment="1">
      <alignment horizontal="center" vertical="center"/>
    </xf>
    <xf numFmtId="0" fontId="10" fillId="5" borderId="21" xfId="0" applyFont="1" applyFill="1" applyBorder="1" applyAlignment="1">
      <alignment horizontal="left" vertical="center"/>
    </xf>
    <xf numFmtId="49" fontId="37" fillId="5" borderId="44" xfId="0" applyNumberFormat="1" applyFont="1" applyFill="1" applyBorder="1" applyAlignment="1">
      <alignment horizontal="center"/>
    </xf>
    <xf numFmtId="184" fontId="7" fillId="5" borderId="19" xfId="2" applyNumberFormat="1" applyFont="1" applyFill="1" applyBorder="1" applyAlignment="1">
      <alignment horizontal="right" vertical="center"/>
    </xf>
    <xf numFmtId="182" fontId="7" fillId="0" borderId="77" xfId="0" applyNumberFormat="1" applyFont="1" applyBorder="1" applyAlignment="1">
      <alignment horizontal="right" vertical="center" shrinkToFit="1"/>
    </xf>
    <xf numFmtId="0" fontId="7" fillId="0" borderId="77" xfId="0" applyFont="1" applyBorder="1" applyAlignment="1">
      <alignment horizontal="center" vertical="center"/>
    </xf>
    <xf numFmtId="180" fontId="7" fillId="0" borderId="77" xfId="0" applyNumberFormat="1" applyFont="1" applyBorder="1" applyAlignment="1">
      <alignment horizontal="center" vertical="center" shrinkToFit="1"/>
    </xf>
    <xf numFmtId="180" fontId="7" fillId="0" borderId="77" xfId="0" applyNumberFormat="1" applyFont="1" applyBorder="1" applyAlignment="1">
      <alignment horizontal="right" vertical="center"/>
    </xf>
    <xf numFmtId="0" fontId="37" fillId="0" borderId="10" xfId="0" applyFont="1" applyBorder="1" applyAlignment="1">
      <alignment horizontal="left" vertical="center"/>
    </xf>
    <xf numFmtId="182" fontId="7" fillId="0" borderId="10" xfId="0" applyNumberFormat="1" applyFont="1" applyBorder="1" applyAlignment="1">
      <alignment horizontal="right" vertical="center" shrinkToFit="1"/>
    </xf>
    <xf numFmtId="180" fontId="7" fillId="0" borderId="10" xfId="0" applyNumberFormat="1" applyFont="1" applyBorder="1" applyAlignment="1">
      <alignment horizontal="center" vertical="center" shrinkToFit="1"/>
    </xf>
    <xf numFmtId="178" fontId="7" fillId="4" borderId="10" xfId="0" applyNumberFormat="1" applyFont="1" applyFill="1" applyBorder="1">
      <alignment vertical="center"/>
    </xf>
    <xf numFmtId="0" fontId="6" fillId="0" borderId="21" xfId="0" applyFont="1" applyBorder="1" applyAlignment="1">
      <alignment horizontal="right" vertical="center"/>
    </xf>
    <xf numFmtId="0" fontId="37" fillId="5" borderId="60" xfId="0" applyFont="1" applyFill="1" applyBorder="1" applyAlignment="1">
      <alignment horizontal="center"/>
    </xf>
    <xf numFmtId="49" fontId="35" fillId="0" borderId="19" xfId="0" applyNumberFormat="1" applyFont="1" applyBorder="1" applyAlignment="1">
      <alignment horizontal="left" vertical="center"/>
    </xf>
    <xf numFmtId="0" fontId="7" fillId="0" borderId="10" xfId="0" applyFont="1" applyBorder="1">
      <alignment vertical="center"/>
    </xf>
    <xf numFmtId="0" fontId="7" fillId="5" borderId="78" xfId="0" applyFont="1" applyFill="1" applyBorder="1" applyAlignment="1">
      <alignment horizontal="center"/>
    </xf>
    <xf numFmtId="180" fontId="7" fillId="0" borderId="24" xfId="0" applyNumberFormat="1" applyFont="1" applyBorder="1">
      <alignment vertical="center"/>
    </xf>
    <xf numFmtId="0" fontId="47" fillId="0" borderId="24" xfId="0" applyFont="1" applyBorder="1">
      <alignment vertical="center"/>
    </xf>
    <xf numFmtId="0" fontId="57" fillId="0" borderId="21" xfId="0" applyFont="1" applyBorder="1">
      <alignment vertical="center"/>
    </xf>
    <xf numFmtId="0" fontId="7" fillId="0" borderId="24" xfId="0" applyFont="1" applyBorder="1" applyAlignment="1">
      <alignment horizontal="center" vertical="center"/>
    </xf>
    <xf numFmtId="182" fontId="7" fillId="0" borderId="24" xfId="0" applyNumberFormat="1" applyFont="1" applyBorder="1" applyAlignment="1">
      <alignment vertical="center" shrinkToFit="1"/>
    </xf>
    <xf numFmtId="49" fontId="37" fillId="0" borderId="21" xfId="0" quotePrefix="1" applyNumberFormat="1" applyFont="1" applyBorder="1" applyAlignment="1">
      <alignment horizontal="left" vertical="center"/>
    </xf>
    <xf numFmtId="0" fontId="37" fillId="5" borderId="55" xfId="0" applyFont="1" applyFill="1" applyBorder="1" applyAlignment="1">
      <alignment horizontal="center"/>
    </xf>
    <xf numFmtId="182" fontId="7" fillId="0" borderId="14" xfId="0" applyNumberFormat="1" applyFont="1" applyBorder="1" applyAlignment="1">
      <alignment horizontal="center" vertical="center"/>
    </xf>
    <xf numFmtId="0" fontId="7" fillId="5" borderId="66" xfId="0" applyFont="1" applyFill="1" applyBorder="1" applyAlignment="1">
      <alignment horizontal="center"/>
    </xf>
    <xf numFmtId="0" fontId="57" fillId="0" borderId="0" xfId="0" applyFont="1">
      <alignment vertical="center"/>
    </xf>
    <xf numFmtId="0" fontId="37" fillId="3" borderId="80" xfId="0" applyFont="1" applyFill="1" applyBorder="1" applyAlignment="1">
      <alignment horizontal="center"/>
    </xf>
    <xf numFmtId="0" fontId="12" fillId="3" borderId="81" xfId="0" applyFont="1" applyFill="1" applyBorder="1" applyAlignment="1">
      <alignment horizontal="center" vertical="center"/>
    </xf>
    <xf numFmtId="0" fontId="12" fillId="3" borderId="81" xfId="0" applyFont="1" applyFill="1" applyBorder="1" applyAlignment="1">
      <alignment horizontal="left" vertical="center"/>
    </xf>
    <xf numFmtId="0" fontId="33" fillId="3" borderId="81" xfId="0" applyFont="1" applyFill="1" applyBorder="1" applyAlignment="1">
      <alignment horizontal="left" vertical="center"/>
    </xf>
    <xf numFmtId="0" fontId="7" fillId="3" borderId="81" xfId="0" applyFont="1" applyFill="1" applyBorder="1" applyAlignment="1">
      <alignment horizontal="center" vertical="center"/>
    </xf>
    <xf numFmtId="0" fontId="7" fillId="3" borderId="81" xfId="0" applyFont="1" applyFill="1" applyBorder="1">
      <alignment vertical="center"/>
    </xf>
    <xf numFmtId="0" fontId="10" fillId="0" borderId="82" xfId="0" applyFont="1" applyBorder="1">
      <alignment vertical="center"/>
    </xf>
    <xf numFmtId="0" fontId="7" fillId="0" borderId="83" xfId="0" applyFont="1" applyBorder="1" applyAlignment="1">
      <alignment horizontal="center" vertical="center"/>
    </xf>
    <xf numFmtId="185" fontId="54" fillId="0" borderId="84" xfId="0" applyNumberFormat="1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0" fontId="7" fillId="0" borderId="85" xfId="0" applyFont="1" applyBorder="1" applyAlignment="1">
      <alignment horizontal="center" vertical="center"/>
    </xf>
    <xf numFmtId="0" fontId="7" fillId="0" borderId="86" xfId="0" applyFont="1" applyBorder="1" applyAlignment="1">
      <alignment horizontal="center"/>
    </xf>
    <xf numFmtId="49" fontId="35" fillId="0" borderId="87" xfId="0" applyNumberFormat="1" applyFont="1" applyBorder="1" applyAlignment="1">
      <alignment horizontal="left" vertical="center"/>
    </xf>
    <xf numFmtId="0" fontId="7" fillId="0" borderId="86" xfId="0" applyFont="1" applyBorder="1" applyAlignment="1">
      <alignment horizontal="left" vertical="center"/>
    </xf>
    <xf numFmtId="182" fontId="7" fillId="0" borderId="86" xfId="0" applyNumberFormat="1" applyFont="1" applyBorder="1" applyAlignment="1">
      <alignment vertical="center" shrinkToFit="1"/>
    </xf>
    <xf numFmtId="182" fontId="7" fillId="0" borderId="87" xfId="0" applyNumberFormat="1" applyFont="1" applyBorder="1" applyAlignment="1">
      <alignment horizontal="right" vertical="center" shrinkToFit="1"/>
    </xf>
    <xf numFmtId="0" fontId="7" fillId="0" borderId="87" xfId="0" applyFont="1" applyBorder="1" applyAlignment="1">
      <alignment horizontal="center" vertical="center"/>
    </xf>
    <xf numFmtId="180" fontId="7" fillId="0" borderId="87" xfId="0" applyNumberFormat="1" applyFont="1" applyBorder="1" applyAlignment="1">
      <alignment horizontal="center" vertical="center" shrinkToFit="1"/>
    </xf>
    <xf numFmtId="180" fontId="7" fillId="0" borderId="87" xfId="0" applyNumberFormat="1" applyFont="1" applyBorder="1" applyAlignment="1">
      <alignment horizontal="right" vertical="center"/>
    </xf>
    <xf numFmtId="178" fontId="7" fillId="4" borderId="87" xfId="0" applyNumberFormat="1" applyFont="1" applyFill="1" applyBorder="1">
      <alignment vertical="center"/>
    </xf>
    <xf numFmtId="49" fontId="7" fillId="4" borderId="88" xfId="0" applyNumberFormat="1" applyFont="1" applyFill="1" applyBorder="1" applyAlignment="1">
      <alignment horizontal="center" vertical="center"/>
    </xf>
    <xf numFmtId="49" fontId="7" fillId="4" borderId="67" xfId="0" applyNumberFormat="1" applyFont="1" applyFill="1" applyBorder="1" applyAlignment="1">
      <alignment horizontal="center" vertical="center"/>
    </xf>
    <xf numFmtId="0" fontId="47" fillId="0" borderId="82" xfId="0" applyFont="1" applyBorder="1">
      <alignment vertical="center"/>
    </xf>
    <xf numFmtId="56" fontId="7" fillId="0" borderId="83" xfId="0" applyNumberFormat="1" applyFont="1" applyBorder="1" applyAlignment="1">
      <alignment horizontal="center" vertical="center"/>
    </xf>
    <xf numFmtId="0" fontId="0" fillId="0" borderId="84" xfId="0" applyBorder="1">
      <alignment vertical="center"/>
    </xf>
    <xf numFmtId="0" fontId="0" fillId="0" borderId="85" xfId="0" applyBorder="1">
      <alignment vertical="center"/>
    </xf>
    <xf numFmtId="0" fontId="7" fillId="5" borderId="89" xfId="0" applyFont="1" applyFill="1" applyBorder="1" applyAlignment="1">
      <alignment horizontal="center"/>
    </xf>
    <xf numFmtId="0" fontId="17" fillId="0" borderId="87" xfId="0" applyFont="1" applyBorder="1" applyAlignment="1">
      <alignment horizontal="left" vertical="center"/>
    </xf>
    <xf numFmtId="0" fontId="7" fillId="0" borderId="87" xfId="0" applyFont="1" applyBorder="1">
      <alignment vertical="center"/>
    </xf>
    <xf numFmtId="1" fontId="7" fillId="0" borderId="87" xfId="0" applyNumberFormat="1" applyFont="1" applyBorder="1" applyAlignment="1">
      <alignment horizontal="center" vertical="center"/>
    </xf>
    <xf numFmtId="180" fontId="7" fillId="0" borderId="87" xfId="0" applyNumberFormat="1" applyFont="1" applyBorder="1">
      <alignment vertical="center"/>
    </xf>
    <xf numFmtId="180" fontId="7" fillId="0" borderId="86" xfId="0" applyNumberFormat="1" applyFont="1" applyBorder="1">
      <alignment vertical="center"/>
    </xf>
    <xf numFmtId="0" fontId="47" fillId="0" borderId="87" xfId="0" applyFont="1" applyBorder="1">
      <alignment vertical="center"/>
    </xf>
    <xf numFmtId="56" fontId="37" fillId="5" borderId="88" xfId="0" applyNumberFormat="1" applyFont="1" applyFill="1" applyBorder="1" applyAlignment="1">
      <alignment horizontal="center" vertical="center"/>
    </xf>
    <xf numFmtId="0" fontId="47" fillId="0" borderId="10" xfId="0" applyFont="1" applyBorder="1">
      <alignment vertical="center"/>
    </xf>
    <xf numFmtId="56" fontId="37" fillId="5" borderId="67" xfId="0" applyNumberFormat="1" applyFont="1" applyFill="1" applyBorder="1" applyAlignment="1">
      <alignment horizontal="center" vertical="center"/>
    </xf>
    <xf numFmtId="49" fontId="35" fillId="0" borderId="24" xfId="0" applyNumberFormat="1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7" fillId="0" borderId="24" xfId="0" applyFont="1" applyBorder="1">
      <alignment vertical="center"/>
    </xf>
    <xf numFmtId="56" fontId="37" fillId="5" borderId="79" xfId="0" applyNumberFormat="1" applyFont="1" applyFill="1" applyBorder="1" applyAlignment="1">
      <alignment horizontal="center" vertical="center"/>
    </xf>
    <xf numFmtId="56" fontId="37" fillId="5" borderId="84" xfId="0" applyNumberFormat="1" applyFont="1" applyFill="1" applyBorder="1" applyAlignment="1">
      <alignment horizontal="center" vertical="center"/>
    </xf>
    <xf numFmtId="0" fontId="7" fillId="5" borderId="90" xfId="0" applyFont="1" applyFill="1" applyBorder="1" applyAlignment="1">
      <alignment horizontal="center"/>
    </xf>
    <xf numFmtId="0" fontId="47" fillId="0" borderId="86" xfId="0" applyFont="1" applyBorder="1">
      <alignment vertical="center"/>
    </xf>
    <xf numFmtId="0" fontId="7" fillId="0" borderId="78" xfId="0" applyFont="1" applyBorder="1" applyAlignment="1">
      <alignment horizontal="center"/>
    </xf>
    <xf numFmtId="182" fontId="7" fillId="0" borderId="3" xfId="0" applyNumberFormat="1" applyFont="1" applyBorder="1" applyAlignment="1">
      <alignment vertical="center" shrinkToFit="1"/>
    </xf>
    <xf numFmtId="1" fontId="7" fillId="0" borderId="91" xfId="0" applyNumberFormat="1" applyFont="1" applyBorder="1" applyAlignment="1">
      <alignment horizontal="center" vertical="center"/>
    </xf>
    <xf numFmtId="0" fontId="37" fillId="5" borderId="92" xfId="0" applyFont="1" applyFill="1" applyBorder="1" applyAlignment="1">
      <alignment horizontal="center"/>
    </xf>
    <xf numFmtId="0" fontId="12" fillId="5" borderId="13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left" vertical="center"/>
    </xf>
    <xf numFmtId="0" fontId="0" fillId="0" borderId="93" xfId="0" applyBorder="1">
      <alignment vertical="center"/>
    </xf>
    <xf numFmtId="0" fontId="0" fillId="0" borderId="3" xfId="0" applyBorder="1">
      <alignment vertical="center"/>
    </xf>
    <xf numFmtId="0" fontId="7" fillId="5" borderId="23" xfId="0" applyFont="1" applyFill="1" applyBorder="1" applyAlignment="1">
      <alignment horizontal="left" vertical="center"/>
    </xf>
    <xf numFmtId="0" fontId="7" fillId="5" borderId="14" xfId="0" applyFont="1" applyFill="1" applyBorder="1" applyAlignment="1">
      <alignment horizontal="left" vertical="center"/>
    </xf>
    <xf numFmtId="0" fontId="7" fillId="5" borderId="13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left" vertical="center"/>
    </xf>
    <xf numFmtId="0" fontId="12" fillId="5" borderId="34" xfId="0" applyFont="1" applyFill="1" applyBorder="1" applyAlignment="1">
      <alignment horizontal="center" vertical="center"/>
    </xf>
    <xf numFmtId="0" fontId="12" fillId="5" borderId="34" xfId="0" applyFont="1" applyFill="1" applyBorder="1" applyAlignment="1">
      <alignment horizontal="left" vertical="center"/>
    </xf>
    <xf numFmtId="0" fontId="7" fillId="5" borderId="34" xfId="0" applyFont="1" applyFill="1" applyBorder="1" applyAlignment="1">
      <alignment horizontal="center" vertical="center"/>
    </xf>
    <xf numFmtId="0" fontId="37" fillId="3" borderId="44" xfId="0" applyFont="1" applyFill="1" applyBorder="1" applyAlignment="1">
      <alignment horizontal="center"/>
    </xf>
    <xf numFmtId="49" fontId="60" fillId="0" borderId="23" xfId="0" quotePrefix="1" applyNumberFormat="1" applyFont="1" applyBorder="1" applyAlignment="1">
      <alignment horizontal="left" vertical="center"/>
    </xf>
    <xf numFmtId="49" fontId="61" fillId="0" borderId="23" xfId="0" quotePrefix="1" applyNumberFormat="1" applyFont="1" applyBorder="1" applyAlignment="1">
      <alignment horizontal="left" vertical="center"/>
    </xf>
    <xf numFmtId="49" fontId="62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horizontal="center" vertical="center" wrapText="1"/>
    </xf>
    <xf numFmtId="0" fontId="63" fillId="0" borderId="0" xfId="0" applyFont="1">
      <alignment vertical="center"/>
    </xf>
    <xf numFmtId="0" fontId="63" fillId="0" borderId="0" xfId="0" applyFont="1" applyAlignment="1">
      <alignment vertical="center" wrapText="1"/>
    </xf>
    <xf numFmtId="0" fontId="64" fillId="0" borderId="0" xfId="0" applyFont="1">
      <alignment vertical="center"/>
    </xf>
    <xf numFmtId="0" fontId="37" fillId="5" borderId="94" xfId="0" applyFont="1" applyFill="1" applyBorder="1">
      <alignment vertical="center"/>
    </xf>
    <xf numFmtId="49" fontId="62" fillId="0" borderId="42" xfId="0" applyNumberFormat="1" applyFont="1" applyBorder="1" applyAlignment="1">
      <alignment horizontal="center" vertical="center" wrapText="1"/>
    </xf>
    <xf numFmtId="0" fontId="65" fillId="0" borderId="13" xfId="0" applyFont="1" applyBorder="1" applyAlignment="1">
      <alignment horizontal="center" vertical="center" wrapText="1"/>
    </xf>
    <xf numFmtId="0" fontId="63" fillId="0" borderId="13" xfId="0" applyFont="1" applyBorder="1">
      <alignment vertical="center"/>
    </xf>
    <xf numFmtId="0" fontId="63" fillId="0" borderId="12" xfId="0" applyFont="1" applyBorder="1" applyAlignment="1">
      <alignment vertical="center" wrapText="1"/>
    </xf>
    <xf numFmtId="0" fontId="37" fillId="5" borderId="66" xfId="0" applyFont="1" applyFill="1" applyBorder="1">
      <alignment vertical="center"/>
    </xf>
    <xf numFmtId="0" fontId="65" fillId="0" borderId="21" xfId="0" applyFont="1" applyBorder="1" applyAlignment="1">
      <alignment horizontal="center" vertical="center" wrapText="1"/>
    </xf>
    <xf numFmtId="0" fontId="63" fillId="0" borderId="21" xfId="0" applyFont="1" applyBorder="1">
      <alignment vertical="center"/>
    </xf>
    <xf numFmtId="0" fontId="63" fillId="0" borderId="96" xfId="0" applyFont="1" applyBorder="1" applyAlignment="1">
      <alignment vertical="center" wrapText="1"/>
    </xf>
    <xf numFmtId="49" fontId="62" fillId="0" borderId="44" xfId="0" applyNumberFormat="1" applyFont="1" applyBorder="1" applyAlignment="1">
      <alignment horizontal="center" vertical="center" wrapText="1"/>
    </xf>
    <xf numFmtId="49" fontId="63" fillId="0" borderId="0" xfId="0" applyNumberFormat="1" applyFont="1" applyAlignment="1">
      <alignment horizontal="left" vertical="center"/>
    </xf>
    <xf numFmtId="49" fontId="63" fillId="0" borderId="0" xfId="0" applyNumberFormat="1" applyFont="1" applyAlignment="1">
      <alignment horizontal="left" vertical="center" wrapText="1"/>
    </xf>
    <xf numFmtId="49" fontId="66" fillId="0" borderId="0" xfId="0" applyNumberFormat="1" applyFont="1" applyAlignment="1">
      <alignment horizontal="left" vertical="center"/>
    </xf>
    <xf numFmtId="0" fontId="63" fillId="0" borderId="96" xfId="0" applyFont="1" applyBorder="1" applyAlignment="1">
      <alignment horizontal="left" vertical="center" wrapText="1"/>
    </xf>
    <xf numFmtId="0" fontId="64" fillId="0" borderId="95" xfId="0" applyFont="1" applyBorder="1">
      <alignment vertical="center"/>
    </xf>
    <xf numFmtId="0" fontId="7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83" fontId="7" fillId="0" borderId="5" xfId="2" applyNumberFormat="1" applyFont="1" applyFill="1" applyBorder="1" applyAlignment="1">
      <alignment horizontal="left" vertical="center"/>
    </xf>
    <xf numFmtId="49" fontId="42" fillId="0" borderId="0" xfId="0" applyNumberFormat="1" applyFont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37" fillId="5" borderId="8" xfId="0" applyFont="1" applyFill="1" applyBorder="1" applyAlignment="1">
      <alignment horizontal="center"/>
    </xf>
    <xf numFmtId="0" fontId="37" fillId="5" borderId="0" xfId="0" applyFont="1" applyFill="1" applyAlignment="1">
      <alignment horizontal="center"/>
    </xf>
    <xf numFmtId="0" fontId="37" fillId="5" borderId="10" xfId="0" applyFont="1" applyFill="1" applyBorder="1" applyAlignment="1">
      <alignment horizontal="center"/>
    </xf>
    <xf numFmtId="0" fontId="66" fillId="0" borderId="97" xfId="0" applyFont="1" applyBorder="1" applyAlignment="1">
      <alignment horizontal="left" vertical="center"/>
    </xf>
  </cellXfs>
  <cellStyles count="8">
    <cellStyle name="ハイパーリンク" xfId="1" builtinId="8"/>
    <cellStyle name="桁区切り" xfId="2" builtinId="6"/>
    <cellStyle name="桁区切り 2" xfId="3" xr:uid="{00000000-0005-0000-0000-000003000000}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48205</xdr:colOff>
      <xdr:row>38</xdr:row>
      <xdr:rowOff>123438</xdr:rowOff>
    </xdr:from>
    <xdr:to>
      <xdr:col>11</xdr:col>
      <xdr:colOff>629230</xdr:colOff>
      <xdr:row>46</xdr:row>
      <xdr:rowOff>161538</xdr:rowOff>
    </xdr:to>
    <xdr:pic>
      <xdr:nvPicPr>
        <xdr:cNvPr id="43320" name="Picture 1">
          <a:extLst>
            <a:ext uri="{FF2B5EF4-FFF2-40B4-BE49-F238E27FC236}">
              <a16:creationId xmlns:a16="http://schemas.microsoft.com/office/drawing/2014/main" id="{00000000-0008-0000-0200-000038A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36727" y="7014568"/>
          <a:ext cx="3187286" cy="14240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54429</xdr:colOff>
      <xdr:row>1</xdr:row>
      <xdr:rowOff>63500</xdr:rowOff>
    </xdr:from>
    <xdr:to>
      <xdr:col>4</xdr:col>
      <xdr:colOff>2398076</xdr:colOff>
      <xdr:row>1</xdr:row>
      <xdr:rowOff>2186215</xdr:rowOff>
    </xdr:to>
    <xdr:pic>
      <xdr:nvPicPr>
        <xdr:cNvPr id="22" name="画像 1">
          <a:extLst>
            <a:ext uri="{FF2B5EF4-FFF2-40B4-BE49-F238E27FC236}">
              <a16:creationId xmlns:a16="http://schemas.microsoft.com/office/drawing/2014/main" id="{E76E6776-F00D-4C77-AFED-2007805DB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9358" y="471714"/>
          <a:ext cx="2343647" cy="212271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absolute">
    <xdr:from>
      <xdr:col>4</xdr:col>
      <xdr:colOff>99786</xdr:colOff>
      <xdr:row>1</xdr:row>
      <xdr:rowOff>2431143</xdr:rowOff>
    </xdr:from>
    <xdr:to>
      <xdr:col>4</xdr:col>
      <xdr:colOff>2349500</xdr:colOff>
      <xdr:row>2</xdr:row>
      <xdr:rowOff>2436186</xdr:rowOff>
    </xdr:to>
    <xdr:pic>
      <xdr:nvPicPr>
        <xdr:cNvPr id="23" name="画像 1">
          <a:extLst>
            <a:ext uri="{FF2B5EF4-FFF2-40B4-BE49-F238E27FC236}">
              <a16:creationId xmlns:a16="http://schemas.microsoft.com/office/drawing/2014/main" id="{DB6EA5C2-75D0-436A-AD52-D31312996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4715" y="2839357"/>
          <a:ext cx="2249714" cy="247247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absolute">
    <xdr:from>
      <xdr:col>4</xdr:col>
      <xdr:colOff>181426</xdr:colOff>
      <xdr:row>3</xdr:row>
      <xdr:rowOff>18143</xdr:rowOff>
    </xdr:from>
    <xdr:to>
      <xdr:col>4</xdr:col>
      <xdr:colOff>2350531</xdr:colOff>
      <xdr:row>3</xdr:row>
      <xdr:rowOff>2449286</xdr:rowOff>
    </xdr:to>
    <xdr:pic>
      <xdr:nvPicPr>
        <xdr:cNvPr id="24" name="画像 1">
          <a:extLst>
            <a:ext uri="{FF2B5EF4-FFF2-40B4-BE49-F238E27FC236}">
              <a16:creationId xmlns:a16="http://schemas.microsoft.com/office/drawing/2014/main" id="{30EE2F4A-1F55-4099-8468-7A1C3304E8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085"/>
        <a:stretch/>
      </xdr:blipFill>
      <xdr:spPr bwMode="auto">
        <a:xfrm>
          <a:off x="8046355" y="5361214"/>
          <a:ext cx="2169105" cy="243114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nya-pc07\Downloads\SYVI-011201-VT-DD-01.xlsx" TargetMode="External"/><Relationship Id="rId1" Type="http://schemas.openxmlformats.org/officeDocument/2006/relationships/externalLinkPath" Target="file:///C:\Users\shunya-pc07\Downloads\SYVI-011201-VT-DD-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8542\AppData\Local\Microsoft\Windows\INetCache\Content.Outlook\B2GLTWBL\0324WISM\&#12505;&#12488;&#12490;&#12512;&#36664;&#20986;&#20837;\NEW%20&#12505;&#12488;&#12490;&#12512;INVO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"/>
      <sheetName val="NARITA"/>
      <sheetName val="LABEL"/>
    </sheetNames>
    <sheetDataSet>
      <sheetData sheetId="0">
        <row r="49">
          <cell r="C49" t="str">
            <v xml:space="preserve"> SYVI-011201-VT-DD-01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per master"/>
      <sheetName val="inst"/>
      <sheetName val="goods master"/>
      <sheetName val="invoice"/>
      <sheetName val="case mark"/>
      <sheetName val="UNDER VALUE(SHUNYA)"/>
      <sheetName val="CC(Shunya)) (2)"/>
      <sheetName val="CC(Shunya))"/>
    </sheetNames>
    <sheetDataSet>
      <sheetData sheetId="0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topLeftCell="A61" workbookViewId="0">
      <selection activeCell="C56" sqref="C56"/>
    </sheetView>
  </sheetViews>
  <sheetFormatPr defaultColWidth="9" defaultRowHeight="12.5"/>
  <cols>
    <col min="1" max="1" width="3.90625" style="70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70">
        <v>1</v>
      </c>
      <c r="B1" s="70" t="s">
        <v>2</v>
      </c>
      <c r="C1" s="2" t="s">
        <v>0</v>
      </c>
    </row>
    <row r="2" spans="1:3" s="71" customFormat="1">
      <c r="A2" s="70">
        <f>A1+1</f>
        <v>2</v>
      </c>
      <c r="B2" s="7" t="s">
        <v>6</v>
      </c>
      <c r="C2" s="7" t="s">
        <v>92</v>
      </c>
    </row>
    <row r="3" spans="1:3">
      <c r="A3" s="70">
        <f>A2+1</f>
        <v>3</v>
      </c>
      <c r="B3" s="7" t="s">
        <v>4</v>
      </c>
      <c r="C3" s="2" t="s">
        <v>93</v>
      </c>
    </row>
    <row r="4" spans="1:3">
      <c r="A4" s="70">
        <f t="shared" ref="A4:A68" si="0">A3+1</f>
        <v>4</v>
      </c>
      <c r="B4" s="7" t="s">
        <v>3</v>
      </c>
      <c r="C4" s="2" t="s">
        <v>94</v>
      </c>
    </row>
    <row r="5" spans="1:3" s="71" customFormat="1">
      <c r="A5" s="70">
        <f t="shared" si="0"/>
        <v>5</v>
      </c>
      <c r="B5" s="7" t="s">
        <v>5</v>
      </c>
      <c r="C5" s="7" t="s">
        <v>95</v>
      </c>
    </row>
    <row r="6" spans="1:3" s="71" customFormat="1">
      <c r="A6" s="70">
        <f t="shared" si="0"/>
        <v>6</v>
      </c>
      <c r="B6" s="7" t="s">
        <v>7</v>
      </c>
      <c r="C6" s="3"/>
    </row>
    <row r="7" spans="1:3" s="71" customFormat="1">
      <c r="A7" s="70">
        <f t="shared" si="0"/>
        <v>7</v>
      </c>
      <c r="B7" s="7" t="s">
        <v>8</v>
      </c>
      <c r="C7" s="7"/>
    </row>
    <row r="8" spans="1:3" s="71" customFormat="1">
      <c r="A8" s="70">
        <f t="shared" si="0"/>
        <v>8</v>
      </c>
      <c r="B8" s="7" t="s">
        <v>30</v>
      </c>
      <c r="C8" s="7"/>
    </row>
    <row r="9" spans="1:3" s="71" customFormat="1">
      <c r="A9" s="70">
        <f t="shared" si="0"/>
        <v>9</v>
      </c>
      <c r="B9" s="72" t="s">
        <v>107</v>
      </c>
      <c r="C9" s="7" t="s">
        <v>153</v>
      </c>
    </row>
    <row r="10" spans="1:3" s="71" customFormat="1">
      <c r="A10" s="70">
        <f t="shared" si="0"/>
        <v>10</v>
      </c>
      <c r="B10" s="72" t="s">
        <v>108</v>
      </c>
      <c r="C10" s="7" t="s">
        <v>152</v>
      </c>
    </row>
    <row r="11" spans="1:3" s="71" customFormat="1">
      <c r="A11" s="70">
        <f t="shared" si="0"/>
        <v>11</v>
      </c>
      <c r="B11" s="72" t="s">
        <v>109</v>
      </c>
      <c r="C11" s="2" t="s">
        <v>154</v>
      </c>
    </row>
    <row r="12" spans="1:3" s="71" customFormat="1">
      <c r="A12" s="70">
        <f t="shared" si="0"/>
        <v>12</v>
      </c>
      <c r="B12" s="72" t="s">
        <v>110</v>
      </c>
      <c r="C12" s="2" t="s">
        <v>155</v>
      </c>
    </row>
    <row r="13" spans="1:3" s="71" customFormat="1">
      <c r="A13" s="70">
        <f t="shared" si="0"/>
        <v>13</v>
      </c>
      <c r="B13" s="72" t="s">
        <v>33</v>
      </c>
      <c r="C13" s="3" t="s">
        <v>156</v>
      </c>
    </row>
    <row r="14" spans="1:3" s="71" customFormat="1" ht="13.5">
      <c r="A14" s="70">
        <f t="shared" si="0"/>
        <v>14</v>
      </c>
      <c r="B14" s="72" t="s">
        <v>34</v>
      </c>
      <c r="C14" s="78"/>
    </row>
    <row r="15" spans="1:3" s="71" customFormat="1">
      <c r="A15" s="70">
        <f t="shared" si="0"/>
        <v>15</v>
      </c>
      <c r="B15" s="7" t="s">
        <v>35</v>
      </c>
      <c r="C15" s="7" t="s">
        <v>96</v>
      </c>
    </row>
    <row r="16" spans="1:3" s="71" customFormat="1">
      <c r="A16" s="70">
        <f t="shared" si="0"/>
        <v>16</v>
      </c>
      <c r="B16" s="7" t="s">
        <v>36</v>
      </c>
      <c r="C16" s="2"/>
    </row>
    <row r="17" spans="1:3" s="71" customFormat="1">
      <c r="A17" s="70">
        <f t="shared" si="0"/>
        <v>17</v>
      </c>
      <c r="B17" s="7" t="s">
        <v>37</v>
      </c>
      <c r="C17" s="2"/>
    </row>
    <row r="18" spans="1:3" s="71" customFormat="1">
      <c r="A18" s="70">
        <f t="shared" si="0"/>
        <v>18</v>
      </c>
      <c r="B18" s="7" t="s">
        <v>38</v>
      </c>
      <c r="C18" s="3"/>
    </row>
    <row r="19" spans="1:3" s="71" customFormat="1">
      <c r="A19" s="70">
        <f t="shared" si="0"/>
        <v>19</v>
      </c>
      <c r="B19" s="7" t="s">
        <v>39</v>
      </c>
      <c r="C19" s="7"/>
    </row>
    <row r="20" spans="1:3" s="71" customFormat="1">
      <c r="A20" s="70">
        <f t="shared" si="0"/>
        <v>20</v>
      </c>
      <c r="B20" s="7" t="s">
        <v>40</v>
      </c>
      <c r="C20" s="7"/>
    </row>
    <row r="21" spans="1:3" s="71" customFormat="1">
      <c r="A21" s="70">
        <f t="shared" si="0"/>
        <v>21</v>
      </c>
      <c r="B21" s="7" t="s">
        <v>34</v>
      </c>
      <c r="C21" s="76" t="s">
        <v>119</v>
      </c>
    </row>
    <row r="22" spans="1:3" s="71" customFormat="1">
      <c r="A22" s="70">
        <f t="shared" si="0"/>
        <v>22</v>
      </c>
      <c r="B22" s="7" t="s">
        <v>41</v>
      </c>
      <c r="C22" s="76"/>
    </row>
    <row r="23" spans="1:3" s="71" customFormat="1">
      <c r="A23" s="70">
        <f t="shared" si="0"/>
        <v>23</v>
      </c>
      <c r="B23" s="7" t="s">
        <v>42</v>
      </c>
      <c r="C23" s="76"/>
    </row>
    <row r="24" spans="1:3" s="71" customFormat="1">
      <c r="A24" s="70">
        <f t="shared" si="0"/>
        <v>24</v>
      </c>
      <c r="B24" s="7" t="s">
        <v>43</v>
      </c>
      <c r="C24" s="7" t="s">
        <v>113</v>
      </c>
    </row>
    <row r="25" spans="1:3" s="71" customFormat="1">
      <c r="A25" s="70">
        <f t="shared" si="0"/>
        <v>25</v>
      </c>
      <c r="B25" s="72" t="s">
        <v>44</v>
      </c>
      <c r="C25" s="247" t="s">
        <v>145</v>
      </c>
    </row>
    <row r="26" spans="1:3">
      <c r="A26" s="70">
        <f t="shared" si="0"/>
        <v>26</v>
      </c>
      <c r="B26" s="72" t="s">
        <v>45</v>
      </c>
      <c r="C26" s="248" t="s">
        <v>201</v>
      </c>
    </row>
    <row r="27" spans="1:3">
      <c r="A27" s="70">
        <f t="shared" si="0"/>
        <v>27</v>
      </c>
      <c r="B27" s="72" t="s">
        <v>46</v>
      </c>
      <c r="C27" s="248" t="str">
        <f>C26</f>
        <v xml:space="preserve"> SY-430518-VT-DD-01</v>
      </c>
    </row>
    <row r="28" spans="1:3">
      <c r="A28" s="70">
        <f t="shared" si="0"/>
        <v>28</v>
      </c>
      <c r="B28" s="72" t="s">
        <v>47</v>
      </c>
      <c r="C28" s="77"/>
    </row>
    <row r="29" spans="1:3">
      <c r="A29" s="70">
        <f t="shared" si="0"/>
        <v>29</v>
      </c>
      <c r="B29" s="72" t="s">
        <v>48</v>
      </c>
      <c r="C29" s="77"/>
    </row>
    <row r="30" spans="1:3">
      <c r="A30" s="70">
        <f t="shared" si="0"/>
        <v>30</v>
      </c>
      <c r="B30" s="72" t="s">
        <v>49</v>
      </c>
    </row>
    <row r="31" spans="1:3">
      <c r="A31" s="70">
        <f t="shared" si="0"/>
        <v>31</v>
      </c>
      <c r="B31" s="7" t="s">
        <v>50</v>
      </c>
    </row>
    <row r="32" spans="1:3">
      <c r="A32" s="70">
        <f t="shared" si="0"/>
        <v>32</v>
      </c>
      <c r="B32" s="7" t="s">
        <v>51</v>
      </c>
      <c r="C32" s="2" t="s">
        <v>52</v>
      </c>
    </row>
    <row r="33" spans="1:3">
      <c r="A33" s="70">
        <f t="shared" si="0"/>
        <v>33</v>
      </c>
      <c r="B33" s="72" t="s">
        <v>53</v>
      </c>
      <c r="C33" s="2" t="s">
        <v>97</v>
      </c>
    </row>
    <row r="34" spans="1:3">
      <c r="A34" s="70">
        <f t="shared" si="0"/>
        <v>34</v>
      </c>
      <c r="B34" s="7" t="s">
        <v>54</v>
      </c>
    </row>
    <row r="35" spans="1:3">
      <c r="A35" s="70">
        <f t="shared" si="0"/>
        <v>35</v>
      </c>
      <c r="B35" s="7" t="s">
        <v>55</v>
      </c>
      <c r="C35" s="2" t="s">
        <v>91</v>
      </c>
    </row>
    <row r="36" spans="1:3">
      <c r="A36" s="70">
        <f t="shared" si="0"/>
        <v>36</v>
      </c>
      <c r="B36" s="72" t="s">
        <v>56</v>
      </c>
      <c r="C36" s="81" t="s">
        <v>140</v>
      </c>
    </row>
    <row r="37" spans="1:3">
      <c r="A37" s="70">
        <f t="shared" si="0"/>
        <v>37</v>
      </c>
      <c r="B37" s="72" t="s">
        <v>57</v>
      </c>
    </row>
    <row r="38" spans="1:3">
      <c r="A38" s="70">
        <f t="shared" si="0"/>
        <v>38</v>
      </c>
      <c r="B38" s="7" t="s">
        <v>58</v>
      </c>
      <c r="C38" s="77" t="s">
        <v>59</v>
      </c>
    </row>
    <row r="39" spans="1:3">
      <c r="A39" s="70">
        <f t="shared" si="0"/>
        <v>39</v>
      </c>
      <c r="B39" s="7" t="s">
        <v>60</v>
      </c>
      <c r="C39" s="77"/>
    </row>
    <row r="40" spans="1:3">
      <c r="A40" s="70">
        <f t="shared" si="0"/>
        <v>40</v>
      </c>
      <c r="B40" s="7" t="s">
        <v>61</v>
      </c>
    </row>
    <row r="41" spans="1:3">
      <c r="A41" s="70">
        <f t="shared" si="0"/>
        <v>41</v>
      </c>
      <c r="B41" s="7" t="s">
        <v>62</v>
      </c>
    </row>
    <row r="42" spans="1:3">
      <c r="A42" s="70">
        <f t="shared" si="0"/>
        <v>42</v>
      </c>
      <c r="B42" s="7" t="s">
        <v>63</v>
      </c>
      <c r="C42" s="2" t="s">
        <v>199</v>
      </c>
    </row>
    <row r="43" spans="1:3">
      <c r="A43" s="70">
        <f t="shared" si="0"/>
        <v>43</v>
      </c>
      <c r="B43" s="72" t="s">
        <v>65</v>
      </c>
      <c r="C43" s="93" t="s">
        <v>200</v>
      </c>
    </row>
    <row r="44" spans="1:3">
      <c r="A44" s="70">
        <f t="shared" si="0"/>
        <v>44</v>
      </c>
      <c r="B44" s="7" t="s">
        <v>66</v>
      </c>
      <c r="C44" s="79"/>
    </row>
    <row r="45" spans="1:3">
      <c r="A45" s="70">
        <f t="shared" si="0"/>
        <v>45</v>
      </c>
      <c r="B45" s="72" t="s">
        <v>67</v>
      </c>
      <c r="C45" s="253">
        <f>NARITA!H25+'NARITA (2)'!H36</f>
        <v>333330</v>
      </c>
    </row>
    <row r="46" spans="1:3">
      <c r="A46" s="70">
        <f t="shared" si="0"/>
        <v>46</v>
      </c>
      <c r="B46" s="7" t="s">
        <v>68</v>
      </c>
      <c r="C46" s="80"/>
    </row>
    <row r="47" spans="1:3">
      <c r="A47" s="70">
        <f t="shared" si="0"/>
        <v>47</v>
      </c>
      <c r="B47" s="7" t="s">
        <v>68</v>
      </c>
      <c r="C47" s="79"/>
    </row>
    <row r="48" spans="1:3">
      <c r="A48" s="70">
        <f t="shared" si="0"/>
        <v>48</v>
      </c>
      <c r="B48" s="7" t="s">
        <v>55</v>
      </c>
      <c r="C48" s="81" t="s">
        <v>91</v>
      </c>
    </row>
    <row r="49" spans="1:3">
      <c r="A49" s="70">
        <f t="shared" si="0"/>
        <v>49</v>
      </c>
      <c r="B49" s="72" t="s">
        <v>69</v>
      </c>
      <c r="C49" s="2" t="str">
        <f>C27</f>
        <v xml:space="preserve"> SY-430518-VT-DD-01</v>
      </c>
    </row>
    <row r="50" spans="1:3">
      <c r="A50" s="70">
        <f t="shared" si="0"/>
        <v>50</v>
      </c>
      <c r="B50" s="72" t="s">
        <v>70</v>
      </c>
      <c r="C50" s="2" t="s">
        <v>111</v>
      </c>
    </row>
    <row r="51" spans="1:3">
      <c r="A51" s="70">
        <f t="shared" si="0"/>
        <v>51</v>
      </c>
      <c r="B51" s="72" t="s">
        <v>71</v>
      </c>
      <c r="C51" s="2" t="s">
        <v>112</v>
      </c>
    </row>
    <row r="52" spans="1:3">
      <c r="A52" s="70">
        <f t="shared" si="0"/>
        <v>52</v>
      </c>
      <c r="B52" s="72" t="s">
        <v>72</v>
      </c>
      <c r="C52" s="2" t="str">
        <f>C33</f>
        <v xml:space="preserve"> HOCHIMINH-CITY, VIETNAM</v>
      </c>
    </row>
    <row r="53" spans="1:3">
      <c r="A53" s="70">
        <f t="shared" si="0"/>
        <v>53</v>
      </c>
      <c r="B53" s="72" t="s">
        <v>73</v>
      </c>
      <c r="C53" s="90"/>
    </row>
    <row r="54" spans="1:3">
      <c r="A54" s="70">
        <f t="shared" si="0"/>
        <v>54</v>
      </c>
      <c r="B54" s="72" t="s">
        <v>75</v>
      </c>
      <c r="C54" s="2" t="s">
        <v>74</v>
      </c>
    </row>
    <row r="55" spans="1:3">
      <c r="A55" s="70">
        <f t="shared" si="0"/>
        <v>55</v>
      </c>
      <c r="B55" s="7" t="s">
        <v>76</v>
      </c>
      <c r="C55" s="248" t="s">
        <v>204</v>
      </c>
    </row>
    <row r="56" spans="1:3">
      <c r="A56" s="70">
        <f t="shared" si="0"/>
        <v>56</v>
      </c>
      <c r="B56" s="7" t="s">
        <v>77</v>
      </c>
      <c r="C56" s="7"/>
    </row>
    <row r="57" spans="1:3">
      <c r="A57" s="70">
        <f t="shared" si="0"/>
        <v>57</v>
      </c>
      <c r="B57" s="7"/>
    </row>
    <row r="58" spans="1:3">
      <c r="A58" s="70">
        <f t="shared" si="0"/>
        <v>58</v>
      </c>
      <c r="B58" s="7"/>
    </row>
    <row r="59" spans="1:3">
      <c r="A59" s="70">
        <f t="shared" si="0"/>
        <v>59</v>
      </c>
      <c r="B59" s="7"/>
    </row>
    <row r="60" spans="1:3">
      <c r="A60" s="70">
        <f t="shared" si="0"/>
        <v>60</v>
      </c>
      <c r="B60" s="7" t="s">
        <v>78</v>
      </c>
      <c r="C60" s="2" t="s">
        <v>79</v>
      </c>
    </row>
    <row r="61" spans="1:3">
      <c r="A61" s="70">
        <f t="shared" si="0"/>
        <v>61</v>
      </c>
      <c r="B61" s="7" t="s">
        <v>80</v>
      </c>
    </row>
    <row r="62" spans="1:3">
      <c r="A62" s="70">
        <f t="shared" si="0"/>
        <v>62</v>
      </c>
      <c r="B62" s="7"/>
    </row>
    <row r="63" spans="1:3">
      <c r="A63" s="70">
        <f t="shared" si="0"/>
        <v>63</v>
      </c>
      <c r="B63" s="92" t="s">
        <v>114</v>
      </c>
      <c r="C63" s="90" t="s">
        <v>116</v>
      </c>
    </row>
    <row r="64" spans="1:3">
      <c r="A64" s="70">
        <f t="shared" si="0"/>
        <v>64</v>
      </c>
      <c r="B64" s="7"/>
      <c r="C64" s="90" t="s">
        <v>117</v>
      </c>
    </row>
    <row r="65" spans="1:3">
      <c r="A65" s="70">
        <f t="shared" si="0"/>
        <v>65</v>
      </c>
      <c r="B65" s="7"/>
    </row>
    <row r="66" spans="1:3">
      <c r="A66" s="70">
        <f t="shared" si="0"/>
        <v>66</v>
      </c>
      <c r="B66" s="7"/>
    </row>
    <row r="67" spans="1:3">
      <c r="A67" s="70">
        <f t="shared" si="0"/>
        <v>67</v>
      </c>
      <c r="B67" s="7" t="s">
        <v>81</v>
      </c>
      <c r="C67" s="68"/>
    </row>
    <row r="68" spans="1:3">
      <c r="A68" s="70">
        <f t="shared" si="0"/>
        <v>68</v>
      </c>
      <c r="B68" s="72" t="s">
        <v>82</v>
      </c>
      <c r="C68" s="2" t="s">
        <v>106</v>
      </c>
    </row>
    <row r="69" spans="1:3">
      <c r="A69" s="70">
        <f t="shared" ref="A69:A86" si="1">A68+1</f>
        <v>69</v>
      </c>
      <c r="B69" s="7" t="s">
        <v>83</v>
      </c>
      <c r="C69" s="2" t="s">
        <v>104</v>
      </c>
    </row>
    <row r="70" spans="1:3">
      <c r="A70" s="70">
        <f t="shared" si="1"/>
        <v>70</v>
      </c>
      <c r="B70" s="7" t="s">
        <v>84</v>
      </c>
    </row>
    <row r="71" spans="1:3">
      <c r="A71" s="70">
        <f t="shared" si="1"/>
        <v>71</v>
      </c>
      <c r="B71" s="7"/>
    </row>
    <row r="72" spans="1:3">
      <c r="A72" s="70">
        <f t="shared" si="1"/>
        <v>72</v>
      </c>
      <c r="B72" s="7"/>
    </row>
    <row r="73" spans="1:3">
      <c r="A73" s="70">
        <f t="shared" si="1"/>
        <v>73</v>
      </c>
      <c r="B73" s="7"/>
    </row>
    <row r="74" spans="1:3">
      <c r="A74" s="70">
        <f t="shared" si="1"/>
        <v>74</v>
      </c>
      <c r="B74" s="7"/>
    </row>
    <row r="75" spans="1:3">
      <c r="A75" s="70">
        <f t="shared" si="1"/>
        <v>75</v>
      </c>
      <c r="B75" s="7" t="s">
        <v>85</v>
      </c>
      <c r="C75" s="2" t="s">
        <v>102</v>
      </c>
    </row>
    <row r="76" spans="1:3">
      <c r="A76" s="70">
        <f t="shared" si="1"/>
        <v>76</v>
      </c>
      <c r="B76" s="7" t="s">
        <v>86</v>
      </c>
      <c r="C76" s="7"/>
    </row>
    <row r="77" spans="1:3">
      <c r="A77" s="70">
        <f t="shared" si="1"/>
        <v>77</v>
      </c>
      <c r="B77" s="7"/>
    </row>
    <row r="78" spans="1:3">
      <c r="A78" s="70">
        <f t="shared" si="1"/>
        <v>78</v>
      </c>
      <c r="B78" s="7" t="s">
        <v>87</v>
      </c>
      <c r="C78" s="2" t="s">
        <v>105</v>
      </c>
    </row>
    <row r="79" spans="1:3">
      <c r="A79" s="70">
        <f t="shared" si="1"/>
        <v>79</v>
      </c>
      <c r="B79" s="7" t="s">
        <v>88</v>
      </c>
      <c r="C79" s="2" t="s">
        <v>105</v>
      </c>
    </row>
    <row r="80" spans="1:3">
      <c r="A80" s="70">
        <f t="shared" si="1"/>
        <v>80</v>
      </c>
      <c r="B80" s="7"/>
    </row>
    <row r="81" spans="1:3">
      <c r="A81" s="70">
        <f t="shared" si="1"/>
        <v>81</v>
      </c>
      <c r="B81" s="7" t="s">
        <v>89</v>
      </c>
      <c r="C81" s="77" t="s">
        <v>147</v>
      </c>
    </row>
    <row r="82" spans="1:3">
      <c r="A82" s="70">
        <f t="shared" si="1"/>
        <v>82</v>
      </c>
      <c r="B82" s="7"/>
    </row>
    <row r="83" spans="1:3">
      <c r="A83" s="70">
        <f t="shared" si="1"/>
        <v>83</v>
      </c>
      <c r="B83" s="7" t="s">
        <v>90</v>
      </c>
      <c r="C83" s="2" t="s">
        <v>101</v>
      </c>
    </row>
    <row r="84" spans="1:3">
      <c r="A84" s="70">
        <f t="shared" si="1"/>
        <v>84</v>
      </c>
      <c r="B84" s="7"/>
    </row>
    <row r="85" spans="1:3">
      <c r="A85" s="70">
        <f t="shared" si="1"/>
        <v>85</v>
      </c>
      <c r="B85" s="7"/>
    </row>
    <row r="86" spans="1:3">
      <c r="A86" s="70">
        <f t="shared" si="1"/>
        <v>86</v>
      </c>
      <c r="B86" s="7"/>
    </row>
    <row r="87" spans="1:3">
      <c r="B87" s="7"/>
    </row>
    <row r="88" spans="1:3">
      <c r="B88" s="7"/>
    </row>
    <row r="89" spans="1:3">
      <c r="B89" s="7"/>
    </row>
    <row r="90" spans="1:3">
      <c r="B90" s="7"/>
    </row>
    <row r="91" spans="1:3">
      <c r="B91" s="7"/>
    </row>
    <row r="92" spans="1:3">
      <c r="B92" s="7"/>
    </row>
    <row r="93" spans="1:3">
      <c r="B93" s="7"/>
    </row>
    <row r="95" spans="1:3">
      <c r="B95" s="7"/>
    </row>
    <row r="96" spans="1:3">
      <c r="B96" s="7"/>
    </row>
    <row r="97" spans="2:2">
      <c r="B97" s="7"/>
    </row>
    <row r="98" spans="2:2">
      <c r="B98" s="7"/>
    </row>
    <row r="99" spans="2:2">
      <c r="B99" s="7"/>
    </row>
    <row r="100" spans="2:2">
      <c r="B100" s="7"/>
    </row>
    <row r="101" spans="2:2">
      <c r="B101" s="7"/>
    </row>
    <row r="102" spans="2:2">
      <c r="B102" s="7"/>
    </row>
    <row r="103" spans="2:2">
      <c r="B103" s="7"/>
    </row>
    <row r="104" spans="2:2">
      <c r="B104" s="7"/>
    </row>
    <row r="105" spans="2:2">
      <c r="B105" s="7"/>
    </row>
    <row r="106" spans="2:2">
      <c r="B106" s="7"/>
    </row>
    <row r="107" spans="2:2">
      <c r="B107" s="7"/>
    </row>
    <row r="108" spans="2:2">
      <c r="B108" s="7"/>
    </row>
    <row r="109" spans="2:2">
      <c r="B109" s="7"/>
    </row>
    <row r="110" spans="2:2">
      <c r="B110" s="7"/>
    </row>
    <row r="111" spans="2:2">
      <c r="B111" s="7"/>
    </row>
    <row r="112" spans="2:2">
      <c r="B112" s="7"/>
    </row>
    <row r="113" spans="2:2">
      <c r="B113" s="7"/>
    </row>
    <row r="114" spans="2:2">
      <c r="B114" s="7"/>
    </row>
    <row r="115" spans="2:2">
      <c r="B115" s="7"/>
    </row>
    <row r="116" spans="2:2">
      <c r="B116" s="7"/>
    </row>
    <row r="117" spans="2:2">
      <c r="B117" s="7"/>
    </row>
    <row r="118" spans="2:2">
      <c r="B118" s="7"/>
    </row>
    <row r="119" spans="2:2">
      <c r="B119" s="7"/>
    </row>
    <row r="120" spans="2:2">
      <c r="B120" s="7"/>
    </row>
    <row r="121" spans="2:2">
      <c r="B121" s="7"/>
    </row>
    <row r="122" spans="2:2">
      <c r="B122" s="7"/>
    </row>
    <row r="123" spans="2:2">
      <c r="B123" s="7"/>
    </row>
    <row r="124" spans="2:2">
      <c r="B124" s="7"/>
    </row>
    <row r="125" spans="2:2">
      <c r="B125" s="7"/>
    </row>
    <row r="126" spans="2:2">
      <c r="B126" s="7"/>
    </row>
    <row r="127" spans="2:2">
      <c r="B127" s="7"/>
    </row>
    <row r="128" spans="2:2">
      <c r="B128" s="7"/>
    </row>
    <row r="129" spans="2:2">
      <c r="B129" s="7"/>
    </row>
    <row r="130" spans="2:2">
      <c r="B130" s="7"/>
    </row>
    <row r="131" spans="2:2">
      <c r="B131" s="7"/>
    </row>
    <row r="132" spans="2:2">
      <c r="B132" s="7"/>
    </row>
    <row r="133" spans="2:2">
      <c r="B133" s="7"/>
    </row>
    <row r="134" spans="2:2">
      <c r="B134" s="7"/>
    </row>
    <row r="135" spans="2:2">
      <c r="B135" s="7"/>
    </row>
    <row r="136" spans="2:2">
      <c r="B136" s="7"/>
    </row>
    <row r="137" spans="2:2">
      <c r="B137" s="7"/>
    </row>
    <row r="138" spans="2:2">
      <c r="B138" s="7"/>
    </row>
    <row r="139" spans="2:2">
      <c r="B139" s="7"/>
    </row>
    <row r="140" spans="2:2">
      <c r="B140" s="7"/>
    </row>
    <row r="141" spans="2:2">
      <c r="B141" s="7"/>
    </row>
    <row r="142" spans="2:2">
      <c r="B142" s="7"/>
    </row>
    <row r="143" spans="2:2">
      <c r="B143" s="7"/>
    </row>
    <row r="144" spans="2:2">
      <c r="B144" s="7"/>
    </row>
    <row r="145" spans="2:2">
      <c r="B145" s="7"/>
    </row>
    <row r="146" spans="2:2">
      <c r="B146" s="7"/>
    </row>
    <row r="147" spans="2:2">
      <c r="B147" s="7"/>
    </row>
    <row r="148" spans="2:2">
      <c r="B148" s="7"/>
    </row>
    <row r="149" spans="2:2">
      <c r="B149" s="7"/>
    </row>
  </sheetData>
  <phoneticPr fontId="9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L93"/>
  <sheetViews>
    <sheetView showZeros="0" topLeftCell="A16" zoomScale="115" zoomScaleNormal="115" workbookViewId="0">
      <selection activeCell="C41" sqref="C41"/>
    </sheetView>
  </sheetViews>
  <sheetFormatPr defaultColWidth="9" defaultRowHeight="16"/>
  <cols>
    <col min="1" max="1" width="8.6328125" style="4" customWidth="1"/>
    <col min="2" max="2" width="11.6328125" style="4" customWidth="1"/>
    <col min="3" max="3" width="23.36328125" style="4" customWidth="1"/>
    <col min="4" max="4" width="6.08984375" style="4" customWidth="1"/>
    <col min="5" max="6" width="3.08984375" style="4" customWidth="1"/>
    <col min="7" max="7" width="2.90625" style="4" customWidth="1"/>
    <col min="8" max="8" width="3.08984375" style="4" hidden="1" customWidth="1"/>
    <col min="9" max="9" width="8.453125" style="4" customWidth="1"/>
    <col min="10" max="10" width="9.90625" style="4" customWidth="1"/>
    <col min="11" max="11" width="13" style="4" customWidth="1"/>
    <col min="12" max="12" width="13.90625" style="4" customWidth="1"/>
    <col min="13" max="16384" width="9" style="4"/>
  </cols>
  <sheetData>
    <row r="1" spans="1:12" s="62" customFormat="1" ht="32.25" customHeight="1">
      <c r="A1" s="524" t="s">
        <v>29</v>
      </c>
      <c r="B1" s="524"/>
      <c r="C1" s="524"/>
      <c r="D1" s="524"/>
      <c r="E1" s="524"/>
      <c r="F1" s="524"/>
      <c r="G1" s="524"/>
      <c r="H1" s="524"/>
      <c r="I1" s="524"/>
      <c r="J1" s="524"/>
      <c r="K1" s="524"/>
      <c r="L1" s="524"/>
    </row>
    <row r="2" spans="1:12" ht="23.25" customHeight="1">
      <c r="A2" s="88" t="str">
        <f>'shipper master'!C2</f>
        <v xml:space="preserve"> SHUNYA CO., LTD.</v>
      </c>
      <c r="B2" s="6"/>
      <c r="C2" s="6"/>
      <c r="D2" s="6"/>
      <c r="K2" s="5"/>
    </row>
    <row r="3" spans="1:12" ht="15.75" customHeight="1">
      <c r="A3" s="3" t="str">
        <f>'shipper master'!C3</f>
        <v xml:space="preserve"> KENSHIN BLDG., 1F, 1-22-10 DOUGENZAKA,</v>
      </c>
      <c r="B3" s="6"/>
      <c r="C3" s="6"/>
      <c r="D3" s="6"/>
      <c r="K3" s="5"/>
    </row>
    <row r="4" spans="1:12" ht="18" customHeight="1">
      <c r="A4" s="3" t="str">
        <f>'shipper master'!C4</f>
        <v xml:space="preserve"> SHIBUYA-KU 150-0043</v>
      </c>
      <c r="B4" s="6"/>
      <c r="C4" s="6"/>
      <c r="D4" s="6"/>
      <c r="E4" s="28"/>
      <c r="F4" s="28"/>
      <c r="G4" s="28"/>
      <c r="H4" s="28"/>
      <c r="I4" s="28"/>
      <c r="K4" s="3">
        <f>'shipper master'!C6</f>
        <v>0</v>
      </c>
    </row>
    <row r="5" spans="1:12" ht="16.5" thickBot="1">
      <c r="A5" s="29" t="str">
        <f>'shipper master'!C5</f>
        <v xml:space="preserve"> TEL : +81(0)3-5459-1177</v>
      </c>
      <c r="B5" s="6"/>
      <c r="C5" s="6"/>
      <c r="K5" s="3">
        <f>'shipper master'!C7</f>
        <v>0</v>
      </c>
      <c r="L5" s="12"/>
    </row>
    <row r="6" spans="1:12" ht="13.4" customHeight="1">
      <c r="A6" s="30" t="s">
        <v>103</v>
      </c>
      <c r="B6" s="31"/>
      <c r="C6" s="31"/>
      <c r="D6" s="31"/>
      <c r="E6" s="32" t="s">
        <v>10</v>
      </c>
      <c r="F6" s="33"/>
      <c r="G6" s="33"/>
      <c r="H6" s="33"/>
      <c r="I6" s="31"/>
      <c r="J6" s="31"/>
      <c r="K6" s="32" t="s">
        <v>19</v>
      </c>
      <c r="L6" s="5"/>
    </row>
    <row r="7" spans="1:12" ht="13.4" customHeight="1">
      <c r="A7" s="3" t="str">
        <f>'shipper master'!C9</f>
        <v>VIVAN GARMENTS VIET NAM COMPANY LIMITED</v>
      </c>
      <c r="B7" s="5"/>
      <c r="C7" s="5"/>
      <c r="D7" s="5"/>
      <c r="E7" s="10" t="str">
        <f>'shipper master'!C26</f>
        <v xml:space="preserve"> SY-430518-VT-DD-01</v>
      </c>
      <c r="F7" s="8"/>
      <c r="G7" s="8"/>
      <c r="H7" s="8"/>
      <c r="I7" s="8"/>
      <c r="J7" s="8"/>
      <c r="K7" s="34"/>
      <c r="L7" s="5"/>
    </row>
    <row r="8" spans="1:12" ht="13.4" customHeight="1">
      <c r="A8" s="3" t="str">
        <f>'shipper master'!C10</f>
        <v>No.10 , D17 Street , Sai Gon South Residential Area</v>
      </c>
      <c r="B8" s="5"/>
      <c r="C8" s="5"/>
      <c r="D8" s="5"/>
      <c r="E8" s="35" t="s">
        <v>11</v>
      </c>
      <c r="F8" s="30"/>
      <c r="G8" s="30"/>
      <c r="H8" s="30"/>
      <c r="I8" s="5"/>
      <c r="J8" s="5"/>
      <c r="K8" s="36" t="str">
        <f>'[1]shipper master'!C49</f>
        <v xml:space="preserve"> SYVI-011201-VT-DD-01</v>
      </c>
      <c r="L8" s="5"/>
    </row>
    <row r="9" spans="1:12" ht="13.4" customHeight="1">
      <c r="A9" s="3" t="str">
        <f>'shipper master'!C11</f>
        <v>Hamlet 3 , Long Hau Commune , Can Giuoc District,</v>
      </c>
      <c r="B9" s="5"/>
      <c r="C9" s="5"/>
      <c r="D9" s="5"/>
      <c r="E9" s="63" t="str">
        <f>'shipper master'!C25</f>
        <v>May,26 2022</v>
      </c>
      <c r="F9" s="64"/>
      <c r="G9" s="64"/>
      <c r="H9" s="64"/>
      <c r="I9" s="64"/>
      <c r="J9" s="65"/>
      <c r="K9" s="36" t="str">
        <f>'[1]shipper master'!C50</f>
        <v xml:space="preserve">VIVAN GARMENTS VIET NAM </v>
      </c>
      <c r="L9" s="5"/>
    </row>
    <row r="10" spans="1:12" ht="13.4" customHeight="1">
      <c r="A10" s="3" t="str">
        <f>'shipper master'!C12</f>
        <v xml:space="preserve"> Long An Province , VietNam</v>
      </c>
      <c r="B10" s="5"/>
      <c r="C10" s="5"/>
      <c r="D10" s="5"/>
      <c r="E10" s="35" t="s">
        <v>12</v>
      </c>
      <c r="F10" s="30"/>
      <c r="G10" s="30"/>
      <c r="H10" s="30"/>
      <c r="I10" s="5"/>
      <c r="J10" s="5"/>
      <c r="K10" s="36" t="str">
        <f>'[1]shipper master'!C51</f>
        <v xml:space="preserve"> COMPANY LIMITED</v>
      </c>
      <c r="L10" s="5"/>
    </row>
    <row r="11" spans="1:12" ht="13.4" customHeight="1">
      <c r="A11" s="8" t="str">
        <f>'shipper master'!C13</f>
        <v xml:space="preserve"> TEL : :   ( 084 ) 097 22 00 798  ATTN : MR. TUAN</v>
      </c>
      <c r="B11" s="5"/>
      <c r="C11" s="5"/>
      <c r="D11" s="38"/>
      <c r="E11" s="525" t="str">
        <f>'shipper master'!C27</f>
        <v xml:space="preserve"> SY-430518-VT-DD-01</v>
      </c>
      <c r="F11" s="526"/>
      <c r="G11" s="526"/>
      <c r="H11" s="526"/>
      <c r="I11" s="526"/>
      <c r="J11" s="527"/>
      <c r="K11" s="36" t="str">
        <f>'[1]shipper master'!C52</f>
        <v xml:space="preserve"> HOCHIMINH-CITY, VIETNAM</v>
      </c>
      <c r="L11" s="5"/>
    </row>
    <row r="12" spans="1:12" ht="13.4" customHeight="1">
      <c r="A12" s="30" t="s">
        <v>9</v>
      </c>
      <c r="B12" s="15"/>
      <c r="C12" s="15"/>
      <c r="D12" s="5"/>
      <c r="E12" s="35" t="s">
        <v>31</v>
      </c>
      <c r="F12" s="30"/>
      <c r="G12" s="30"/>
      <c r="H12" s="30"/>
      <c r="I12" s="5"/>
      <c r="J12" s="5"/>
      <c r="K12" s="213" t="s">
        <v>160</v>
      </c>
      <c r="L12" s="5"/>
    </row>
    <row r="13" spans="1:12" ht="13.4" customHeight="1">
      <c r="A13" s="3" t="str">
        <f>'shipper master'!C15</f>
        <v xml:space="preserve"> - SAME AS BUYER -</v>
      </c>
      <c r="B13" s="5"/>
      <c r="C13" s="5"/>
      <c r="D13" s="5"/>
      <c r="E13" s="525">
        <f>'shipper master'!C30</f>
        <v>0</v>
      </c>
      <c r="F13" s="526"/>
      <c r="G13" s="526"/>
      <c r="H13" s="526"/>
      <c r="I13" s="526"/>
      <c r="J13" s="527"/>
      <c r="K13" s="36" t="str">
        <f>'shipper master'!C54</f>
        <v xml:space="preserve"> MADE IN JAPAN</v>
      </c>
      <c r="L13" s="5"/>
    </row>
    <row r="14" spans="1:12" ht="13.4" customHeight="1">
      <c r="A14" s="3">
        <f>'shipper master'!C16</f>
        <v>0</v>
      </c>
      <c r="B14" s="5"/>
      <c r="C14" s="5"/>
      <c r="D14" s="5"/>
      <c r="E14" s="74" t="s">
        <v>32</v>
      </c>
      <c r="F14" s="3"/>
      <c r="G14" s="3"/>
      <c r="H14" s="3"/>
      <c r="I14" s="3"/>
      <c r="J14" s="73"/>
      <c r="K14" s="36"/>
      <c r="L14" s="5"/>
    </row>
    <row r="15" spans="1:12" ht="13.4" customHeight="1">
      <c r="A15" s="3">
        <f>'shipper master'!C17</f>
        <v>0</v>
      </c>
      <c r="B15" s="5"/>
      <c r="C15" s="5"/>
      <c r="D15" s="5"/>
      <c r="E15" s="525">
        <f>'shipper master'!C29</f>
        <v>0</v>
      </c>
      <c r="F15" s="526"/>
      <c r="G15" s="526"/>
      <c r="H15" s="526"/>
      <c r="I15" s="526"/>
      <c r="J15" s="527"/>
      <c r="K15" s="34"/>
      <c r="L15" s="5"/>
    </row>
    <row r="16" spans="1:12" ht="13.4" customHeight="1">
      <c r="A16" s="3">
        <f>'shipper master'!C18</f>
        <v>0</v>
      </c>
      <c r="B16" s="5"/>
      <c r="C16" s="5"/>
      <c r="D16" s="5"/>
      <c r="E16" s="35" t="s">
        <v>13</v>
      </c>
      <c r="F16" s="30"/>
      <c r="G16" s="30"/>
      <c r="H16" s="30"/>
      <c r="I16" s="5"/>
      <c r="J16" s="5"/>
      <c r="K16" s="34"/>
      <c r="L16" s="5"/>
    </row>
    <row r="17" spans="1:12" ht="13.4" customHeight="1">
      <c r="A17" s="8">
        <f>'shipper master'!C19</f>
        <v>0</v>
      </c>
      <c r="B17" s="37"/>
      <c r="C17" s="37"/>
      <c r="D17" s="37"/>
      <c r="E17" s="528"/>
      <c r="F17" s="529"/>
      <c r="G17" s="529"/>
      <c r="H17" s="529"/>
      <c r="I17" s="529"/>
      <c r="J17" s="530"/>
      <c r="K17" s="34"/>
      <c r="L17" s="5"/>
    </row>
    <row r="18" spans="1:12" ht="13.15" customHeight="1">
      <c r="A18" s="30" t="s">
        <v>14</v>
      </c>
      <c r="B18" s="5"/>
      <c r="C18" s="5"/>
      <c r="D18" s="5"/>
      <c r="E18" s="5"/>
      <c r="F18" s="5"/>
      <c r="G18" s="5"/>
      <c r="H18" s="5"/>
      <c r="I18" s="5"/>
      <c r="J18" s="5"/>
      <c r="K18" s="34"/>
      <c r="L18" s="5"/>
    </row>
    <row r="19" spans="1:12" ht="13.15" customHeight="1">
      <c r="A19" s="8" t="str">
        <f>'shipper master'!C21</f>
        <v xml:space="preserve"> NO COMMERCIAL</v>
      </c>
      <c r="B19" s="37"/>
      <c r="C19" s="37"/>
      <c r="D19" s="37"/>
      <c r="E19" s="37"/>
      <c r="F19" s="37"/>
      <c r="G19" s="37"/>
      <c r="H19" s="37"/>
      <c r="I19" s="37"/>
      <c r="J19" s="37"/>
      <c r="K19" s="66"/>
      <c r="L19" s="37"/>
    </row>
    <row r="20" spans="1:12" ht="13.15" customHeight="1">
      <c r="A20" s="30" t="s">
        <v>15</v>
      </c>
      <c r="B20" s="5"/>
      <c r="C20" s="39" t="s">
        <v>16</v>
      </c>
      <c r="D20" s="40"/>
      <c r="E20" s="30" t="s">
        <v>17</v>
      </c>
      <c r="F20" s="30"/>
      <c r="G20" s="30"/>
      <c r="H20" s="30"/>
      <c r="I20" s="41" t="s">
        <v>1</v>
      </c>
      <c r="J20" s="42"/>
      <c r="K20" s="30" t="s">
        <v>18</v>
      </c>
      <c r="L20" s="5"/>
    </row>
    <row r="21" spans="1:12" s="1" customFormat="1" ht="13.15" customHeight="1" thickBot="1">
      <c r="A21" s="3" t="str">
        <f>'shipper master'!C24</f>
        <v xml:space="preserve"> AIRCRAFT</v>
      </c>
      <c r="B21" s="29"/>
      <c r="C21" s="43" t="str">
        <f>'shipper master'!C32</f>
        <v xml:space="preserve"> TOKYO, JAPAN</v>
      </c>
      <c r="D21" s="7"/>
      <c r="E21" s="7"/>
      <c r="F21" s="7" t="str">
        <f>'shipper master'!C33</f>
        <v xml:space="preserve"> HOCHIMINH-CITY, VIETNAM</v>
      </c>
      <c r="G21" s="3"/>
      <c r="H21" s="3"/>
      <c r="I21" s="29"/>
      <c r="J21" s="29"/>
      <c r="K21" s="7"/>
      <c r="L21" s="29"/>
    </row>
    <row r="22" spans="1:12" s="55" customFormat="1" ht="16.149999999999999" customHeight="1">
      <c r="A22" s="52" t="s">
        <v>23</v>
      </c>
      <c r="B22" s="52" t="s">
        <v>25</v>
      </c>
      <c r="C22" s="53" t="s">
        <v>26</v>
      </c>
      <c r="D22" s="52" t="s">
        <v>28</v>
      </c>
      <c r="E22" s="53"/>
      <c r="F22" s="53"/>
      <c r="G22" s="53" t="s">
        <v>24</v>
      </c>
      <c r="H22" s="53"/>
      <c r="I22" s="53"/>
      <c r="J22" s="59" t="s">
        <v>20</v>
      </c>
      <c r="K22" s="52" t="s">
        <v>22</v>
      </c>
      <c r="L22" s="54" t="s">
        <v>21</v>
      </c>
    </row>
    <row r="23" spans="1:12" ht="13.4" customHeight="1">
      <c r="A23" s="13"/>
      <c r="B23" s="14"/>
      <c r="C23" s="5"/>
      <c r="D23" s="14"/>
      <c r="E23" s="5"/>
      <c r="F23" s="5"/>
      <c r="G23" s="5"/>
      <c r="H23" s="5"/>
      <c r="I23" s="5"/>
      <c r="J23" s="60"/>
      <c r="K23" s="5"/>
      <c r="L23" s="34"/>
    </row>
    <row r="24" spans="1:12" s="1" customFormat="1" ht="13.4" customHeight="1">
      <c r="A24" s="16"/>
      <c r="B24" s="17" t="str">
        <f>'shipper master'!C36</f>
        <v>FABRIC &amp; PARTS FOR WEAR</v>
      </c>
      <c r="C24" s="7"/>
      <c r="D24" s="7"/>
      <c r="E24" s="7"/>
      <c r="F24" s="7"/>
      <c r="G24" s="7"/>
      <c r="H24" s="7"/>
      <c r="I24" s="7"/>
      <c r="J24" s="61"/>
      <c r="K24" s="75" t="str">
        <f>'shipper master'!C48</f>
        <v>F.O.B. TOKYO IN YEN</v>
      </c>
      <c r="L24" s="44"/>
    </row>
    <row r="25" spans="1:12" s="1" customFormat="1" ht="13.4" customHeight="1">
      <c r="A25" s="16"/>
      <c r="B25" s="17"/>
      <c r="C25" s="7"/>
      <c r="D25" s="7"/>
      <c r="E25" s="7"/>
      <c r="F25" s="7"/>
      <c r="G25" s="7"/>
      <c r="H25" s="7"/>
      <c r="I25" s="7"/>
      <c r="J25" s="61"/>
      <c r="K25" s="228"/>
      <c r="L25" s="44"/>
    </row>
    <row r="26" spans="1:12" s="1" customFormat="1" ht="13.4" customHeight="1">
      <c r="A26" s="18"/>
      <c r="B26" s="17">
        <f>'shipper master'!C37</f>
        <v>0</v>
      </c>
      <c r="C26" s="7"/>
      <c r="D26" s="7"/>
      <c r="E26" s="3"/>
      <c r="F26" s="3"/>
      <c r="G26" s="3"/>
      <c r="H26" s="3"/>
      <c r="I26" s="3"/>
      <c r="J26" s="89"/>
      <c r="K26" s="45"/>
      <c r="L26" s="44"/>
    </row>
    <row r="27" spans="1:12" s="1" customFormat="1" ht="13.4" customHeight="1">
      <c r="A27" s="26"/>
      <c r="B27" s="7"/>
      <c r="C27" s="3"/>
      <c r="D27" s="7"/>
      <c r="E27" s="7"/>
      <c r="F27" s="7"/>
      <c r="G27" s="7"/>
      <c r="H27" s="7"/>
      <c r="I27" s="7"/>
      <c r="J27" s="229"/>
      <c r="K27" s="230"/>
      <c r="L27" s="231"/>
    </row>
    <row r="28" spans="1:12" s="1" customFormat="1" ht="13.4" customHeight="1">
      <c r="A28" s="19"/>
      <c r="B28" s="155" t="str">
        <f>'shipper master'!C38</f>
        <v>- DETAILS AS PER ATTACHED SHEET -</v>
      </c>
      <c r="C28" s="3"/>
      <c r="D28" s="7"/>
      <c r="E28" s="3"/>
      <c r="F28" s="3"/>
      <c r="G28" s="3"/>
      <c r="H28" s="3"/>
      <c r="I28" s="3"/>
      <c r="J28" s="232">
        <f>NARITA!E23+'NARITA (2)'!E33</f>
        <v>1034</v>
      </c>
      <c r="K28" s="233" t="str">
        <f>NARITA!F23</f>
        <v>M.</v>
      </c>
      <c r="L28" s="234">
        <f>NARITA!H23+'NARITA (2)'!H33</f>
        <v>322280</v>
      </c>
    </row>
    <row r="29" spans="1:12" s="1" customFormat="1" ht="13.4" customHeight="1">
      <c r="A29" s="19"/>
      <c r="B29" s="155"/>
      <c r="C29" s="3"/>
      <c r="D29" s="7"/>
      <c r="E29" s="3"/>
      <c r="F29" s="3"/>
      <c r="G29" s="3"/>
      <c r="H29" s="3"/>
      <c r="I29" s="3"/>
      <c r="J29" s="235">
        <f>'NARITA (2)'!E34</f>
        <v>709</v>
      </c>
      <c r="K29" s="233" t="str">
        <f>NARITA!F24</f>
        <v>PCS.</v>
      </c>
      <c r="L29" s="252">
        <f>'NARITA (2)'!H34</f>
        <v>11050</v>
      </c>
    </row>
    <row r="30" spans="1:12" s="1" customFormat="1" ht="13.4" customHeight="1">
      <c r="A30" s="19"/>
      <c r="B30" s="155"/>
      <c r="C30" s="3"/>
      <c r="D30" s="7"/>
      <c r="E30" s="3"/>
      <c r="F30" s="3"/>
      <c r="G30" s="3"/>
      <c r="H30" s="3"/>
      <c r="I30" s="3"/>
      <c r="J30" s="236"/>
      <c r="K30" s="237"/>
      <c r="L30" s="238"/>
    </row>
    <row r="31" spans="1:12" s="1" customFormat="1" ht="13.4" customHeight="1">
      <c r="A31" s="27"/>
      <c r="B31" s="9"/>
      <c r="C31" s="8"/>
      <c r="D31" s="9"/>
      <c r="E31" s="8"/>
      <c r="F31" s="8"/>
      <c r="G31" s="8"/>
      <c r="H31" s="8"/>
      <c r="I31" s="8"/>
      <c r="J31" s="239"/>
      <c r="K31" s="240"/>
      <c r="L31" s="241"/>
    </row>
    <row r="32" spans="1:12" s="1" customFormat="1" ht="17.25" customHeight="1" thickBot="1">
      <c r="A32" s="20"/>
      <c r="B32" s="21" t="s">
        <v>27</v>
      </c>
      <c r="C32" s="377">
        <f>J28</f>
        <v>1034</v>
      </c>
      <c r="D32" s="377" t="s">
        <v>120</v>
      </c>
      <c r="E32" s="531">
        <f>J29</f>
        <v>709</v>
      </c>
      <c r="F32" s="531"/>
      <c r="G32" s="531"/>
      <c r="H32" s="242">
        <f>H29</f>
        <v>0</v>
      </c>
      <c r="I32" s="243" t="s">
        <v>64</v>
      </c>
      <c r="J32" s="242">
        <f>J30</f>
        <v>0</v>
      </c>
      <c r="K32" s="243"/>
      <c r="L32" s="244">
        <f>SUM(L27:L30)</f>
        <v>333330</v>
      </c>
    </row>
    <row r="33" spans="1:12" s="1" customFormat="1" ht="13.4" customHeight="1" thickTop="1">
      <c r="A33" s="22"/>
      <c r="B33" s="23"/>
      <c r="C33" s="3"/>
      <c r="D33" s="57"/>
      <c r="E33" s="3"/>
      <c r="F33" s="57"/>
      <c r="G33" s="3"/>
      <c r="H33" s="3"/>
      <c r="I33" s="3"/>
      <c r="J33" s="19"/>
      <c r="K33" s="46"/>
      <c r="L33" s="22"/>
    </row>
    <row r="34" spans="1:12" s="1" customFormat="1" ht="13.4" customHeight="1">
      <c r="A34" s="3"/>
      <c r="B34" s="7"/>
      <c r="C34" s="3"/>
      <c r="D34" s="3"/>
      <c r="E34" s="3"/>
      <c r="F34" s="3"/>
      <c r="G34" s="3"/>
      <c r="H34" s="3"/>
      <c r="I34" s="3"/>
      <c r="J34" s="58"/>
      <c r="K34" s="46"/>
      <c r="L34" s="56"/>
    </row>
    <row r="35" spans="1:12" s="1" customFormat="1" ht="13.4" customHeight="1">
      <c r="A35" s="3" t="str">
        <f>'shipper master'!C63</f>
        <v>" THESE GOODS WILL BE RETURN TO JAPAN</v>
      </c>
      <c r="B35" s="91"/>
      <c r="C35" s="91"/>
      <c r="D35" s="91"/>
      <c r="E35" s="91"/>
      <c r="F35" s="3"/>
      <c r="G35" s="3"/>
      <c r="H35" s="3" t="s">
        <v>98</v>
      </c>
      <c r="I35" s="3"/>
      <c r="J35" s="58" t="s">
        <v>115</v>
      </c>
      <c r="K35" s="46"/>
      <c r="L35" s="3"/>
    </row>
    <row r="36" spans="1:12" s="1" customFormat="1" ht="13.4" customHeight="1">
      <c r="A36" s="523" t="str">
        <f>'shipper master'!C64</f>
        <v xml:space="preserve">  AFTER MANUFACTURED AT VIET NAM "</v>
      </c>
      <c r="B36" s="523"/>
      <c r="C36" s="523"/>
      <c r="D36" s="7"/>
      <c r="E36" s="3"/>
      <c r="F36" s="3"/>
      <c r="G36" s="3"/>
      <c r="H36" s="3" t="s">
        <v>99</v>
      </c>
      <c r="I36" s="3"/>
      <c r="J36" s="58" t="s">
        <v>118</v>
      </c>
      <c r="K36" s="46"/>
      <c r="L36" s="56"/>
    </row>
    <row r="37" spans="1:12" s="1" customFormat="1" ht="13.4" customHeight="1">
      <c r="A37" s="3"/>
      <c r="B37" s="7"/>
      <c r="C37" s="7">
        <f>'shipper master'!C58</f>
        <v>0</v>
      </c>
      <c r="D37" s="7"/>
      <c r="E37" s="3"/>
      <c r="F37" s="3"/>
      <c r="G37" s="3"/>
      <c r="H37" s="3"/>
      <c r="I37" s="3"/>
      <c r="J37" s="19"/>
      <c r="K37" s="46"/>
      <c r="L37" s="3"/>
    </row>
    <row r="38" spans="1:12" s="1" customFormat="1" ht="13.4" customHeight="1">
      <c r="A38" s="7" t="str">
        <f>'shipper master'!C60</f>
        <v>COUNTRY OF ORIGIN : JAPAN</v>
      </c>
      <c r="B38" s="7"/>
      <c r="C38" s="7"/>
      <c r="D38" s="7"/>
      <c r="E38" s="3"/>
      <c r="F38" s="3"/>
      <c r="G38" s="3"/>
      <c r="H38" s="3"/>
      <c r="I38" s="3"/>
      <c r="J38" s="19"/>
      <c r="K38" s="46"/>
      <c r="L38" s="3"/>
    </row>
    <row r="39" spans="1:12" s="1" customFormat="1" ht="13.4" customHeight="1">
      <c r="A39" s="7"/>
      <c r="B39" s="7"/>
      <c r="C39" s="7"/>
      <c r="D39" s="7"/>
      <c r="E39" s="3"/>
      <c r="F39" s="3"/>
      <c r="G39" s="3"/>
      <c r="H39" s="3"/>
      <c r="I39" s="3"/>
      <c r="J39" s="19"/>
      <c r="K39" s="46"/>
      <c r="L39" s="3"/>
    </row>
    <row r="40" spans="1:12" s="1" customFormat="1" ht="13.4" customHeight="1">
      <c r="A40" s="156" t="s">
        <v>138</v>
      </c>
      <c r="B40" s="114"/>
      <c r="C40" s="413" t="s">
        <v>203</v>
      </c>
      <c r="D40" s="7"/>
      <c r="E40" s="3"/>
      <c r="F40" s="3"/>
      <c r="G40" s="3"/>
      <c r="H40" s="3"/>
      <c r="I40" s="3"/>
      <c r="J40" s="19"/>
      <c r="K40" s="46"/>
      <c r="L40" s="3"/>
    </row>
    <row r="41" spans="1:12" s="1" customFormat="1" ht="13.4" customHeight="1">
      <c r="A41" s="156" t="s">
        <v>139</v>
      </c>
      <c r="B41" s="114"/>
      <c r="C41" s="227"/>
      <c r="D41" s="7"/>
      <c r="E41" s="3"/>
      <c r="F41" s="3"/>
      <c r="G41" s="3"/>
      <c r="H41" s="3"/>
      <c r="I41" s="3"/>
      <c r="J41" s="19"/>
      <c r="K41" s="46"/>
      <c r="L41" s="3"/>
    </row>
    <row r="42" spans="1:12" s="1" customFormat="1" ht="13.4" customHeight="1">
      <c r="A42" s="45"/>
      <c r="B42" s="17"/>
      <c r="C42" s="69"/>
      <c r="D42" s="17"/>
      <c r="E42" s="67"/>
      <c r="F42" s="67"/>
      <c r="G42" s="67"/>
      <c r="H42" s="3"/>
      <c r="I42" s="3"/>
      <c r="J42" s="19"/>
      <c r="K42" s="46"/>
      <c r="L42" s="3"/>
    </row>
    <row r="43" spans="1:12" ht="18" customHeight="1">
      <c r="A43" s="45"/>
      <c r="B43" s="5"/>
      <c r="C43" s="5"/>
      <c r="D43" s="5"/>
      <c r="E43" s="5"/>
      <c r="F43" s="5"/>
      <c r="G43" s="14"/>
      <c r="H43" s="5"/>
      <c r="I43" s="5"/>
      <c r="J43" s="14"/>
      <c r="K43" s="47"/>
      <c r="L43" s="5"/>
    </row>
    <row r="44" spans="1:12" ht="13.4" customHeight="1">
      <c r="A44" s="5"/>
      <c r="B44" s="48"/>
      <c r="C44" s="5"/>
      <c r="D44" s="5"/>
      <c r="E44" s="5"/>
      <c r="F44" s="5"/>
      <c r="G44" s="5"/>
      <c r="H44" s="5"/>
      <c r="I44" s="5"/>
      <c r="J44" s="24"/>
      <c r="K44" s="47"/>
      <c r="L44" s="5"/>
    </row>
    <row r="45" spans="1:12" ht="13.4" customHeight="1">
      <c r="A45" s="5"/>
      <c r="B45" s="48"/>
      <c r="C45" s="5"/>
      <c r="D45" s="5"/>
      <c r="E45" s="5"/>
      <c r="F45" s="5"/>
      <c r="G45" s="5"/>
      <c r="H45" s="5"/>
      <c r="I45" s="5"/>
      <c r="J45" s="24"/>
      <c r="K45" s="47"/>
      <c r="L45" s="5"/>
    </row>
    <row r="46" spans="1:12" ht="13.4" customHeight="1">
      <c r="A46" s="5"/>
      <c r="B46" s="5"/>
      <c r="C46" s="5"/>
      <c r="D46" s="5"/>
      <c r="E46" s="5"/>
      <c r="F46" s="5"/>
      <c r="G46" s="37"/>
      <c r="H46" s="37"/>
      <c r="I46" s="37"/>
      <c r="J46" s="49"/>
      <c r="K46" s="50"/>
      <c r="L46" s="37"/>
    </row>
    <row r="47" spans="1:12" ht="13.4" customHeight="1">
      <c r="A47" s="5"/>
      <c r="B47" s="5"/>
      <c r="C47" s="5"/>
      <c r="D47" s="5"/>
      <c r="E47" s="5"/>
      <c r="F47" s="5"/>
      <c r="G47" s="5"/>
      <c r="H47" s="5"/>
      <c r="I47" s="5"/>
      <c r="J47" s="24"/>
      <c r="K47" s="47"/>
      <c r="L47" s="5"/>
    </row>
    <row r="48" spans="1:12" ht="13.4" customHeight="1">
      <c r="A48" s="5"/>
      <c r="B48" s="5"/>
      <c r="C48" s="5"/>
      <c r="D48" s="5"/>
      <c r="E48" s="5"/>
      <c r="F48" s="5"/>
      <c r="G48" s="5"/>
      <c r="H48" s="5"/>
      <c r="I48" s="5"/>
      <c r="J48" s="24"/>
      <c r="K48" s="47"/>
      <c r="L48" s="5"/>
    </row>
    <row r="49" spans="1:12" ht="13.4" customHeight="1">
      <c r="A49" s="5"/>
      <c r="B49" s="5"/>
      <c r="C49" s="5"/>
      <c r="D49" s="5"/>
      <c r="E49" s="5"/>
      <c r="F49" s="5"/>
      <c r="G49" s="5"/>
      <c r="H49" s="5"/>
      <c r="I49" s="5"/>
      <c r="J49" s="24"/>
      <c r="K49" s="47"/>
      <c r="L49" s="5"/>
    </row>
    <row r="50" spans="1:12">
      <c r="A50" s="5"/>
      <c r="B50" s="5"/>
      <c r="C50" s="5"/>
      <c r="D50" s="5"/>
      <c r="E50" s="5"/>
      <c r="F50" s="5"/>
      <c r="G50" s="5"/>
      <c r="H50" s="5"/>
      <c r="I50" s="5"/>
      <c r="J50" s="24"/>
      <c r="K50" s="47"/>
      <c r="L50" s="5"/>
    </row>
    <row r="51" spans="1:12">
      <c r="A51" s="5"/>
      <c r="B51" s="5"/>
      <c r="C51" s="5"/>
      <c r="D51" s="5"/>
      <c r="E51" s="5"/>
      <c r="F51" s="5"/>
      <c r="G51" s="5"/>
      <c r="H51" s="5"/>
      <c r="I51" s="5"/>
      <c r="J51" s="24"/>
      <c r="K51" s="51"/>
      <c r="L51" s="5"/>
    </row>
    <row r="52" spans="1:12">
      <c r="A52" s="5"/>
      <c r="B52" s="5"/>
      <c r="C52" s="5"/>
      <c r="D52" s="5"/>
      <c r="E52" s="5"/>
      <c r="F52" s="5"/>
      <c r="G52" s="5"/>
      <c r="H52" s="5"/>
      <c r="I52" s="5"/>
      <c r="J52" s="24"/>
      <c r="K52" s="51"/>
      <c r="L52" s="5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24"/>
      <c r="K53" s="51"/>
      <c r="L53" s="5"/>
    </row>
    <row r="54" spans="1:12">
      <c r="A54" s="5"/>
      <c r="B54" s="5"/>
      <c r="C54" s="5"/>
      <c r="D54" s="5"/>
      <c r="E54" s="5"/>
      <c r="F54" s="5"/>
      <c r="G54" s="5"/>
      <c r="H54" s="5"/>
      <c r="I54" s="5"/>
      <c r="J54" s="24"/>
      <c r="K54" s="51"/>
      <c r="L54" s="5"/>
    </row>
    <row r="55" spans="1:12">
      <c r="A55" s="5"/>
      <c r="B55" s="5"/>
      <c r="C55" s="5"/>
      <c r="D55" s="5"/>
      <c r="E55" s="5"/>
      <c r="F55" s="5"/>
      <c r="G55" s="5"/>
      <c r="H55" s="5"/>
      <c r="I55" s="5"/>
      <c r="J55" s="24"/>
      <c r="K55" s="51"/>
      <c r="L55" s="5"/>
    </row>
    <row r="56" spans="1:12">
      <c r="A56" s="5"/>
      <c r="B56" s="5"/>
      <c r="C56" s="5"/>
      <c r="D56" s="5"/>
      <c r="E56" s="5"/>
      <c r="F56" s="5"/>
      <c r="G56" s="5"/>
      <c r="H56" s="5"/>
      <c r="I56" s="5"/>
      <c r="J56" s="24"/>
      <c r="K56" s="51"/>
      <c r="L56" s="5"/>
    </row>
    <row r="57" spans="1:12">
      <c r="A57" s="5"/>
      <c r="B57" s="5"/>
      <c r="C57" s="5"/>
      <c r="D57" s="5"/>
      <c r="E57" s="5"/>
      <c r="F57" s="5"/>
      <c r="G57" s="5"/>
      <c r="H57" s="5"/>
      <c r="I57" s="5"/>
      <c r="J57" s="24"/>
      <c r="K57" s="51"/>
      <c r="L57" s="5"/>
    </row>
    <row r="58" spans="1:12">
      <c r="A58" s="5"/>
      <c r="B58" s="5"/>
      <c r="C58" s="5"/>
      <c r="D58" s="5"/>
      <c r="E58" s="5"/>
      <c r="F58" s="5"/>
      <c r="G58" s="5"/>
      <c r="H58" s="5"/>
      <c r="I58" s="5"/>
      <c r="J58" s="24"/>
      <c r="K58" s="51"/>
      <c r="L58" s="5"/>
    </row>
    <row r="59" spans="1:12">
      <c r="A59" s="5"/>
      <c r="B59" s="5"/>
      <c r="C59" s="5"/>
      <c r="D59" s="5"/>
      <c r="E59" s="5"/>
      <c r="F59" s="5"/>
      <c r="G59" s="5"/>
      <c r="H59" s="5"/>
      <c r="I59" s="5"/>
      <c r="J59" s="24"/>
      <c r="K59" s="51"/>
      <c r="L59" s="5"/>
    </row>
    <row r="60" spans="1:12">
      <c r="A60" s="5"/>
      <c r="B60" s="5"/>
      <c r="C60" s="5"/>
      <c r="D60" s="5"/>
      <c r="E60" s="5"/>
      <c r="F60" s="5"/>
      <c r="G60" s="5"/>
      <c r="H60" s="5"/>
      <c r="I60" s="5"/>
      <c r="J60" s="24"/>
      <c r="K60" s="51"/>
      <c r="L60" s="5"/>
    </row>
    <row r="61" spans="1:12">
      <c r="A61" s="5"/>
      <c r="B61" s="5"/>
      <c r="C61" s="5"/>
      <c r="D61" s="5"/>
      <c r="E61" s="5"/>
      <c r="F61" s="5"/>
      <c r="G61" s="5"/>
      <c r="H61" s="5"/>
      <c r="I61" s="5"/>
      <c r="J61" s="24"/>
      <c r="K61" s="51"/>
      <c r="L61" s="5"/>
    </row>
    <row r="62" spans="1:12">
      <c r="A62" s="5"/>
      <c r="B62" s="5"/>
      <c r="C62" s="5"/>
      <c r="D62" s="5"/>
      <c r="E62" s="5"/>
      <c r="F62" s="5"/>
      <c r="G62" s="5"/>
      <c r="H62" s="5"/>
      <c r="I62" s="5"/>
      <c r="J62" s="24"/>
      <c r="K62" s="51"/>
      <c r="L62" s="5"/>
    </row>
    <row r="63" spans="1:12">
      <c r="A63" s="5"/>
      <c r="B63" s="5"/>
      <c r="C63" s="5"/>
      <c r="D63" s="5"/>
      <c r="E63" s="5"/>
      <c r="F63" s="5"/>
      <c r="G63" s="5"/>
      <c r="H63" s="5"/>
      <c r="I63" s="5"/>
      <c r="J63" s="24"/>
      <c r="K63" s="51"/>
      <c r="L63" s="5"/>
    </row>
    <row r="64" spans="1:12">
      <c r="A64" s="5"/>
      <c r="B64" s="5"/>
      <c r="C64" s="5"/>
      <c r="D64" s="5"/>
      <c r="E64" s="5"/>
      <c r="F64" s="5"/>
      <c r="G64" s="5"/>
      <c r="H64" s="5"/>
      <c r="I64" s="5"/>
      <c r="J64" s="24"/>
      <c r="K64" s="51"/>
      <c r="L64" s="5"/>
    </row>
    <row r="65" spans="1:12">
      <c r="A65" s="5"/>
      <c r="B65" s="5"/>
      <c r="C65" s="5"/>
      <c r="D65" s="5"/>
      <c r="E65" s="5"/>
      <c r="F65" s="5"/>
      <c r="G65" s="5"/>
      <c r="H65" s="5"/>
      <c r="I65" s="5"/>
      <c r="J65" s="24"/>
      <c r="K65" s="51"/>
      <c r="L65" s="5"/>
    </row>
    <row r="66" spans="1:12">
      <c r="A66" s="5"/>
      <c r="B66" s="5"/>
      <c r="C66" s="5"/>
      <c r="D66" s="5"/>
      <c r="E66" s="5"/>
      <c r="F66" s="5"/>
      <c r="G66" s="5"/>
      <c r="H66" s="5"/>
      <c r="I66" s="5"/>
      <c r="J66" s="24"/>
      <c r="K66" s="51"/>
      <c r="L66" s="5"/>
    </row>
    <row r="67" spans="1:12">
      <c r="A67" s="5"/>
      <c r="B67" s="5"/>
      <c r="C67" s="5"/>
      <c r="D67" s="5"/>
      <c r="E67" s="5"/>
      <c r="F67" s="5"/>
      <c r="G67" s="5"/>
      <c r="H67" s="5"/>
      <c r="I67" s="5"/>
      <c r="J67" s="24"/>
      <c r="K67" s="51"/>
      <c r="L67" s="5"/>
    </row>
    <row r="68" spans="1:12">
      <c r="A68" s="5"/>
      <c r="B68" s="5"/>
      <c r="C68" s="5"/>
      <c r="D68" s="5"/>
      <c r="E68" s="5"/>
      <c r="F68" s="5"/>
      <c r="G68" s="5"/>
      <c r="H68" s="5"/>
      <c r="I68" s="5"/>
      <c r="J68" s="24"/>
      <c r="K68" s="51"/>
      <c r="L68" s="5"/>
    </row>
    <row r="69" spans="1:12">
      <c r="A69" s="5"/>
      <c r="B69" s="5"/>
      <c r="C69" s="5"/>
      <c r="D69" s="5"/>
      <c r="E69" s="5"/>
      <c r="F69" s="5"/>
      <c r="G69" s="5"/>
      <c r="H69" s="5"/>
      <c r="I69" s="5"/>
      <c r="J69" s="24"/>
      <c r="K69" s="51"/>
      <c r="L69" s="5"/>
    </row>
    <row r="70" spans="1:12">
      <c r="A70" s="5"/>
      <c r="B70" s="5"/>
      <c r="C70" s="5"/>
      <c r="D70" s="5"/>
      <c r="E70" s="5"/>
      <c r="F70" s="5"/>
      <c r="G70" s="5"/>
      <c r="H70" s="5"/>
      <c r="I70" s="5"/>
      <c r="J70" s="24"/>
      <c r="K70" s="51"/>
      <c r="L70" s="5"/>
    </row>
    <row r="71" spans="1:12">
      <c r="A71" s="5"/>
      <c r="B71" s="5"/>
      <c r="C71" s="5"/>
      <c r="D71" s="5"/>
      <c r="E71" s="5"/>
      <c r="F71" s="5"/>
      <c r="G71" s="5"/>
      <c r="H71" s="5"/>
      <c r="I71" s="5"/>
      <c r="J71" s="24"/>
      <c r="K71" s="51"/>
      <c r="L71" s="5"/>
    </row>
    <row r="72" spans="1:12">
      <c r="A72" s="5"/>
      <c r="B72" s="5"/>
      <c r="C72" s="5"/>
      <c r="D72" s="5"/>
      <c r="E72" s="5"/>
      <c r="F72" s="5"/>
      <c r="G72" s="5"/>
      <c r="H72" s="5"/>
      <c r="I72" s="5"/>
      <c r="J72" s="24"/>
      <c r="K72" s="51"/>
      <c r="L72" s="5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24"/>
      <c r="K73" s="51"/>
      <c r="L73" s="5"/>
    </row>
    <row r="74" spans="1:12">
      <c r="J74" s="25"/>
      <c r="K74" s="11"/>
    </row>
    <row r="75" spans="1:12">
      <c r="J75" s="25"/>
      <c r="K75" s="11"/>
    </row>
    <row r="76" spans="1:12">
      <c r="K76" s="11"/>
    </row>
    <row r="77" spans="1:12">
      <c r="K77" s="11"/>
    </row>
    <row r="78" spans="1:12">
      <c r="K78" s="11"/>
    </row>
    <row r="79" spans="1:12">
      <c r="K79" s="11"/>
    </row>
    <row r="80" spans="1:12">
      <c r="K80" s="11"/>
    </row>
    <row r="81" spans="11:11">
      <c r="K81" s="11"/>
    </row>
    <row r="82" spans="11:11">
      <c r="K82" s="11"/>
    </row>
    <row r="83" spans="11:11">
      <c r="K83" s="11"/>
    </row>
    <row r="84" spans="11:11">
      <c r="K84" s="11"/>
    </row>
    <row r="85" spans="11:11">
      <c r="K85" s="11"/>
    </row>
    <row r="86" spans="11:11">
      <c r="K86" s="11"/>
    </row>
    <row r="87" spans="11:11">
      <c r="K87" s="11"/>
    </row>
    <row r="88" spans="11:11">
      <c r="K88" s="11"/>
    </row>
    <row r="89" spans="11:11">
      <c r="K89" s="11"/>
    </row>
    <row r="90" spans="11:11">
      <c r="K90" s="11"/>
    </row>
    <row r="91" spans="11:11">
      <c r="K91" s="11"/>
    </row>
    <row r="92" spans="11:11">
      <c r="K92" s="11"/>
    </row>
    <row r="93" spans="11:11">
      <c r="K93" s="11"/>
    </row>
  </sheetData>
  <mergeCells count="7">
    <mergeCell ref="A36:C36"/>
    <mergeCell ref="A1:L1"/>
    <mergeCell ref="E15:J15"/>
    <mergeCell ref="E11:J11"/>
    <mergeCell ref="E17:J17"/>
    <mergeCell ref="E13:J13"/>
    <mergeCell ref="E32:G32"/>
  </mergeCells>
  <phoneticPr fontId="9"/>
  <pageMargins left="0.39370078740157483" right="0.19685039370078741" top="0.59055118110236227" bottom="0.39370078740157483" header="0.51181102362204722" footer="0.51181102362204722"/>
  <pageSetup paperSize="9" scale="9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B262-9AFB-43A6-A06F-6800618A41C1}">
  <dimension ref="A1:O34"/>
  <sheetViews>
    <sheetView zoomScale="50" zoomScaleNormal="50" workbookViewId="0">
      <selection activeCell="N31" sqref="N31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82" customFormat="1" ht="32.25" customHeight="1">
      <c r="H1" s="85"/>
    </row>
    <row r="2" spans="1:15" s="82" customFormat="1" ht="32.5">
      <c r="A2" s="82" t="str">
        <f>'[1]shipper master'!C49</f>
        <v xml:space="preserve"> SYVI-011201-VT-DD-01</v>
      </c>
      <c r="H2" s="85"/>
      <c r="I2" s="82" t="str">
        <f>'[1]shipper master'!C49</f>
        <v xml:space="preserve"> SYVI-011201-VT-DD-01</v>
      </c>
    </row>
    <row r="3" spans="1:15" s="82" customFormat="1" ht="32.5">
      <c r="A3" s="82" t="str">
        <f>'[1]shipper master'!C50</f>
        <v xml:space="preserve">VIVAN GARMENTS VIET NAM </v>
      </c>
      <c r="H3" s="85"/>
      <c r="I3" s="82" t="str">
        <f>'[1]shipper master'!C50</f>
        <v xml:space="preserve">VIVAN GARMENTS VIET NAM </v>
      </c>
    </row>
    <row r="4" spans="1:15" s="82" customFormat="1" ht="32.5">
      <c r="A4" s="82" t="str">
        <f>'[1]shipper master'!C51</f>
        <v xml:space="preserve"> COMPANY LIMITED</v>
      </c>
      <c r="H4" s="85"/>
      <c r="I4" s="82" t="str">
        <f>'[1]shipper master'!C51</f>
        <v xml:space="preserve"> COMPANY LIMITED</v>
      </c>
    </row>
    <row r="5" spans="1:15" s="82" customFormat="1" ht="32.5">
      <c r="A5" s="82" t="str">
        <f>'[1]shipper master'!C52</f>
        <v xml:space="preserve"> HOCHIMINH-CITY, VIETNAM</v>
      </c>
      <c r="H5" s="85"/>
      <c r="I5" s="82" t="str">
        <f>'[1]shipper master'!C52</f>
        <v xml:space="preserve"> HOCHIMINH-CITY, VIETNAM</v>
      </c>
    </row>
    <row r="6" spans="1:15" s="82" customFormat="1" ht="32.5">
      <c r="A6" s="82" t="s">
        <v>100</v>
      </c>
      <c r="C6" s="82">
        <v>1</v>
      </c>
      <c r="D6" s="84"/>
      <c r="H6" s="85"/>
      <c r="I6" s="82" t="s">
        <v>100</v>
      </c>
      <c r="K6" s="82">
        <v>2</v>
      </c>
    </row>
    <row r="7" spans="1:15" s="82" customFormat="1" ht="32.25" customHeight="1">
      <c r="A7" s="82" t="str">
        <f>'[1]shipper master'!C54</f>
        <v xml:space="preserve"> MADE IN JAPAN</v>
      </c>
      <c r="H7" s="85"/>
      <c r="I7" s="82" t="str">
        <f>'[1]shipper master'!C54</f>
        <v xml:space="preserve"> MADE IN JAPAN</v>
      </c>
    </row>
    <row r="8" spans="1:15" s="82" customFormat="1" ht="19.5" customHeight="1">
      <c r="H8" s="85"/>
    </row>
    <row r="9" spans="1:15" s="82" customFormat="1" ht="19.5" customHeight="1">
      <c r="H9" s="85"/>
    </row>
    <row r="10" spans="1:15" s="82" customFormat="1" ht="19.5" customHeight="1">
      <c r="A10" s="86"/>
      <c r="B10" s="86"/>
      <c r="C10" s="86"/>
      <c r="D10" s="86"/>
      <c r="E10" s="86"/>
      <c r="F10" s="86"/>
      <c r="G10" s="86"/>
      <c r="H10" s="87"/>
      <c r="I10" s="86"/>
      <c r="J10" s="86"/>
      <c r="K10" s="86"/>
      <c r="L10" s="86"/>
      <c r="M10" s="86"/>
      <c r="N10" s="86"/>
      <c r="O10" s="86"/>
    </row>
    <row r="11" spans="1:15" s="82" customFormat="1" ht="19.5" customHeight="1">
      <c r="H11" s="85"/>
    </row>
    <row r="12" spans="1:15" s="82" customFormat="1" ht="19.5" customHeight="1">
      <c r="H12" s="85"/>
    </row>
    <row r="13" spans="1:15" s="82" customFormat="1" ht="32.5">
      <c r="A13" s="82" t="str">
        <f>'[1]shipper master'!C49</f>
        <v xml:space="preserve"> SYVI-011201-VT-DD-01</v>
      </c>
      <c r="H13" s="85"/>
      <c r="I13" s="82" t="str">
        <f>'[1]shipper master'!C49</f>
        <v xml:space="preserve"> SYVI-011201-VT-DD-01</v>
      </c>
    </row>
    <row r="14" spans="1:15" s="82" customFormat="1" ht="32.5">
      <c r="A14" s="82" t="str">
        <f>'[1]shipper master'!C50</f>
        <v xml:space="preserve">VIVAN GARMENTS VIET NAM </v>
      </c>
      <c r="H14" s="85"/>
      <c r="I14" s="82" t="str">
        <f>'[1]shipper master'!C50</f>
        <v xml:space="preserve">VIVAN GARMENTS VIET NAM </v>
      </c>
    </row>
    <row r="15" spans="1:15" s="82" customFormat="1" ht="32.5">
      <c r="A15" s="82" t="str">
        <f>'[1]shipper master'!C51</f>
        <v xml:space="preserve"> COMPANY LIMITED</v>
      </c>
      <c r="H15" s="85"/>
      <c r="I15" s="82" t="str">
        <f>'[1]shipper master'!C51</f>
        <v xml:space="preserve"> COMPANY LIMITED</v>
      </c>
    </row>
    <row r="16" spans="1:15" s="82" customFormat="1" ht="32.5">
      <c r="A16" s="82" t="str">
        <f>'[1]shipper master'!C52</f>
        <v xml:space="preserve"> HOCHIMINH-CITY, VIETNAM</v>
      </c>
      <c r="H16" s="85"/>
      <c r="I16" s="82" t="str">
        <f>'[1]shipper master'!C52</f>
        <v xml:space="preserve"> HOCHIMINH-CITY, VIETNAM</v>
      </c>
    </row>
    <row r="17" spans="1:11" s="82" customFormat="1" ht="32.5">
      <c r="A17" s="82" t="s">
        <v>100</v>
      </c>
      <c r="C17" s="82">
        <v>3</v>
      </c>
      <c r="H17" s="85"/>
      <c r="I17" s="82" t="s">
        <v>100</v>
      </c>
      <c r="K17" s="82">
        <v>4</v>
      </c>
    </row>
    <row r="18" spans="1:11" s="82" customFormat="1" ht="32.5">
      <c r="A18" s="82" t="str">
        <f>'[1]shipper master'!C54</f>
        <v xml:space="preserve"> MADE IN JAPAN</v>
      </c>
      <c r="H18" s="85"/>
      <c r="I18" s="82" t="str">
        <f>'[1]shipper master'!C54</f>
        <v xml:space="preserve"> MADE IN JAPAN</v>
      </c>
    </row>
    <row r="19" spans="1:11" s="83" customFormat="1" ht="34">
      <c r="A19" s="82"/>
    </row>
    <row r="20" spans="1:11" s="83" customFormat="1" ht="34"/>
    <row r="21" spans="1:11" s="83" customFormat="1" ht="34"/>
    <row r="22" spans="1:11" s="83" customFormat="1" ht="34"/>
    <row r="23" spans="1:11" s="83" customFormat="1" ht="34"/>
    <row r="24" spans="1:11" s="83" customFormat="1" ht="34"/>
    <row r="25" spans="1:11" s="83" customFormat="1" ht="34"/>
    <row r="26" spans="1:11" s="82" customFormat="1" ht="32.5"/>
    <row r="27" spans="1:11" s="82" customFormat="1" ht="32.5"/>
    <row r="28" spans="1:11" s="82" customFormat="1" ht="32.5"/>
    <row r="29" spans="1:11" s="82" customFormat="1" ht="32.5"/>
    <row r="30" spans="1:11" s="82" customFormat="1" ht="32.5"/>
    <row r="31" spans="1:11" s="82" customFormat="1" ht="32.5"/>
    <row r="32" spans="1:11" s="82" customFormat="1" ht="32.5"/>
    <row r="33" s="82" customFormat="1" ht="32.5"/>
    <row r="34" s="82" customFormat="1" ht="32.5"/>
  </sheetData>
  <phoneticPr fontId="9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7"/>
  <sheetViews>
    <sheetView zoomScale="90" zoomScaleNormal="90" zoomScaleSheetLayoutView="80" workbookViewId="0">
      <selection activeCell="D10" sqref="D10"/>
    </sheetView>
  </sheetViews>
  <sheetFormatPr defaultRowHeight="15"/>
  <cols>
    <col min="1" max="1" width="7.90625" customWidth="1"/>
    <col min="2" max="2" width="23.26953125" style="175" customWidth="1"/>
    <col min="3" max="3" width="21.36328125" style="94" customWidth="1"/>
    <col min="4" max="4" width="37" customWidth="1"/>
    <col min="5" max="5" width="7.90625" customWidth="1"/>
    <col min="6" max="6" width="5.6328125" style="94" customWidth="1"/>
    <col min="7" max="7" width="7.6328125" customWidth="1"/>
    <col min="8" max="8" width="13.90625" style="94" customWidth="1"/>
    <col min="9" max="9" width="36" customWidth="1"/>
    <col min="10" max="10" width="14.453125" customWidth="1"/>
    <col min="11" max="11" width="11.453125" style="94" customWidth="1"/>
    <col min="12" max="12" width="25.36328125" style="98" customWidth="1"/>
    <col min="13" max="13" width="10.08984375" style="94" customWidth="1"/>
    <col min="14" max="14" width="7" style="94" customWidth="1"/>
  </cols>
  <sheetData>
    <row r="1" spans="1:14">
      <c r="A1" s="109"/>
      <c r="I1" s="45"/>
      <c r="J1" s="45"/>
      <c r="K1" s="26"/>
      <c r="L1" s="96"/>
      <c r="M1" s="26"/>
      <c r="N1" s="26"/>
    </row>
    <row r="2" spans="1:14" ht="18" thickBot="1">
      <c r="A2" s="532" t="s">
        <v>136</v>
      </c>
      <c r="B2" s="532"/>
      <c r="C2" s="532"/>
      <c r="D2" s="532"/>
      <c r="E2" s="532"/>
      <c r="F2" s="532"/>
      <c r="G2" s="532"/>
      <c r="H2" s="532"/>
      <c r="I2" s="67"/>
      <c r="J2" s="3"/>
      <c r="K2" s="70"/>
      <c r="L2" s="104"/>
      <c r="M2" s="105"/>
      <c r="N2" s="105"/>
    </row>
    <row r="3" spans="1:14" ht="18" thickBot="1">
      <c r="A3" s="149"/>
      <c r="B3" s="176"/>
      <c r="C3" s="149"/>
      <c r="D3" s="149"/>
      <c r="E3" s="149"/>
      <c r="F3" s="149"/>
      <c r="G3" s="149"/>
      <c r="H3" s="149"/>
      <c r="I3" s="67"/>
      <c r="J3" s="3"/>
      <c r="K3" s="70"/>
      <c r="L3" s="104"/>
      <c r="M3" s="105"/>
      <c r="N3" s="105"/>
    </row>
    <row r="4" spans="1:14" ht="21.75" customHeight="1" thickBot="1">
      <c r="A4" s="246" t="s">
        <v>60</v>
      </c>
      <c r="B4" s="177" t="s">
        <v>133</v>
      </c>
      <c r="C4" s="157" t="s">
        <v>122</v>
      </c>
      <c r="D4" s="158" t="s">
        <v>123</v>
      </c>
      <c r="E4" s="157" t="s">
        <v>124</v>
      </c>
      <c r="F4" s="533" t="s">
        <v>125</v>
      </c>
      <c r="G4" s="534"/>
      <c r="H4" s="159" t="s">
        <v>126</v>
      </c>
      <c r="I4" s="142" t="s">
        <v>127</v>
      </c>
      <c r="J4" s="135" t="s">
        <v>128</v>
      </c>
      <c r="K4" s="136" t="s">
        <v>129</v>
      </c>
      <c r="L4" s="143" t="s">
        <v>134</v>
      </c>
      <c r="M4" s="144" t="s">
        <v>130</v>
      </c>
      <c r="N4" s="145" t="s">
        <v>131</v>
      </c>
    </row>
    <row r="5" spans="1:14">
      <c r="A5" s="160"/>
      <c r="B5" s="178"/>
      <c r="C5" s="102"/>
      <c r="D5" s="161"/>
      <c r="E5" s="110"/>
      <c r="F5" s="102"/>
      <c r="G5" s="101"/>
      <c r="H5" s="100"/>
      <c r="I5" s="118"/>
      <c r="J5" s="119"/>
      <c r="K5" s="120"/>
      <c r="L5" s="121"/>
      <c r="M5" s="120"/>
      <c r="N5" s="122"/>
    </row>
    <row r="6" spans="1:14">
      <c r="A6" s="151"/>
      <c r="B6" s="147" t="s">
        <v>135</v>
      </c>
      <c r="C6" s="102"/>
      <c r="D6" s="110" t="str">
        <f>'[2]shipper master'!C36</f>
        <v>FABRIC &amp; PARTS FOR WEAR</v>
      </c>
      <c r="E6" s="152"/>
      <c r="F6" s="153"/>
      <c r="G6" s="111" t="str">
        <f>'[2]shipper master'!C48</f>
        <v>F.O.B. TOKYO IN YEN</v>
      </c>
      <c r="H6" s="100"/>
      <c r="I6" s="99"/>
      <c r="J6" s="95"/>
      <c r="K6" s="95"/>
      <c r="L6" s="97"/>
      <c r="M6" s="95"/>
      <c r="N6" s="107"/>
    </row>
    <row r="7" spans="1:14" ht="15.5" thickBot="1">
      <c r="A7" s="192"/>
      <c r="B7" s="193"/>
      <c r="C7" s="194"/>
      <c r="D7" s="195" t="s">
        <v>141</v>
      </c>
      <c r="E7" s="195"/>
      <c r="F7" s="194"/>
      <c r="G7" s="196"/>
      <c r="H7" s="106"/>
      <c r="I7" s="197"/>
      <c r="J7" s="198"/>
      <c r="K7" s="139"/>
      <c r="L7" s="140"/>
      <c r="M7" s="141"/>
      <c r="N7" s="107"/>
    </row>
    <row r="8" spans="1:14" ht="15.5" customHeight="1">
      <c r="A8" s="189"/>
      <c r="B8" s="358"/>
      <c r="C8" s="359"/>
      <c r="D8" s="360" t="s">
        <v>165</v>
      </c>
      <c r="E8" s="199"/>
      <c r="F8" s="182"/>
      <c r="G8" s="200"/>
      <c r="H8" s="199"/>
      <c r="I8" s="183"/>
      <c r="J8" s="221"/>
      <c r="K8" s="187"/>
      <c r="L8" s="134"/>
      <c r="M8" s="128"/>
      <c r="N8" s="107"/>
    </row>
    <row r="9" spans="1:14">
      <c r="A9" s="417" t="s">
        <v>167</v>
      </c>
      <c r="B9" s="146" t="s">
        <v>163</v>
      </c>
      <c r="C9" s="351" t="s">
        <v>164</v>
      </c>
      <c r="D9" s="180" t="s">
        <v>148</v>
      </c>
      <c r="E9" s="203">
        <v>158</v>
      </c>
      <c r="F9" s="171" t="s">
        <v>120</v>
      </c>
      <c r="G9" s="205">
        <v>980</v>
      </c>
      <c r="H9" s="115">
        <f>E9*G9</f>
        <v>154840</v>
      </c>
      <c r="I9" s="251">
        <v>22051837</v>
      </c>
      <c r="J9" s="256">
        <v>45063</v>
      </c>
      <c r="K9" s="130"/>
      <c r="L9" s="129"/>
      <c r="M9" s="126"/>
      <c r="N9" s="108"/>
    </row>
    <row r="10" spans="1:14">
      <c r="A10" s="249"/>
      <c r="B10" s="146" t="s">
        <v>149</v>
      </c>
      <c r="C10" s="351"/>
      <c r="D10" s="180" t="s">
        <v>166</v>
      </c>
      <c r="E10" s="203"/>
      <c r="F10" s="171"/>
      <c r="G10" s="205"/>
      <c r="H10" s="115"/>
      <c r="I10" s="251"/>
      <c r="J10" s="108"/>
      <c r="K10" s="130"/>
      <c r="L10" s="129"/>
      <c r="M10" s="126"/>
      <c r="N10" s="108"/>
    </row>
    <row r="11" spans="1:14" ht="17" thickBot="1">
      <c r="A11" s="186"/>
      <c r="B11" s="501" t="s">
        <v>213</v>
      </c>
      <c r="C11" s="131"/>
      <c r="D11" s="127" t="s">
        <v>208</v>
      </c>
      <c r="E11" s="201"/>
      <c r="F11" s="103"/>
      <c r="G11" s="202"/>
      <c r="H11" s="137"/>
      <c r="I11" s="190"/>
      <c r="J11" s="191"/>
      <c r="K11" s="130"/>
      <c r="L11" s="129"/>
      <c r="M11" s="126"/>
      <c r="N11" s="108"/>
    </row>
    <row r="12" spans="1:14" ht="15.5" thickBot="1">
      <c r="A12" s="181"/>
      <c r="B12" s="148"/>
      <c r="C12" s="148"/>
      <c r="D12" s="133"/>
      <c r="E12" s="132"/>
      <c r="F12" s="89"/>
      <c r="G12" s="138"/>
      <c r="H12" s="179"/>
      <c r="I12" s="188"/>
      <c r="J12" s="222"/>
      <c r="K12" s="129"/>
      <c r="L12" s="129"/>
      <c r="M12" s="125"/>
      <c r="N12" s="108"/>
    </row>
    <row r="13" spans="1:14" ht="16.5" customHeight="1">
      <c r="A13" s="189"/>
      <c r="B13" s="358"/>
      <c r="C13" s="359"/>
      <c r="D13" s="360" t="s">
        <v>169</v>
      </c>
      <c r="E13" s="199"/>
      <c r="F13" s="182"/>
      <c r="G13" s="200"/>
      <c r="H13" s="199"/>
      <c r="I13" s="357"/>
      <c r="J13" s="221"/>
      <c r="K13" s="374"/>
      <c r="L13" s="168"/>
      <c r="M13" s="100"/>
      <c r="N13" s="108"/>
    </row>
    <row r="14" spans="1:14">
      <c r="A14" s="417" t="s">
        <v>171</v>
      </c>
      <c r="B14" s="146" t="s">
        <v>168</v>
      </c>
      <c r="C14" s="351" t="s">
        <v>202</v>
      </c>
      <c r="D14" s="180" t="s">
        <v>148</v>
      </c>
      <c r="E14" s="203">
        <v>40</v>
      </c>
      <c r="F14" s="171" t="s">
        <v>120</v>
      </c>
      <c r="G14" s="205">
        <v>1030</v>
      </c>
      <c r="H14" s="115">
        <f>E14*G14</f>
        <v>41200</v>
      </c>
      <c r="I14" s="251">
        <v>22051479</v>
      </c>
      <c r="J14" s="256"/>
      <c r="K14" s="123"/>
      <c r="L14" s="172"/>
      <c r="M14" s="123"/>
      <c r="N14" s="375"/>
    </row>
    <row r="15" spans="1:14">
      <c r="A15" s="249"/>
      <c r="B15" s="146" t="s">
        <v>149</v>
      </c>
      <c r="C15" s="351"/>
      <c r="D15" s="180" t="s">
        <v>170</v>
      </c>
      <c r="E15" s="203"/>
      <c r="F15" s="171"/>
      <c r="G15" s="205"/>
      <c r="H15" s="115"/>
      <c r="I15" s="416"/>
      <c r="J15" s="414" t="s">
        <v>172</v>
      </c>
      <c r="K15" s="100"/>
      <c r="L15" s="168"/>
      <c r="M15" s="100"/>
      <c r="N15" s="376"/>
    </row>
    <row r="16" spans="1:14" ht="17" thickBot="1">
      <c r="A16" s="186"/>
      <c r="B16" s="250" t="s">
        <v>214</v>
      </c>
      <c r="C16" s="353"/>
      <c r="D16" s="127" t="s">
        <v>209</v>
      </c>
      <c r="E16" s="393"/>
      <c r="F16" s="365"/>
      <c r="G16" s="202"/>
      <c r="H16" s="283"/>
      <c r="I16" s="190"/>
      <c r="J16" s="191"/>
      <c r="K16" s="100"/>
      <c r="L16" s="168"/>
      <c r="M16" s="100"/>
      <c r="N16" s="376"/>
    </row>
    <row r="17" spans="1:14" ht="15.5" thickBot="1">
      <c r="A17" s="219"/>
      <c r="B17" s="220"/>
      <c r="C17" s="218"/>
      <c r="D17" s="174"/>
      <c r="E17" s="419"/>
      <c r="F17" s="420"/>
      <c r="G17" s="421"/>
      <c r="H17" s="422"/>
      <c r="I17" s="173"/>
      <c r="J17" s="223"/>
      <c r="K17" s="100"/>
      <c r="L17" s="168"/>
      <c r="M17" s="100"/>
      <c r="N17" s="376"/>
    </row>
    <row r="18" spans="1:14" ht="16.5" customHeight="1">
      <c r="A18" s="189"/>
      <c r="B18" s="358"/>
      <c r="C18" s="359"/>
      <c r="D18" s="360" t="s">
        <v>173</v>
      </c>
      <c r="E18" s="199"/>
      <c r="F18" s="182"/>
      <c r="G18" s="200"/>
      <c r="H18" s="199"/>
      <c r="I18" s="357"/>
      <c r="J18" s="221"/>
      <c r="K18" s="374"/>
      <c r="L18" s="168"/>
      <c r="M18" s="100"/>
      <c r="N18" s="108"/>
    </row>
    <row r="19" spans="1:14">
      <c r="A19" s="417" t="s">
        <v>177</v>
      </c>
      <c r="B19" s="146" t="s">
        <v>210</v>
      </c>
      <c r="C19" s="351" t="s">
        <v>175</v>
      </c>
      <c r="D19" s="180" t="s">
        <v>161</v>
      </c>
      <c r="E19" s="203">
        <v>60</v>
      </c>
      <c r="F19" s="171" t="s">
        <v>120</v>
      </c>
      <c r="G19" s="205">
        <v>1030</v>
      </c>
      <c r="H19" s="115">
        <f>E19*G19</f>
        <v>61800</v>
      </c>
      <c r="I19" s="251">
        <v>22051735</v>
      </c>
      <c r="J19" s="256"/>
      <c r="K19" s="123"/>
      <c r="L19" s="172"/>
      <c r="M19" s="123"/>
      <c r="N19" s="375"/>
    </row>
    <row r="20" spans="1:14">
      <c r="A20" s="249"/>
      <c r="B20" s="146" t="s">
        <v>161</v>
      </c>
      <c r="C20" s="351"/>
      <c r="D20" s="180" t="s">
        <v>176</v>
      </c>
      <c r="E20" s="203"/>
      <c r="F20" s="171"/>
      <c r="G20" s="205"/>
      <c r="H20" s="115"/>
      <c r="I20" s="416"/>
      <c r="J20" s="414" t="s">
        <v>180</v>
      </c>
      <c r="K20" s="100"/>
      <c r="L20" s="168"/>
      <c r="M20" s="100"/>
      <c r="N20" s="376"/>
    </row>
    <row r="21" spans="1:14" ht="17" thickBot="1">
      <c r="A21" s="186"/>
      <c r="B21" s="502" t="s">
        <v>212</v>
      </c>
      <c r="C21" s="353"/>
      <c r="D21" s="127" t="s">
        <v>211</v>
      </c>
      <c r="E21" s="393"/>
      <c r="F21" s="365"/>
      <c r="G21" s="202"/>
      <c r="H21" s="283"/>
      <c r="I21" s="190"/>
      <c r="J21" s="191"/>
      <c r="K21" s="100"/>
      <c r="L21" s="168"/>
      <c r="M21" s="100"/>
      <c r="N21" s="376"/>
    </row>
    <row r="22" spans="1:14" ht="15.5" thickBot="1">
      <c r="A22" s="219"/>
      <c r="B22" s="220"/>
      <c r="C22" s="218"/>
      <c r="D22" s="174"/>
      <c r="E22" s="419"/>
      <c r="F22" s="420"/>
      <c r="G22" s="421"/>
      <c r="H22" s="422"/>
      <c r="I22" s="173"/>
      <c r="J22" s="223"/>
      <c r="K22" s="100"/>
      <c r="L22" s="168"/>
      <c r="M22" s="100"/>
      <c r="N22" s="376"/>
    </row>
    <row r="23" spans="1:14">
      <c r="A23" s="169"/>
      <c r="B23" s="154" t="s">
        <v>132</v>
      </c>
      <c r="C23" s="245" t="s">
        <v>205</v>
      </c>
      <c r="D23" s="117"/>
      <c r="E23" s="418">
        <f>SUMIF($F$9:$F$21,"M.",$E$9:$E$21)</f>
        <v>258</v>
      </c>
      <c r="F23" s="171" t="s">
        <v>120</v>
      </c>
      <c r="G23" s="124"/>
      <c r="H23" s="170">
        <f>SUMIF($F$9:$F$20,"M.",$H$9:$H$20)</f>
        <v>257840</v>
      </c>
      <c r="I23" s="124"/>
      <c r="J23" s="224"/>
      <c r="K23" s="100"/>
      <c r="L23" s="168"/>
      <c r="M23" s="100"/>
      <c r="N23" s="376"/>
    </row>
    <row r="24" spans="1:14">
      <c r="A24" s="101"/>
      <c r="B24" s="146"/>
      <c r="C24" s="100"/>
      <c r="D24" s="165"/>
      <c r="E24" s="163">
        <f>SUMIF($F$9:$F$12,"PCS.",$E$9:$E$12)</f>
        <v>0</v>
      </c>
      <c r="F24" s="164" t="s">
        <v>121</v>
      </c>
      <c r="G24" s="115"/>
      <c r="H24" s="163">
        <f>SUMIF($F$9:$F$12,"PCS.",$H$9:$H$12)</f>
        <v>0</v>
      </c>
      <c r="I24" s="101"/>
      <c r="J24" s="225"/>
      <c r="K24" s="100"/>
      <c r="L24" s="168"/>
      <c r="M24" s="100"/>
      <c r="N24" s="376"/>
    </row>
    <row r="25" spans="1:14">
      <c r="A25" s="129"/>
      <c r="B25" s="146"/>
      <c r="C25" s="100"/>
      <c r="D25" s="166"/>
      <c r="E25" s="226"/>
      <c r="F25" s="164"/>
      <c r="G25" s="115"/>
      <c r="H25" s="167">
        <f>SUM(H23:H24)</f>
        <v>257840</v>
      </c>
      <c r="I25" s="101"/>
      <c r="J25" s="225"/>
      <c r="K25" s="100"/>
      <c r="L25" s="168"/>
      <c r="M25" s="100"/>
      <c r="N25" s="376"/>
    </row>
    <row r="26" spans="1:14">
      <c r="E26" s="112"/>
      <c r="F26" s="112"/>
      <c r="G26" s="112"/>
      <c r="H26" s="113"/>
      <c r="K26" s="113"/>
      <c r="L26" s="112"/>
    </row>
    <row r="29" spans="1:14">
      <c r="C29" s="112"/>
      <c r="D29" s="112"/>
      <c r="I29" s="112"/>
      <c r="J29" s="112"/>
    </row>
    <row r="30" spans="1:14">
      <c r="C30" s="112"/>
      <c r="D30" s="112"/>
      <c r="I30" s="112"/>
      <c r="J30" s="112"/>
    </row>
    <row r="77" spans="1:1" ht="20">
      <c r="A77" s="150" t="s">
        <v>137</v>
      </c>
    </row>
  </sheetData>
  <mergeCells count="2">
    <mergeCell ref="A2:H2"/>
    <mergeCell ref="F4:G4"/>
  </mergeCells>
  <phoneticPr fontId="9"/>
  <pageMargins left="0.51181102362204722" right="0" top="0.74803149606299213" bottom="0.74803149606299213" header="0.31496062992125984" footer="0.31496062992125984"/>
  <pageSetup paperSize="9" scale="69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DEB5E-F261-415E-BF71-BB58A51E273E}">
  <dimension ref="A1:O133"/>
  <sheetViews>
    <sheetView topLeftCell="A4" zoomScale="90" zoomScaleNormal="90" zoomScaleSheetLayoutView="80" workbookViewId="0">
      <selection activeCell="A10" sqref="A10"/>
    </sheetView>
  </sheetViews>
  <sheetFormatPr defaultRowHeight="15"/>
  <cols>
    <col min="1" max="1" width="7.90625" customWidth="1"/>
    <col min="2" max="2" width="23.26953125" style="175" customWidth="1"/>
    <col min="3" max="3" width="21.36328125" style="94" customWidth="1"/>
    <col min="4" max="4" width="43.08984375" customWidth="1"/>
    <col min="5" max="5" width="7.90625" customWidth="1"/>
    <col min="6" max="6" width="5.6328125" style="94" customWidth="1"/>
    <col min="7" max="7" width="7.6328125" customWidth="1"/>
    <col min="8" max="8" width="13.90625" style="94" customWidth="1"/>
    <col min="9" max="9" width="17.6328125" customWidth="1"/>
    <col min="10" max="10" width="14.453125" customWidth="1"/>
    <col min="11" max="11" width="11.453125" style="94" customWidth="1"/>
    <col min="12" max="12" width="25.36328125" style="98" customWidth="1"/>
    <col min="13" max="13" width="10.08984375" style="94" customWidth="1"/>
    <col min="14" max="14" width="7" style="94" customWidth="1"/>
  </cols>
  <sheetData>
    <row r="1" spans="1:14">
      <c r="A1" s="45"/>
      <c r="I1" s="45"/>
      <c r="J1" s="45"/>
      <c r="K1" s="26"/>
      <c r="L1" s="96"/>
      <c r="M1" s="26"/>
      <c r="N1" s="26"/>
    </row>
    <row r="2" spans="1:14" ht="18" thickBot="1">
      <c r="A2" s="532" t="s">
        <v>136</v>
      </c>
      <c r="B2" s="532"/>
      <c r="C2" s="532"/>
      <c r="D2" s="532"/>
      <c r="E2" s="532"/>
      <c r="F2" s="532"/>
      <c r="G2" s="532"/>
      <c r="H2" s="532"/>
      <c r="I2" s="67"/>
      <c r="J2" s="3"/>
      <c r="K2" s="70"/>
      <c r="L2" s="104"/>
      <c r="M2" s="105"/>
      <c r="N2" s="105"/>
    </row>
    <row r="3" spans="1:14" ht="18" thickBot="1">
      <c r="A3" s="149"/>
      <c r="B3" s="176"/>
      <c r="C3" s="149"/>
      <c r="D3" s="149"/>
      <c r="E3" s="149"/>
      <c r="F3" s="149"/>
      <c r="G3" s="149"/>
      <c r="H3" s="149"/>
      <c r="I3" s="67"/>
      <c r="J3" s="3"/>
      <c r="K3" s="70"/>
      <c r="L3" s="104"/>
      <c r="M3" s="105"/>
      <c r="N3" s="105"/>
    </row>
    <row r="4" spans="1:14" ht="21.75" customHeight="1" thickBot="1">
      <c r="A4" s="257" t="s">
        <v>60</v>
      </c>
      <c r="B4" s="177" t="s">
        <v>133</v>
      </c>
      <c r="C4" s="157" t="s">
        <v>122</v>
      </c>
      <c r="D4" s="158" t="s">
        <v>123</v>
      </c>
      <c r="E4" s="157" t="s">
        <v>124</v>
      </c>
      <c r="F4" s="535" t="s">
        <v>125</v>
      </c>
      <c r="G4" s="536"/>
      <c r="H4" s="159" t="s">
        <v>126</v>
      </c>
      <c r="I4" s="142" t="s">
        <v>127</v>
      </c>
      <c r="J4" s="135" t="s">
        <v>128</v>
      </c>
      <c r="K4" s="136" t="s">
        <v>129</v>
      </c>
      <c r="L4" s="143" t="s">
        <v>134</v>
      </c>
      <c r="M4" s="402" t="s">
        <v>130</v>
      </c>
      <c r="N4" s="394" t="s">
        <v>131</v>
      </c>
    </row>
    <row r="5" spans="1:14">
      <c r="A5" s="258"/>
      <c r="B5" s="178"/>
      <c r="C5" s="102"/>
      <c r="D5" s="161"/>
      <c r="E5" s="110"/>
      <c r="F5" s="102"/>
      <c r="G5" s="101"/>
      <c r="H5" s="100"/>
      <c r="I5" s="118"/>
      <c r="J5" s="119"/>
      <c r="K5" s="120"/>
      <c r="L5" s="121"/>
      <c r="M5" s="403"/>
      <c r="N5" s="395"/>
    </row>
    <row r="6" spans="1:14">
      <c r="A6" s="259"/>
      <c r="B6" s="260" t="s">
        <v>135</v>
      </c>
      <c r="C6" s="194"/>
      <c r="D6" s="195" t="str">
        <f>'[2]shipper master'!C36</f>
        <v>FABRIC &amp; PARTS FOR WEAR</v>
      </c>
      <c r="E6" s="261"/>
      <c r="F6" s="262"/>
      <c r="G6" s="196" t="str">
        <f>'[2]shipper master'!C48</f>
        <v>F.O.B. TOKYO IN YEN</v>
      </c>
      <c r="H6" s="106"/>
      <c r="I6" s="263"/>
      <c r="J6" s="264"/>
      <c r="K6" s="95"/>
      <c r="L6" s="97"/>
      <c r="M6" s="404"/>
      <c r="N6" s="396"/>
    </row>
    <row r="7" spans="1:14">
      <c r="A7" s="259"/>
      <c r="B7" s="193"/>
      <c r="C7" s="194"/>
      <c r="D7" s="195" t="s">
        <v>141</v>
      </c>
      <c r="E7" s="195"/>
      <c r="F7" s="194"/>
      <c r="G7" s="196"/>
      <c r="H7" s="106"/>
      <c r="I7" s="265"/>
      <c r="J7" s="106"/>
      <c r="K7" s="266"/>
      <c r="L7" s="140"/>
      <c r="M7" s="405"/>
      <c r="N7" s="396"/>
    </row>
    <row r="8" spans="1:14" ht="15.5" thickBot="1">
      <c r="A8" s="267"/>
      <c r="B8" s="148"/>
      <c r="C8" s="148"/>
      <c r="D8" s="133"/>
      <c r="E8" s="132"/>
      <c r="F8" s="89"/>
      <c r="G8" s="138"/>
      <c r="H8" s="179"/>
      <c r="I8" s="268"/>
      <c r="J8" s="279"/>
      <c r="K8" s="130"/>
      <c r="L8" s="129"/>
      <c r="M8" s="126"/>
      <c r="N8" s="397"/>
    </row>
    <row r="9" spans="1:14" ht="18" customHeight="1" thickTop="1" thickBot="1">
      <c r="A9" s="442"/>
      <c r="B9" s="443"/>
      <c r="C9" s="444"/>
      <c r="D9" s="445" t="s">
        <v>158</v>
      </c>
      <c r="E9" s="446"/>
      <c r="F9" s="446"/>
      <c r="G9" s="444"/>
      <c r="H9" s="447"/>
      <c r="I9" s="448"/>
      <c r="J9" s="449"/>
      <c r="K9" s="130"/>
      <c r="L9" s="129"/>
      <c r="M9" s="406"/>
      <c r="N9" s="281"/>
    </row>
    <row r="10" spans="1:14">
      <c r="A10" s="361">
        <v>6</v>
      </c>
      <c r="B10" s="354" t="s">
        <v>150</v>
      </c>
      <c r="C10" s="352"/>
      <c r="D10" s="354"/>
      <c r="E10" s="106">
        <v>3</v>
      </c>
      <c r="F10" s="164" t="s">
        <v>121</v>
      </c>
      <c r="G10" s="280">
        <v>700</v>
      </c>
      <c r="H10" s="115">
        <f t="shared" ref="H10" si="0">E10*G10</f>
        <v>2100</v>
      </c>
      <c r="I10" s="427">
        <v>22051578</v>
      </c>
      <c r="J10" s="450">
        <v>45055</v>
      </c>
      <c r="K10" s="130"/>
      <c r="L10" s="129"/>
      <c r="M10" s="406"/>
      <c r="N10" s="281"/>
    </row>
    <row r="11" spans="1:14">
      <c r="A11" s="275"/>
      <c r="B11" s="354" t="s">
        <v>151</v>
      </c>
      <c r="C11" s="351" t="s">
        <v>182</v>
      </c>
      <c r="D11" s="116"/>
      <c r="E11" s="106">
        <v>250</v>
      </c>
      <c r="F11" s="164" t="s">
        <v>121</v>
      </c>
      <c r="G11" s="280">
        <v>3</v>
      </c>
      <c r="H11" s="115">
        <f>E11*G11</f>
        <v>750</v>
      </c>
      <c r="I11" s="274"/>
      <c r="J11" s="451"/>
      <c r="K11" s="130"/>
      <c r="L11" s="129"/>
      <c r="M11" s="125"/>
      <c r="N11" s="397"/>
    </row>
    <row r="12" spans="1:14">
      <c r="A12" s="275"/>
      <c r="B12" s="354" t="s">
        <v>178</v>
      </c>
      <c r="C12" s="351"/>
      <c r="E12" s="106">
        <v>250</v>
      </c>
      <c r="F12" s="164" t="s">
        <v>121</v>
      </c>
      <c r="G12" s="280">
        <v>10</v>
      </c>
      <c r="H12" s="115">
        <f t="shared" ref="H12:H13" si="1">E12*G12</f>
        <v>2500</v>
      </c>
      <c r="I12" s="265"/>
      <c r="J12" s="452"/>
      <c r="K12" s="130"/>
      <c r="L12" s="129"/>
      <c r="M12" s="125"/>
      <c r="N12" s="397"/>
    </row>
    <row r="13" spans="1:14">
      <c r="A13" s="275"/>
      <c r="B13" s="354" t="s">
        <v>181</v>
      </c>
      <c r="C13" s="351"/>
      <c r="D13" s="116"/>
      <c r="E13" s="106">
        <v>1</v>
      </c>
      <c r="F13" s="164" t="s">
        <v>121</v>
      </c>
      <c r="G13" s="280">
        <v>1000</v>
      </c>
      <c r="H13" s="115">
        <f t="shared" si="1"/>
        <v>1000</v>
      </c>
      <c r="I13" s="265"/>
      <c r="J13" s="452"/>
      <c r="K13" s="130"/>
      <c r="L13" s="129"/>
      <c r="M13" s="125"/>
      <c r="N13" s="397"/>
    </row>
    <row r="14" spans="1:14" ht="15.5" thickBot="1">
      <c r="A14" s="453"/>
      <c r="B14" s="454"/>
      <c r="C14" s="455"/>
      <c r="D14" s="456"/>
      <c r="E14" s="457"/>
      <c r="F14" s="458"/>
      <c r="G14" s="459"/>
      <c r="H14" s="460"/>
      <c r="I14" s="461"/>
      <c r="J14" s="462"/>
      <c r="K14" s="125"/>
      <c r="L14" s="168"/>
      <c r="M14" s="100"/>
      <c r="N14" s="399"/>
    </row>
    <row r="15" spans="1:14" ht="16" thickTop="1" thickBot="1">
      <c r="A15" s="379"/>
      <c r="B15" s="423"/>
      <c r="C15" s="148"/>
      <c r="D15" s="133"/>
      <c r="E15" s="424"/>
      <c r="F15" s="89"/>
      <c r="G15" s="425"/>
      <c r="H15" s="138"/>
      <c r="I15" s="426"/>
      <c r="J15" s="463"/>
      <c r="K15" s="125"/>
      <c r="L15" s="168"/>
      <c r="M15" s="100"/>
      <c r="N15" s="399"/>
    </row>
    <row r="16" spans="1:14" ht="16" customHeight="1" thickTop="1" thickBot="1">
      <c r="A16" s="442"/>
      <c r="B16" s="443"/>
      <c r="C16" s="444"/>
      <c r="D16" s="445" t="s">
        <v>158</v>
      </c>
      <c r="E16" s="446"/>
      <c r="F16" s="446"/>
      <c r="G16" s="444"/>
      <c r="H16" s="447"/>
      <c r="I16" s="464"/>
      <c r="J16" s="465"/>
      <c r="K16" s="130"/>
      <c r="L16" s="129"/>
      <c r="M16" s="255"/>
      <c r="N16" s="398"/>
    </row>
    <row r="17" spans="1:14">
      <c r="A17" s="412" t="s">
        <v>186</v>
      </c>
      <c r="B17" s="354" t="s">
        <v>150</v>
      </c>
      <c r="C17" s="352"/>
      <c r="D17" s="347"/>
      <c r="E17" s="106">
        <v>3</v>
      </c>
      <c r="F17" s="164" t="s">
        <v>121</v>
      </c>
      <c r="G17" s="378">
        <v>700</v>
      </c>
      <c r="H17" s="124">
        <f>E17*G17</f>
        <v>2100</v>
      </c>
      <c r="I17" s="274"/>
      <c r="J17" s="451"/>
      <c r="K17" s="130"/>
      <c r="L17" s="129"/>
      <c r="M17" s="255"/>
      <c r="N17" s="398"/>
    </row>
    <row r="18" spans="1:14">
      <c r="A18" s="275"/>
      <c r="B18" s="354" t="s">
        <v>151</v>
      </c>
      <c r="C18" s="351" t="s">
        <v>183</v>
      </c>
      <c r="D18" s="410"/>
      <c r="E18" s="106">
        <v>200</v>
      </c>
      <c r="F18" s="164" t="s">
        <v>121</v>
      </c>
      <c r="G18" s="378">
        <v>3</v>
      </c>
      <c r="H18" s="124">
        <f t="shared" ref="H18:H20" si="2">E18*G18</f>
        <v>600</v>
      </c>
      <c r="I18" s="276"/>
      <c r="J18" s="466"/>
      <c r="K18" s="130"/>
      <c r="L18" s="129"/>
      <c r="M18" s="125"/>
      <c r="N18" s="397"/>
    </row>
    <row r="19" spans="1:14">
      <c r="A19" s="277"/>
      <c r="B19" s="354" t="s">
        <v>181</v>
      </c>
      <c r="C19" s="351" t="s">
        <v>182</v>
      </c>
      <c r="D19" s="347"/>
      <c r="E19" s="106">
        <v>1</v>
      </c>
      <c r="F19" s="164" t="s">
        <v>121</v>
      </c>
      <c r="G19" s="378">
        <v>1000</v>
      </c>
      <c r="H19" s="124">
        <f t="shared" si="2"/>
        <v>1000</v>
      </c>
      <c r="I19" s="441">
        <v>22051874</v>
      </c>
      <c r="J19" s="450">
        <v>45064</v>
      </c>
      <c r="K19" s="130"/>
      <c r="L19" s="129"/>
      <c r="M19" s="125"/>
      <c r="N19" s="397"/>
    </row>
    <row r="20" spans="1:14">
      <c r="A20" s="277"/>
      <c r="B20" s="354" t="s">
        <v>184</v>
      </c>
      <c r="C20" s="351" t="s">
        <v>185</v>
      </c>
      <c r="D20" s="347"/>
      <c r="E20" s="106">
        <v>1</v>
      </c>
      <c r="F20" s="164" t="s">
        <v>121</v>
      </c>
      <c r="G20" s="378">
        <v>1000</v>
      </c>
      <c r="H20" s="124">
        <f t="shared" si="2"/>
        <v>1000</v>
      </c>
      <c r="I20" s="268"/>
      <c r="J20" s="467"/>
      <c r="K20" s="130"/>
      <c r="L20" s="129"/>
      <c r="M20" s="125"/>
      <c r="N20" s="397"/>
    </row>
    <row r="21" spans="1:14" ht="15.5" thickBot="1">
      <c r="A21" s="468"/>
      <c r="B21" s="454"/>
      <c r="C21" s="469"/>
      <c r="D21" s="470"/>
      <c r="E21" s="458"/>
      <c r="F21" s="471"/>
      <c r="G21" s="472"/>
      <c r="H21" s="473"/>
      <c r="I21" s="474"/>
      <c r="J21" s="475"/>
      <c r="K21" s="130"/>
      <c r="L21" s="129"/>
      <c r="M21" s="125"/>
      <c r="N21" s="397"/>
    </row>
    <row r="22" spans="1:14" ht="16" thickTop="1" thickBot="1">
      <c r="A22" s="440"/>
      <c r="B22" s="362"/>
      <c r="C22" s="363"/>
      <c r="D22" s="430"/>
      <c r="E22" s="89"/>
      <c r="F22" s="364"/>
      <c r="G22" s="179"/>
      <c r="H22" s="179"/>
      <c r="I22" s="476"/>
      <c r="J22" s="477"/>
      <c r="K22" s="130"/>
      <c r="L22" s="129"/>
      <c r="M22" s="125"/>
      <c r="N22" s="397"/>
    </row>
    <row r="23" spans="1:14" ht="16" customHeight="1" thickTop="1" thickBot="1">
      <c r="A23" s="442"/>
      <c r="B23" s="443"/>
      <c r="C23" s="444"/>
      <c r="D23" s="445" t="s">
        <v>158</v>
      </c>
      <c r="E23" s="446"/>
      <c r="F23" s="446"/>
      <c r="G23" s="444"/>
      <c r="H23" s="447"/>
      <c r="I23" s="464"/>
      <c r="J23" s="465"/>
      <c r="K23" s="130"/>
      <c r="L23" s="129"/>
      <c r="M23" s="255"/>
      <c r="N23" s="398"/>
    </row>
    <row r="24" spans="1:14">
      <c r="A24" s="428"/>
      <c r="B24" s="356" t="s">
        <v>197</v>
      </c>
      <c r="C24" s="351" t="s">
        <v>187</v>
      </c>
      <c r="D24" s="278" t="s">
        <v>188</v>
      </c>
      <c r="E24" s="100">
        <v>180</v>
      </c>
      <c r="F24" s="164" t="s">
        <v>120</v>
      </c>
      <c r="G24" s="115">
        <v>80</v>
      </c>
      <c r="H24" s="124">
        <f t="shared" ref="H24" si="3">E24*G24</f>
        <v>14400</v>
      </c>
      <c r="I24" s="408"/>
      <c r="J24" s="482"/>
      <c r="K24" s="130"/>
      <c r="L24" s="129"/>
      <c r="M24" s="125"/>
      <c r="N24" s="397"/>
    </row>
    <row r="25" spans="1:14" ht="15.5" thickBot="1">
      <c r="A25" s="440"/>
      <c r="B25" s="356"/>
      <c r="C25" s="351"/>
      <c r="D25" s="278"/>
      <c r="E25" s="100"/>
      <c r="F25" s="164"/>
      <c r="G25" s="115"/>
      <c r="H25" s="124"/>
      <c r="I25" s="346"/>
      <c r="J25" s="482"/>
      <c r="K25" s="130"/>
      <c r="L25" s="129"/>
      <c r="M25" s="125"/>
      <c r="N25" s="397"/>
    </row>
    <row r="26" spans="1:14" ht="15" customHeight="1" thickBot="1">
      <c r="A26" s="500">
        <v>8</v>
      </c>
      <c r="B26" s="269"/>
      <c r="C26" s="270"/>
      <c r="D26" s="271" t="s">
        <v>196</v>
      </c>
      <c r="E26" s="272"/>
      <c r="F26" s="272"/>
      <c r="G26" s="270"/>
      <c r="H26" s="273"/>
      <c r="I26" s="434">
        <v>22051887</v>
      </c>
      <c r="J26" s="450">
        <v>45064</v>
      </c>
      <c r="K26" s="130"/>
      <c r="L26" s="129"/>
      <c r="M26" s="255"/>
      <c r="N26" s="398"/>
    </row>
    <row r="27" spans="1:14">
      <c r="A27" s="428"/>
      <c r="B27" s="356" t="s">
        <v>189</v>
      </c>
      <c r="C27" s="351" t="s">
        <v>190</v>
      </c>
      <c r="D27" s="278" t="s">
        <v>191</v>
      </c>
      <c r="E27" s="100">
        <v>390</v>
      </c>
      <c r="F27" s="164" t="s">
        <v>120</v>
      </c>
      <c r="G27" s="115">
        <v>70</v>
      </c>
      <c r="H27" s="124">
        <f t="shared" ref="H27:H30" si="4">E27*G27</f>
        <v>27300</v>
      </c>
      <c r="I27" s="408"/>
      <c r="J27" s="482"/>
      <c r="K27" s="130"/>
      <c r="L27" s="129"/>
      <c r="M27" s="125"/>
      <c r="N27" s="397"/>
    </row>
    <row r="28" spans="1:14">
      <c r="A28" s="407"/>
      <c r="B28" s="356" t="s">
        <v>192</v>
      </c>
      <c r="C28" s="351" t="s">
        <v>187</v>
      </c>
      <c r="D28" s="278" t="s">
        <v>193</v>
      </c>
      <c r="E28" s="100">
        <v>190</v>
      </c>
      <c r="F28" s="164" t="s">
        <v>120</v>
      </c>
      <c r="G28" s="115">
        <v>86</v>
      </c>
      <c r="H28" s="124">
        <f t="shared" si="4"/>
        <v>16340</v>
      </c>
      <c r="I28" s="408"/>
      <c r="J28" s="482"/>
      <c r="K28" s="130"/>
      <c r="L28" s="129"/>
      <c r="M28" s="125"/>
      <c r="N28" s="397"/>
    </row>
    <row r="29" spans="1:14">
      <c r="A29" s="407"/>
      <c r="B29" s="356" t="s">
        <v>194</v>
      </c>
      <c r="C29" s="351"/>
      <c r="D29" s="278" t="s">
        <v>207</v>
      </c>
      <c r="E29" s="100"/>
      <c r="F29" s="164"/>
      <c r="G29" s="115"/>
      <c r="H29" s="124"/>
      <c r="I29" s="408"/>
      <c r="J29" s="482"/>
      <c r="K29" s="130"/>
      <c r="L29" s="129"/>
      <c r="M29" s="125"/>
      <c r="N29" s="397"/>
    </row>
    <row r="30" spans="1:14">
      <c r="A30" s="407"/>
      <c r="B30" s="356"/>
      <c r="C30" s="351"/>
      <c r="D30" s="411" t="s">
        <v>198</v>
      </c>
      <c r="E30" s="100">
        <v>16</v>
      </c>
      <c r="F30" s="164" t="s">
        <v>120</v>
      </c>
      <c r="G30" s="115">
        <v>400</v>
      </c>
      <c r="H30" s="124">
        <f t="shared" si="4"/>
        <v>6400</v>
      </c>
      <c r="I30" s="408"/>
      <c r="J30" s="482"/>
      <c r="K30" s="130"/>
      <c r="L30" s="129"/>
      <c r="M30" s="125"/>
      <c r="N30" s="397"/>
    </row>
    <row r="31" spans="1:14" ht="15.5" thickBot="1">
      <c r="A31" s="483"/>
      <c r="B31" s="454"/>
      <c r="C31" s="469"/>
      <c r="D31" s="470"/>
      <c r="E31" s="458"/>
      <c r="F31" s="471"/>
      <c r="G31" s="472"/>
      <c r="H31" s="473"/>
      <c r="I31" s="484"/>
      <c r="J31" s="475"/>
      <c r="K31" s="130"/>
      <c r="L31" s="129"/>
      <c r="M31" s="125"/>
      <c r="N31" s="397"/>
    </row>
    <row r="32" spans="1:14" ht="16" thickTop="1" thickBot="1">
      <c r="A32" s="431"/>
      <c r="B32" s="478"/>
      <c r="C32" s="479"/>
      <c r="D32" s="480"/>
      <c r="E32" s="435"/>
      <c r="F32" s="211"/>
      <c r="G32" s="432"/>
      <c r="H32" s="432"/>
      <c r="I32" s="433"/>
      <c r="J32" s="481"/>
      <c r="K32" s="130"/>
      <c r="L32" s="129"/>
      <c r="M32" s="125"/>
      <c r="N32" s="397"/>
    </row>
    <row r="33" spans="1:14">
      <c r="A33" s="169"/>
      <c r="B33" s="154" t="s">
        <v>132</v>
      </c>
      <c r="C33" s="245" t="s">
        <v>179</v>
      </c>
      <c r="D33" s="117"/>
      <c r="E33" s="284">
        <f>SUMIF($F$9:$F$32,"M.",$E$9:$E$32)</f>
        <v>776</v>
      </c>
      <c r="F33" s="171" t="s">
        <v>120</v>
      </c>
      <c r="G33" s="124"/>
      <c r="H33" s="348">
        <f>SUMIF($F$9:$F$32,"M.",$H$9:$H$32)</f>
        <v>64440</v>
      </c>
      <c r="I33" s="124"/>
      <c r="J33" s="366"/>
      <c r="K33" s="255"/>
      <c r="L33" s="172"/>
      <c r="M33" s="123"/>
      <c r="N33" s="400"/>
    </row>
    <row r="34" spans="1:14">
      <c r="A34" s="101"/>
      <c r="B34" s="146"/>
      <c r="C34" s="100"/>
      <c r="D34" s="165"/>
      <c r="E34" s="163">
        <f>SUMIF($F$9:$F$32,"PCS.",$E$9:$E$32)</f>
        <v>709</v>
      </c>
      <c r="F34" s="164" t="s">
        <v>121</v>
      </c>
      <c r="G34" s="115"/>
      <c r="H34" s="349">
        <f>SUMIF($F$9:$F$32,"PCS.",$H$9:$H$32)</f>
        <v>11050</v>
      </c>
      <c r="I34" s="101"/>
      <c r="J34" s="350"/>
      <c r="K34" s="125"/>
      <c r="L34" s="168"/>
      <c r="M34" s="100"/>
      <c r="N34" s="401"/>
    </row>
    <row r="35" spans="1:14" ht="15.5" thickBot="1">
      <c r="A35" s="129"/>
      <c r="B35" s="146"/>
      <c r="C35" s="100"/>
      <c r="D35" s="166"/>
      <c r="E35" s="367">
        <f>E33</f>
        <v>776</v>
      </c>
      <c r="F35" s="380">
        <f>E34</f>
        <v>709</v>
      </c>
      <c r="G35" s="101"/>
      <c r="H35" s="167">
        <f>SUM(H33:H34)</f>
        <v>75490</v>
      </c>
      <c r="I35" s="101"/>
      <c r="J35" s="350"/>
      <c r="K35" s="125"/>
      <c r="L35" s="168"/>
      <c r="M35" s="100"/>
      <c r="N35" s="401"/>
    </row>
    <row r="36" spans="1:14" ht="13.9" customHeight="1" thickBot="1">
      <c r="A36" s="373"/>
      <c r="B36" s="286" t="s">
        <v>132</v>
      </c>
      <c r="C36" s="285"/>
      <c r="D36" s="285"/>
      <c r="E36" s="286"/>
      <c r="F36" s="287"/>
      <c r="G36" s="288" t="s">
        <v>146</v>
      </c>
      <c r="H36" s="289">
        <f>SUM(H9:H32)</f>
        <v>75490</v>
      </c>
      <c r="I36" s="290"/>
      <c r="J36" s="291"/>
      <c r="K36" s="130"/>
      <c r="L36" s="129"/>
      <c r="M36" s="125"/>
      <c r="N36" s="397"/>
    </row>
    <row r="37" spans="1:14">
      <c r="A37" s="214"/>
      <c r="B37" s="26"/>
      <c r="C37" s="292"/>
      <c r="D37" s="3"/>
      <c r="E37" s="293"/>
      <c r="F37" s="217"/>
      <c r="G37" s="294"/>
      <c r="H37" s="295"/>
      <c r="I37" s="71"/>
      <c r="J37" s="70"/>
      <c r="K37"/>
      <c r="L37"/>
      <c r="M37" s="70"/>
      <c r="N37" s="70"/>
    </row>
    <row r="38" spans="1:14">
      <c r="A38" s="214"/>
      <c r="B38" s="26"/>
      <c r="C38" s="292"/>
      <c r="D38" s="3"/>
      <c r="E38" s="293"/>
      <c r="F38" s="217"/>
      <c r="G38" s="294"/>
      <c r="H38" s="295"/>
      <c r="I38" s="71"/>
      <c r="J38" s="70"/>
      <c r="K38"/>
      <c r="L38"/>
      <c r="M38" s="70"/>
      <c r="N38" s="70"/>
    </row>
    <row r="39" spans="1:14">
      <c r="A39" s="214"/>
      <c r="B39" s="26"/>
      <c r="C39" s="292"/>
      <c r="D39" s="3"/>
      <c r="E39" s="293"/>
      <c r="F39" s="217"/>
      <c r="G39" s="294"/>
      <c r="H39" s="295"/>
      <c r="I39" s="71"/>
      <c r="J39" s="70"/>
      <c r="K39"/>
      <c r="L39"/>
      <c r="M39" s="70"/>
      <c r="N39" s="70"/>
    </row>
    <row r="40" spans="1:14">
      <c r="A40" s="214"/>
      <c r="B40" s="26"/>
      <c r="C40" s="292"/>
      <c r="D40" s="3"/>
      <c r="E40" s="293"/>
      <c r="F40" s="70"/>
      <c r="G40" s="294"/>
      <c r="H40" s="295"/>
      <c r="I40" s="71"/>
      <c r="J40" s="70"/>
      <c r="K40"/>
      <c r="L40"/>
      <c r="M40" s="70"/>
      <c r="N40" s="70"/>
    </row>
    <row r="41" spans="1:14">
      <c r="A41" s="214"/>
      <c r="B41" s="296"/>
      <c r="C41" s="70"/>
      <c r="D41" s="3"/>
      <c r="E41" s="297"/>
      <c r="F41" s="298"/>
      <c r="G41" s="299"/>
      <c r="H41" s="295"/>
      <c r="I41" s="71"/>
      <c r="J41" s="70"/>
      <c r="K41"/>
      <c r="L41"/>
      <c r="M41" s="70"/>
      <c r="N41" s="70"/>
    </row>
    <row r="42" spans="1:14">
      <c r="A42" s="214"/>
      <c r="B42" s="26"/>
      <c r="C42" s="292"/>
      <c r="D42" s="3"/>
      <c r="E42" s="293"/>
      <c r="F42" s="217"/>
      <c r="G42" s="294"/>
      <c r="H42" s="295"/>
      <c r="I42" s="71"/>
      <c r="J42" s="70"/>
      <c r="K42"/>
      <c r="L42"/>
      <c r="M42" s="70"/>
      <c r="N42" s="70"/>
    </row>
    <row r="43" spans="1:14" s="301" customFormat="1">
      <c r="A43" s="214"/>
      <c r="B43" s="296"/>
      <c r="C43" s="70"/>
      <c r="D43" s="3"/>
      <c r="E43" s="297"/>
      <c r="F43" s="298"/>
      <c r="G43" s="299"/>
      <c r="H43" s="295"/>
      <c r="I43" s="300"/>
      <c r="J43"/>
      <c r="K43"/>
      <c r="L43"/>
      <c r="M43" s="70"/>
      <c r="N43" s="70"/>
    </row>
    <row r="44" spans="1:14" s="301" customFormat="1">
      <c r="A44" s="214"/>
      <c r="B44" s="296"/>
      <c r="C44" s="70"/>
      <c r="D44" s="3"/>
      <c r="E44" s="297"/>
      <c r="F44" s="298"/>
      <c r="G44" s="299"/>
      <c r="H44" s="295"/>
      <c r="I44" s="300"/>
      <c r="J44"/>
      <c r="K44"/>
      <c r="L44"/>
      <c r="M44" s="70"/>
      <c r="N44" s="70"/>
    </row>
    <row r="45" spans="1:14">
      <c r="A45" s="214"/>
      <c r="B45" s="296"/>
      <c r="C45" s="70"/>
      <c r="D45" s="3"/>
      <c r="E45" s="297"/>
      <c r="F45" s="298"/>
      <c r="G45" s="299"/>
      <c r="H45" s="295"/>
      <c r="I45" s="300"/>
      <c r="K45"/>
      <c r="L45"/>
      <c r="M45" s="70"/>
      <c r="N45" s="70"/>
    </row>
    <row r="46" spans="1:14" ht="13.9" customHeight="1">
      <c r="A46" s="302"/>
      <c r="B46" s="303"/>
      <c r="C46" s="304"/>
      <c r="D46" s="305"/>
      <c r="E46" s="306"/>
      <c r="F46" s="306"/>
      <c r="G46" s="304"/>
      <c r="H46" s="1"/>
      <c r="I46" s="71"/>
      <c r="J46" s="307"/>
      <c r="K46"/>
      <c r="L46"/>
      <c r="M46" s="70"/>
      <c r="N46" s="70"/>
    </row>
    <row r="47" spans="1:14">
      <c r="A47" s="214"/>
      <c r="B47" s="26"/>
      <c r="C47" s="292"/>
      <c r="D47" s="3"/>
      <c r="E47" s="293"/>
      <c r="F47" s="217"/>
      <c r="G47" s="294"/>
      <c r="H47" s="295"/>
      <c r="I47" s="71"/>
      <c r="J47" s="70"/>
      <c r="K47"/>
      <c r="L47"/>
      <c r="M47" s="70"/>
      <c r="N47" s="70"/>
    </row>
    <row r="48" spans="1:14">
      <c r="A48" s="214"/>
      <c r="B48" s="26"/>
      <c r="C48" s="292"/>
      <c r="D48" s="3"/>
      <c r="E48" s="293"/>
      <c r="F48" s="217"/>
      <c r="G48" s="294"/>
      <c r="H48" s="295"/>
      <c r="I48" s="71"/>
      <c r="J48" s="70"/>
      <c r="K48"/>
      <c r="L48"/>
      <c r="M48" s="70"/>
      <c r="N48" s="70"/>
    </row>
    <row r="49" spans="1:14">
      <c r="A49" s="214"/>
      <c r="B49" s="26"/>
      <c r="C49" s="292"/>
      <c r="D49" s="3"/>
      <c r="E49" s="293"/>
      <c r="F49" s="217"/>
      <c r="G49" s="294"/>
      <c r="H49" s="295"/>
      <c r="I49" s="71"/>
      <c r="J49" s="70"/>
      <c r="K49"/>
      <c r="L49"/>
      <c r="M49" s="70"/>
      <c r="N49" s="70"/>
    </row>
    <row r="50" spans="1:14">
      <c r="A50" s="19"/>
      <c r="B50" s="308"/>
      <c r="C50" s="70"/>
      <c r="D50" s="3"/>
      <c r="E50" s="297"/>
      <c r="F50" s="298"/>
      <c r="G50" s="299"/>
      <c r="H50" s="295"/>
      <c r="I50" s="71"/>
      <c r="J50" s="70"/>
      <c r="K50"/>
      <c r="L50"/>
      <c r="M50" s="70"/>
      <c r="N50" s="70"/>
    </row>
    <row r="51" spans="1:14">
      <c r="A51" s="214"/>
      <c r="B51" s="26"/>
      <c r="C51" s="292"/>
      <c r="D51" s="3"/>
      <c r="E51" s="293"/>
      <c r="F51" s="298"/>
      <c r="G51" s="299"/>
      <c r="H51" s="295"/>
      <c r="I51" s="71"/>
      <c r="J51" s="70"/>
      <c r="K51"/>
      <c r="L51"/>
      <c r="M51" s="70"/>
      <c r="N51" s="70"/>
    </row>
    <row r="52" spans="1:14">
      <c r="A52" s="214"/>
      <c r="B52" s="26"/>
      <c r="C52" s="292"/>
      <c r="D52" s="3"/>
      <c r="E52" s="293"/>
      <c r="F52" s="298"/>
      <c r="G52" s="299"/>
      <c r="H52" s="295"/>
      <c r="I52" s="71"/>
      <c r="J52" s="70"/>
      <c r="K52"/>
      <c r="L52"/>
      <c r="M52" s="70"/>
      <c r="N52" s="70"/>
    </row>
    <row r="53" spans="1:14">
      <c r="A53" s="309"/>
      <c r="B53" s="310"/>
      <c r="C53" s="311"/>
      <c r="D53" s="312"/>
      <c r="E53" s="313"/>
      <c r="F53" s="314"/>
      <c r="G53" s="315"/>
      <c r="H53" s="316"/>
      <c r="K53"/>
      <c r="L53"/>
      <c r="M53"/>
      <c r="N53"/>
    </row>
    <row r="54" spans="1:14">
      <c r="A54" s="214"/>
      <c r="B54" s="26"/>
      <c r="C54" s="292"/>
      <c r="D54" s="3"/>
      <c r="E54" s="293"/>
      <c r="F54" s="217"/>
      <c r="G54" s="294"/>
      <c r="H54" s="295"/>
      <c r="I54" s="71"/>
      <c r="J54" s="70"/>
      <c r="K54"/>
      <c r="L54"/>
      <c r="M54" s="70"/>
      <c r="N54" s="70"/>
    </row>
    <row r="55" spans="1:14">
      <c r="A55" s="214"/>
      <c r="B55" s="26"/>
      <c r="C55" s="292"/>
      <c r="D55" s="3"/>
      <c r="E55" s="293"/>
      <c r="F55" s="70"/>
      <c r="G55" s="294"/>
      <c r="H55" s="295"/>
      <c r="I55" s="71"/>
      <c r="J55" s="70"/>
      <c r="K55"/>
      <c r="L55"/>
      <c r="M55" s="70"/>
      <c r="N55" s="70"/>
    </row>
    <row r="56" spans="1:14">
      <c r="A56" s="214"/>
      <c r="B56" s="296"/>
      <c r="C56" s="70"/>
      <c r="D56" s="3"/>
      <c r="E56" s="297"/>
      <c r="F56" s="298"/>
      <c r="G56" s="299"/>
      <c r="H56" s="295"/>
      <c r="I56" s="71"/>
      <c r="J56" s="70"/>
      <c r="K56"/>
      <c r="L56"/>
      <c r="M56" s="70"/>
      <c r="N56" s="70"/>
    </row>
    <row r="57" spans="1:14">
      <c r="A57" s="214"/>
      <c r="B57" s="26"/>
      <c r="C57" s="292"/>
      <c r="D57" s="3"/>
      <c r="E57" s="293"/>
      <c r="F57" s="217"/>
      <c r="G57" s="294"/>
      <c r="H57" s="295"/>
      <c r="I57" s="71"/>
      <c r="J57" s="70"/>
      <c r="K57"/>
      <c r="L57"/>
      <c r="M57" s="70"/>
      <c r="N57" s="70"/>
    </row>
    <row r="58" spans="1:14" s="301" customFormat="1">
      <c r="A58" s="214"/>
      <c r="B58" s="296"/>
      <c r="C58" s="70"/>
      <c r="D58" s="3"/>
      <c r="E58" s="297"/>
      <c r="F58" s="298"/>
      <c r="G58" s="299"/>
      <c r="H58" s="295"/>
      <c r="I58" s="300"/>
      <c r="J58"/>
      <c r="K58"/>
      <c r="L58"/>
      <c r="M58" s="70"/>
      <c r="N58" s="70"/>
    </row>
    <row r="59" spans="1:14">
      <c r="A59" s="214"/>
      <c r="B59" s="26"/>
      <c r="C59" s="292"/>
      <c r="D59" s="3"/>
      <c r="E59" s="293"/>
      <c r="F59" s="217"/>
      <c r="G59" s="294"/>
      <c r="H59" s="295"/>
      <c r="I59" s="71"/>
      <c r="J59" s="70"/>
      <c r="K59"/>
      <c r="L59"/>
      <c r="M59" s="70"/>
      <c r="N59" s="70"/>
    </row>
    <row r="60" spans="1:14" ht="13.9" customHeight="1">
      <c r="A60" s="302"/>
      <c r="B60" s="303"/>
      <c r="C60" s="304"/>
      <c r="D60" s="305"/>
      <c r="E60" s="317"/>
      <c r="F60" s="317"/>
      <c r="G60" s="318"/>
      <c r="H60" s="319"/>
      <c r="I60" s="71"/>
      <c r="J60" s="307"/>
      <c r="K60"/>
      <c r="L60"/>
      <c r="M60" s="70"/>
      <c r="N60" s="70"/>
    </row>
    <row r="61" spans="1:14" ht="13.9" customHeight="1">
      <c r="A61" s="302"/>
      <c r="B61" s="296"/>
      <c r="C61" s="70"/>
      <c r="D61" s="320"/>
      <c r="E61" s="321"/>
      <c r="F61" s="322"/>
      <c r="G61" s="323"/>
      <c r="H61" s="324"/>
      <c r="I61" s="71"/>
      <c r="J61" s="307"/>
      <c r="K61"/>
      <c r="L61"/>
      <c r="M61" s="70"/>
      <c r="N61" s="70"/>
    </row>
    <row r="62" spans="1:14" ht="13.9" customHeight="1">
      <c r="A62" s="302"/>
      <c r="B62" s="296"/>
      <c r="C62" s="70"/>
      <c r="D62" s="320"/>
      <c r="E62" s="321"/>
      <c r="F62" s="322"/>
      <c r="G62" s="323"/>
      <c r="H62" s="324"/>
      <c r="I62" s="71"/>
      <c r="J62" s="307"/>
      <c r="K62"/>
      <c r="L62"/>
      <c r="M62" s="70"/>
      <c r="N62" s="70"/>
    </row>
    <row r="63" spans="1:14">
      <c r="A63" s="214"/>
      <c r="B63" s="296"/>
      <c r="C63" s="70"/>
      <c r="D63" s="320"/>
      <c r="E63" s="321"/>
      <c r="F63" s="322"/>
      <c r="G63" s="323"/>
      <c r="H63" s="324"/>
      <c r="I63" s="300"/>
      <c r="K63"/>
      <c r="L63"/>
      <c r="M63" s="70"/>
      <c r="N63" s="70"/>
    </row>
    <row r="64" spans="1:14" ht="13.9" customHeight="1">
      <c r="A64" s="302"/>
      <c r="B64" s="303"/>
      <c r="C64" s="304"/>
      <c r="D64" s="305"/>
      <c r="E64" s="317"/>
      <c r="F64" s="317"/>
      <c r="G64" s="318"/>
      <c r="H64" s="319"/>
      <c r="I64" s="71"/>
      <c r="J64" s="307"/>
      <c r="K64"/>
      <c r="L64"/>
      <c r="M64" s="70"/>
      <c r="N64" s="70"/>
    </row>
    <row r="65" spans="1:14">
      <c r="A65" s="214"/>
      <c r="B65" s="26"/>
      <c r="C65" s="292"/>
      <c r="D65" s="320"/>
      <c r="E65" s="325"/>
      <c r="F65" s="326"/>
      <c r="G65" s="327"/>
      <c r="H65" s="324"/>
      <c r="I65" s="71"/>
      <c r="J65" s="70"/>
      <c r="K65"/>
      <c r="L65"/>
      <c r="M65" s="70"/>
      <c r="N65" s="70"/>
    </row>
    <row r="66" spans="1:14">
      <c r="A66" s="214"/>
      <c r="B66" s="26"/>
      <c r="C66" s="292"/>
      <c r="D66" s="320"/>
      <c r="E66" s="325"/>
      <c r="F66" s="326"/>
      <c r="G66" s="327"/>
      <c r="H66" s="324"/>
      <c r="I66" s="71"/>
      <c r="J66" s="70"/>
      <c r="K66"/>
      <c r="L66"/>
      <c r="M66" s="70"/>
      <c r="N66" s="70"/>
    </row>
    <row r="67" spans="1:14">
      <c r="A67" s="214"/>
      <c r="B67" s="26"/>
      <c r="C67" s="292"/>
      <c r="D67" s="320"/>
      <c r="E67" s="325"/>
      <c r="F67" s="326"/>
      <c r="G67" s="327"/>
      <c r="H67" s="324"/>
      <c r="I67" s="71"/>
      <c r="J67" s="70"/>
      <c r="K67"/>
      <c r="L67"/>
      <c r="M67" s="70"/>
      <c r="N67" s="70"/>
    </row>
    <row r="68" spans="1:14">
      <c r="A68" s="19"/>
      <c r="B68" s="308"/>
      <c r="C68" s="70"/>
      <c r="D68" s="320"/>
      <c r="E68" s="321"/>
      <c r="F68" s="322"/>
      <c r="G68" s="323"/>
      <c r="H68" s="324"/>
      <c r="I68" s="71"/>
      <c r="J68" s="70"/>
      <c r="K68"/>
      <c r="L68"/>
      <c r="M68" s="70"/>
      <c r="N68" s="70"/>
    </row>
    <row r="69" spans="1:14">
      <c r="A69" s="214"/>
      <c r="B69" s="26"/>
      <c r="C69" s="292"/>
      <c r="D69" s="320"/>
      <c r="E69" s="325"/>
      <c r="F69" s="322"/>
      <c r="G69" s="323"/>
      <c r="H69" s="324"/>
      <c r="I69" s="71"/>
      <c r="J69" s="70"/>
      <c r="K69"/>
      <c r="L69"/>
      <c r="M69" s="70"/>
      <c r="N69" s="70"/>
    </row>
    <row r="70" spans="1:14">
      <c r="A70" s="214"/>
      <c r="B70" s="26"/>
      <c r="C70" s="292"/>
      <c r="D70" s="320"/>
      <c r="E70" s="325"/>
      <c r="F70" s="328"/>
      <c r="G70" s="327"/>
      <c r="H70" s="324"/>
      <c r="I70" s="71"/>
      <c r="J70" s="70"/>
      <c r="K70"/>
      <c r="L70"/>
      <c r="M70" s="70"/>
      <c r="N70" s="70"/>
    </row>
    <row r="71" spans="1:14">
      <c r="A71" s="214"/>
      <c r="B71" s="296"/>
      <c r="C71" s="70"/>
      <c r="D71" s="320"/>
      <c r="E71" s="321"/>
      <c r="F71" s="322"/>
      <c r="G71" s="323"/>
      <c r="H71" s="324"/>
      <c r="I71" s="71"/>
      <c r="J71" s="70"/>
      <c r="K71"/>
      <c r="L71"/>
      <c r="M71" s="70"/>
      <c r="N71" s="70"/>
    </row>
    <row r="72" spans="1:14">
      <c r="A72" s="214"/>
      <c r="B72" s="26"/>
      <c r="C72" s="292"/>
      <c r="D72" s="320"/>
      <c r="E72" s="325"/>
      <c r="F72" s="322"/>
      <c r="G72" s="327"/>
      <c r="H72" s="324"/>
      <c r="I72" s="71"/>
      <c r="J72" s="70"/>
      <c r="K72"/>
      <c r="L72"/>
      <c r="M72" s="70"/>
      <c r="N72" s="70"/>
    </row>
    <row r="73" spans="1:14">
      <c r="A73" s="214"/>
      <c r="B73" s="26"/>
      <c r="C73" s="292"/>
      <c r="D73" s="320"/>
      <c r="E73" s="325"/>
      <c r="F73" s="322"/>
      <c r="G73" s="327"/>
      <c r="H73" s="324"/>
      <c r="I73" s="71"/>
      <c r="J73" s="70"/>
      <c r="K73"/>
      <c r="L73"/>
      <c r="M73" s="70"/>
      <c r="N73" s="70"/>
    </row>
    <row r="74" spans="1:14">
      <c r="A74" s="214"/>
      <c r="B74" s="303"/>
      <c r="C74" s="303"/>
      <c r="D74" s="305"/>
      <c r="E74" s="329"/>
      <c r="F74" s="317"/>
      <c r="G74" s="318"/>
      <c r="H74" s="319"/>
      <c r="I74" s="71"/>
      <c r="J74" s="307"/>
      <c r="K74"/>
      <c r="L74"/>
      <c r="M74" s="70"/>
      <c r="N74" s="70"/>
    </row>
    <row r="75" spans="1:14">
      <c r="A75" s="330"/>
      <c r="B75" s="70"/>
      <c r="C75" s="70"/>
      <c r="D75" s="320"/>
      <c r="E75" s="321"/>
      <c r="F75" s="322"/>
      <c r="G75" s="327"/>
      <c r="H75" s="324"/>
      <c r="I75" s="71"/>
      <c r="J75" s="307"/>
      <c r="K75"/>
      <c r="L75"/>
      <c r="M75" s="70"/>
      <c r="N75" s="70"/>
    </row>
    <row r="76" spans="1:14">
      <c r="A76" s="331"/>
      <c r="B76" s="303"/>
      <c r="C76" s="303"/>
      <c r="D76" s="305"/>
      <c r="E76" s="321"/>
      <c r="F76" s="328"/>
      <c r="G76" s="327"/>
      <c r="H76" s="324"/>
      <c r="K76"/>
      <c r="L76"/>
      <c r="M76" s="70"/>
      <c r="N76" s="70"/>
    </row>
    <row r="77" spans="1:14">
      <c r="A77" s="332"/>
      <c r="B77" s="70"/>
      <c r="C77" s="70"/>
      <c r="D77" s="333"/>
      <c r="E77" s="321"/>
      <c r="F77" s="328"/>
      <c r="G77" s="327"/>
      <c r="H77" s="324"/>
      <c r="I77" s="334"/>
      <c r="J77" s="335"/>
      <c r="K77"/>
      <c r="L77"/>
      <c r="M77" s="70"/>
      <c r="N77" s="70"/>
    </row>
    <row r="78" spans="1:14">
      <c r="A78" s="26"/>
      <c r="B78" s="26"/>
      <c r="C78" s="70"/>
      <c r="D78" s="333"/>
      <c r="E78" s="325"/>
      <c r="F78" s="328"/>
      <c r="G78" s="327"/>
      <c r="H78" s="324"/>
      <c r="K78"/>
      <c r="L78"/>
      <c r="M78" s="70"/>
      <c r="N78" s="70"/>
    </row>
    <row r="79" spans="1:14">
      <c r="A79" s="336"/>
      <c r="B79" s="155"/>
      <c r="C79" s="114"/>
      <c r="D79" s="320"/>
      <c r="E79" s="337"/>
      <c r="F79" s="326"/>
      <c r="G79" s="324"/>
      <c r="H79" s="337"/>
      <c r="I79" s="295"/>
      <c r="J79" s="3"/>
      <c r="K79" s="70"/>
      <c r="L79" s="43"/>
      <c r="M79" s="70"/>
    </row>
    <row r="80" spans="1:14">
      <c r="A80" s="3"/>
      <c r="B80" s="155"/>
      <c r="C80" s="70"/>
      <c r="D80" s="248"/>
      <c r="E80" s="337"/>
      <c r="F80" s="326"/>
      <c r="G80" s="324"/>
      <c r="H80" s="337"/>
      <c r="I80" s="3"/>
      <c r="J80" s="3"/>
      <c r="K80" s="70"/>
      <c r="L80" s="43"/>
      <c r="M80" s="70"/>
    </row>
    <row r="81" spans="1:14">
      <c r="A81" s="301"/>
      <c r="B81" s="338"/>
      <c r="C81" s="254"/>
      <c r="D81" s="339"/>
      <c r="E81" s="340"/>
      <c r="F81" s="341"/>
      <c r="G81" s="342"/>
      <c r="H81" s="343"/>
      <c r="I81" s="8"/>
      <c r="J81" s="8"/>
      <c r="K81" s="254"/>
      <c r="L81" s="344"/>
      <c r="M81" s="254"/>
      <c r="N81" s="345"/>
    </row>
    <row r="82" spans="1:14">
      <c r="E82" s="112"/>
      <c r="F82" s="112"/>
      <c r="G82" s="112"/>
      <c r="H82" s="113"/>
    </row>
    <row r="85" spans="1:14">
      <c r="C85" s="112"/>
      <c r="D85" s="112"/>
      <c r="I85" s="112"/>
      <c r="J85" s="112"/>
      <c r="K85" s="113"/>
      <c r="L85" s="112"/>
    </row>
    <row r="86" spans="1:14">
      <c r="C86" s="112"/>
      <c r="D86" s="112"/>
      <c r="I86" s="112"/>
      <c r="J86" s="112"/>
      <c r="K86" s="113"/>
      <c r="L86" s="112"/>
    </row>
    <row r="133" spans="1:15" s="175" customFormat="1" ht="20">
      <c r="A133" s="150" t="s">
        <v>137</v>
      </c>
      <c r="C133" s="94"/>
      <c r="D133"/>
      <c r="E133"/>
      <c r="F133" s="94"/>
      <c r="G133"/>
      <c r="H133" s="94"/>
      <c r="I133"/>
      <c r="J133"/>
      <c r="K133" s="94"/>
      <c r="L133" s="98"/>
      <c r="M133" s="94"/>
      <c r="N133" s="94"/>
      <c r="O133"/>
    </row>
  </sheetData>
  <mergeCells count="2">
    <mergeCell ref="A2:H2"/>
    <mergeCell ref="F4:G4"/>
  </mergeCells>
  <phoneticPr fontId="9"/>
  <pageMargins left="0.51181102362204722" right="0" top="0.74803149606299213" bottom="0.74803149606299213" header="0.31496062992125984" footer="0.31496062992125984"/>
  <pageSetup paperSize="9" scale="69" orientation="portrait" r:id="rId1"/>
  <headerFooter>
    <oddFooter>&amp;C&amp;"Century Gothic,太字"&amp;10&amp;  -   P A G E  3- &amp;P  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4C9EB-EF5F-42A1-801D-07526CEE80C0}">
  <sheetPr>
    <tabColor rgb="FF0070C0"/>
  </sheetPr>
  <dimension ref="A1:M70"/>
  <sheetViews>
    <sheetView zoomScale="90" zoomScaleNormal="90" zoomScaleSheetLayoutView="20" zoomScalePageLayoutView="30" workbookViewId="0">
      <selection activeCell="H28" sqref="H28"/>
    </sheetView>
  </sheetViews>
  <sheetFormatPr defaultRowHeight="15"/>
  <cols>
    <col min="1" max="1" width="7.90625" customWidth="1"/>
    <col min="2" max="2" width="20.7265625" style="175" customWidth="1"/>
    <col min="3" max="3" width="21.36328125" style="94" customWidth="1"/>
    <col min="4" max="4" width="39.7265625" customWidth="1"/>
    <col min="5" max="5" width="7.90625" customWidth="1"/>
    <col min="6" max="6" width="9.36328125" style="94" customWidth="1"/>
    <col min="7" max="7" width="29.6328125" style="94" customWidth="1"/>
  </cols>
  <sheetData>
    <row r="1" spans="1:13">
      <c r="A1" s="109"/>
      <c r="G1" s="26"/>
    </row>
    <row r="2" spans="1:13" ht="17.5">
      <c r="A2" s="532" t="s">
        <v>144</v>
      </c>
      <c r="B2" s="532"/>
      <c r="C2" s="532"/>
      <c r="D2" s="532"/>
      <c r="E2" s="532"/>
      <c r="F2" s="532"/>
      <c r="G2" s="70"/>
    </row>
    <row r="3" spans="1:13" ht="18" thickBot="1">
      <c r="A3" s="149"/>
      <c r="B3" s="176"/>
      <c r="C3" s="149"/>
      <c r="D3" s="149"/>
      <c r="E3" s="149"/>
      <c r="F3" s="149"/>
      <c r="G3" s="70"/>
    </row>
    <row r="4" spans="1:13" s="539" customFormat="1" ht="15.4" customHeight="1" thickBot="1">
      <c r="A4" s="537"/>
      <c r="B4" s="538"/>
      <c r="C4" s="538"/>
      <c r="D4" s="538"/>
      <c r="E4" s="538"/>
      <c r="F4" s="538"/>
      <c r="G4" s="538"/>
      <c r="H4" s="538"/>
      <c r="I4" s="538"/>
      <c r="J4" s="538"/>
      <c r="K4" s="538"/>
      <c r="L4" s="538"/>
      <c r="M4" s="538"/>
    </row>
    <row r="5" spans="1:13" ht="21.75" customHeight="1" thickBot="1">
      <c r="A5" s="206" t="s">
        <v>60</v>
      </c>
      <c r="B5" s="177" t="s">
        <v>133</v>
      </c>
      <c r="C5" s="157" t="s">
        <v>122</v>
      </c>
      <c r="D5" s="158" t="s">
        <v>123</v>
      </c>
      <c r="E5" s="157" t="s">
        <v>124</v>
      </c>
      <c r="F5" s="204"/>
      <c r="G5" s="212" t="s">
        <v>142</v>
      </c>
    </row>
    <row r="6" spans="1:13" ht="18">
      <c r="A6" s="189"/>
      <c r="B6" s="358"/>
      <c r="C6" s="359"/>
      <c r="D6" s="360" t="s">
        <v>165</v>
      </c>
      <c r="E6" s="199"/>
      <c r="F6" s="182"/>
      <c r="G6" s="207"/>
    </row>
    <row r="7" spans="1:13">
      <c r="A7" s="417" t="s">
        <v>167</v>
      </c>
      <c r="B7" s="146" t="s">
        <v>163</v>
      </c>
      <c r="C7" s="351" t="s">
        <v>164</v>
      </c>
      <c r="D7" s="180" t="s">
        <v>148</v>
      </c>
      <c r="E7" s="203">
        <v>158</v>
      </c>
      <c r="F7" s="171" t="s">
        <v>120</v>
      </c>
      <c r="G7" s="210" t="s">
        <v>143</v>
      </c>
    </row>
    <row r="8" spans="1:13">
      <c r="A8" s="249"/>
      <c r="B8" s="146" t="s">
        <v>149</v>
      </c>
      <c r="C8" s="351"/>
      <c r="D8" s="180" t="s">
        <v>166</v>
      </c>
      <c r="E8" s="203"/>
      <c r="F8" s="171"/>
      <c r="G8" s="208" t="s">
        <v>92</v>
      </c>
    </row>
    <row r="9" spans="1:13" ht="17" thickBot="1">
      <c r="A9" s="184"/>
      <c r="B9" s="437"/>
      <c r="C9" s="162"/>
      <c r="D9" s="127" t="s">
        <v>208</v>
      </c>
      <c r="E9" s="370"/>
      <c r="F9" s="100"/>
      <c r="G9" s="208"/>
    </row>
    <row r="10" spans="1:13" ht="15.5" thickBot="1">
      <c r="A10" s="368"/>
      <c r="B10" s="435"/>
      <c r="C10" s="218"/>
      <c r="D10" s="436"/>
      <c r="E10" s="369"/>
      <c r="F10" s="211"/>
      <c r="G10" s="209"/>
    </row>
    <row r="11" spans="1:13" ht="15.5" thickBot="1">
      <c r="A11" s="214"/>
      <c r="B11" s="70"/>
      <c r="C11" s="7"/>
      <c r="D11" s="215"/>
      <c r="E11" s="216"/>
      <c r="F11" s="217"/>
      <c r="G11"/>
    </row>
    <row r="12" spans="1:13" ht="21.75" customHeight="1" thickBot="1">
      <c r="A12" s="206" t="s">
        <v>60</v>
      </c>
      <c r="B12" s="177" t="s">
        <v>133</v>
      </c>
      <c r="C12" s="157" t="s">
        <v>122</v>
      </c>
      <c r="D12" s="158" t="s">
        <v>123</v>
      </c>
      <c r="E12" s="157" t="s">
        <v>124</v>
      </c>
      <c r="F12" s="204"/>
      <c r="G12" s="212" t="s">
        <v>142</v>
      </c>
    </row>
    <row r="13" spans="1:13" ht="18">
      <c r="A13" s="189"/>
      <c r="B13" s="358"/>
      <c r="C13" s="359"/>
      <c r="D13" s="360" t="s">
        <v>169</v>
      </c>
      <c r="E13" s="199"/>
      <c r="F13" s="182"/>
      <c r="G13" s="207"/>
    </row>
    <row r="14" spans="1:13">
      <c r="A14" s="417" t="s">
        <v>171</v>
      </c>
      <c r="B14" s="146" t="s">
        <v>168</v>
      </c>
      <c r="C14" s="351" t="s">
        <v>202</v>
      </c>
      <c r="D14" s="180" t="s">
        <v>148</v>
      </c>
      <c r="E14" s="203">
        <v>40</v>
      </c>
      <c r="F14" s="171" t="s">
        <v>159</v>
      </c>
      <c r="G14" s="210" t="s">
        <v>143</v>
      </c>
    </row>
    <row r="15" spans="1:13">
      <c r="A15" s="249"/>
      <c r="B15" s="146" t="s">
        <v>149</v>
      </c>
      <c r="C15" s="351"/>
      <c r="D15" s="180" t="s">
        <v>170</v>
      </c>
      <c r="E15" s="203"/>
      <c r="F15" s="171"/>
      <c r="G15" s="208" t="s">
        <v>92</v>
      </c>
    </row>
    <row r="16" spans="1:13" ht="17" thickBot="1">
      <c r="A16" s="184"/>
      <c r="B16" s="437"/>
      <c r="C16" s="351"/>
      <c r="D16" s="127" t="s">
        <v>209</v>
      </c>
      <c r="E16" s="415"/>
      <c r="F16" s="100"/>
      <c r="G16" s="208"/>
    </row>
    <row r="17" spans="1:7" ht="15.5" thickBot="1">
      <c r="A17" s="368"/>
      <c r="B17" s="435"/>
      <c r="C17" s="218"/>
      <c r="D17" s="436"/>
      <c r="E17" s="369"/>
      <c r="F17" s="211"/>
      <c r="G17" s="209"/>
    </row>
    <row r="18" spans="1:7" ht="15.5" thickBot="1">
      <c r="A18" s="214"/>
      <c r="B18" s="70"/>
      <c r="C18" s="7"/>
      <c r="D18" s="215"/>
      <c r="E18" s="216"/>
      <c r="F18" s="217"/>
      <c r="G18"/>
    </row>
    <row r="19" spans="1:7" ht="21.75" customHeight="1" thickBot="1">
      <c r="A19" s="383" t="s">
        <v>60</v>
      </c>
      <c r="B19" s="384" t="s">
        <v>133</v>
      </c>
      <c r="C19" s="135" t="s">
        <v>122</v>
      </c>
      <c r="D19" s="136" t="s">
        <v>123</v>
      </c>
      <c r="E19" s="135" t="s">
        <v>124</v>
      </c>
      <c r="F19" s="385"/>
      <c r="G19" s="212" t="s">
        <v>142</v>
      </c>
    </row>
    <row r="20" spans="1:7">
      <c r="A20" s="189"/>
      <c r="B20" s="358"/>
      <c r="C20" s="359"/>
      <c r="D20" s="360" t="s">
        <v>173</v>
      </c>
      <c r="E20" s="199"/>
      <c r="F20" s="182"/>
      <c r="G20" s="207"/>
    </row>
    <row r="21" spans="1:7" ht="15" customHeight="1">
      <c r="A21" s="417" t="s">
        <v>177</v>
      </c>
      <c r="B21" s="146" t="s">
        <v>174</v>
      </c>
      <c r="C21" s="351" t="s">
        <v>175</v>
      </c>
      <c r="D21" s="180" t="s">
        <v>161</v>
      </c>
      <c r="E21" s="203">
        <v>60</v>
      </c>
      <c r="F21" s="171" t="s">
        <v>120</v>
      </c>
      <c r="G21" s="208" t="s">
        <v>143</v>
      </c>
    </row>
    <row r="22" spans="1:7">
      <c r="A22" s="249"/>
      <c r="B22" s="146" t="s">
        <v>161</v>
      </c>
      <c r="C22" s="351"/>
      <c r="D22" s="180" t="s">
        <v>176</v>
      </c>
      <c r="E22" s="203"/>
      <c r="F22" s="171"/>
      <c r="G22" s="208" t="s">
        <v>92</v>
      </c>
    </row>
    <row r="23" spans="1:7" ht="17" thickBot="1">
      <c r="A23" s="438"/>
      <c r="B23" s="381"/>
      <c r="C23" s="352"/>
      <c r="D23" s="127" t="s">
        <v>211</v>
      </c>
      <c r="E23" s="439"/>
      <c r="F23" s="409"/>
      <c r="G23" s="208"/>
    </row>
    <row r="24" spans="1:7" ht="15.5" thickBot="1">
      <c r="A24" s="282"/>
      <c r="B24" s="355"/>
      <c r="C24" s="353"/>
      <c r="D24" s="127"/>
      <c r="E24" s="103"/>
      <c r="F24" s="365"/>
      <c r="G24" s="209"/>
    </row>
    <row r="25" spans="1:7" ht="15.5" thickBot="1">
      <c r="A25" s="214"/>
      <c r="B25" s="70"/>
      <c r="C25" s="7"/>
      <c r="D25" s="215"/>
      <c r="E25" s="216"/>
      <c r="F25" s="217"/>
      <c r="G25"/>
    </row>
    <row r="26" spans="1:7" ht="15.5" thickBot="1">
      <c r="A26" s="206" t="s">
        <v>60</v>
      </c>
      <c r="B26" s="177" t="s">
        <v>133</v>
      </c>
      <c r="C26" s="157" t="s">
        <v>122</v>
      </c>
      <c r="D26" s="158" t="s">
        <v>123</v>
      </c>
      <c r="E26" s="157" t="s">
        <v>124</v>
      </c>
      <c r="F26" s="204"/>
      <c r="G26" s="212" t="s">
        <v>142</v>
      </c>
    </row>
    <row r="27" spans="1:7" ht="16.5" customHeight="1">
      <c r="A27" s="488"/>
      <c r="B27" s="489"/>
      <c r="C27" s="490"/>
      <c r="D27" s="392" t="s">
        <v>157</v>
      </c>
      <c r="E27" s="495"/>
      <c r="F27" s="495"/>
      <c r="G27" s="207"/>
    </row>
    <row r="28" spans="1:7" ht="20" customHeight="1">
      <c r="A28" s="372">
        <v>6</v>
      </c>
      <c r="B28" s="362" t="s">
        <v>150</v>
      </c>
      <c r="C28" s="363"/>
      <c r="D28" s="362"/>
      <c r="E28" s="89">
        <v>3</v>
      </c>
      <c r="F28" s="171" t="s">
        <v>121</v>
      </c>
      <c r="G28" s="210"/>
    </row>
    <row r="29" spans="1:7">
      <c r="A29" s="275"/>
      <c r="B29" s="354" t="s">
        <v>151</v>
      </c>
      <c r="C29" s="351" t="s">
        <v>182</v>
      </c>
      <c r="D29" s="116"/>
      <c r="E29" s="106">
        <v>250</v>
      </c>
      <c r="F29" s="164" t="s">
        <v>121</v>
      </c>
      <c r="G29" s="208" t="s">
        <v>143</v>
      </c>
    </row>
    <row r="30" spans="1:7">
      <c r="A30" s="275"/>
      <c r="B30" s="354" t="s">
        <v>178</v>
      </c>
      <c r="C30" s="351"/>
      <c r="E30" s="106">
        <v>250</v>
      </c>
      <c r="F30" s="164" t="s">
        <v>121</v>
      </c>
      <c r="G30" s="208" t="s">
        <v>92</v>
      </c>
    </row>
    <row r="31" spans="1:7">
      <c r="A31" s="275"/>
      <c r="B31" s="354" t="s">
        <v>181</v>
      </c>
      <c r="C31" s="351"/>
      <c r="D31" s="116"/>
      <c r="E31" s="106">
        <v>1</v>
      </c>
      <c r="F31" s="164" t="s">
        <v>121</v>
      </c>
      <c r="G31" s="491"/>
    </row>
    <row r="32" spans="1:7" ht="15.5" thickBot="1">
      <c r="A32" s="275"/>
      <c r="B32" s="354"/>
      <c r="C32" s="351"/>
      <c r="D32" s="116"/>
      <c r="E32" s="106"/>
      <c r="F32" s="164"/>
      <c r="G32" s="209"/>
    </row>
    <row r="33" spans="1:7" ht="15.5" thickBot="1">
      <c r="A33" s="386"/>
      <c r="B33" s="387"/>
      <c r="C33" s="388"/>
      <c r="D33" s="389"/>
      <c r="E33" s="390"/>
      <c r="F33" s="391"/>
    </row>
    <row r="34" spans="1:7" ht="15.5" thickBot="1">
      <c r="A34" s="206" t="s">
        <v>60</v>
      </c>
      <c r="B34" s="177" t="s">
        <v>133</v>
      </c>
      <c r="C34" s="157" t="s">
        <v>122</v>
      </c>
      <c r="D34" s="158" t="s">
        <v>123</v>
      </c>
      <c r="E34" s="157" t="s">
        <v>124</v>
      </c>
      <c r="F34" s="204"/>
      <c r="G34" s="212" t="s">
        <v>142</v>
      </c>
    </row>
    <row r="35" spans="1:7" ht="16.5" customHeight="1">
      <c r="A35" s="488"/>
      <c r="B35" s="489"/>
      <c r="C35" s="490"/>
      <c r="D35" s="392" t="s">
        <v>157</v>
      </c>
      <c r="E35" s="495"/>
      <c r="F35" s="495"/>
      <c r="G35" s="207"/>
    </row>
    <row r="36" spans="1:7" ht="17" customHeight="1">
      <c r="A36" s="412" t="s">
        <v>186</v>
      </c>
      <c r="B36" s="362" t="s">
        <v>150</v>
      </c>
      <c r="C36" s="363"/>
      <c r="D36" s="347"/>
      <c r="E36" s="89">
        <v>3</v>
      </c>
      <c r="F36" s="171" t="s">
        <v>121</v>
      </c>
      <c r="G36" s="210"/>
    </row>
    <row r="37" spans="1:7">
      <c r="A37" s="275"/>
      <c r="B37" s="354" t="s">
        <v>151</v>
      </c>
      <c r="C37" s="351" t="s">
        <v>183</v>
      </c>
      <c r="D37" s="410"/>
      <c r="E37" s="106">
        <v>200</v>
      </c>
      <c r="F37" s="164" t="s">
        <v>121</v>
      </c>
      <c r="G37" s="208" t="s">
        <v>143</v>
      </c>
    </row>
    <row r="38" spans="1:7">
      <c r="A38" s="277"/>
      <c r="B38" s="354" t="s">
        <v>181</v>
      </c>
      <c r="C38" s="351" t="s">
        <v>182</v>
      </c>
      <c r="D38" s="347"/>
      <c r="E38" s="106">
        <v>1</v>
      </c>
      <c r="F38" s="164" t="s">
        <v>121</v>
      </c>
      <c r="G38" s="208" t="s">
        <v>92</v>
      </c>
    </row>
    <row r="39" spans="1:7">
      <c r="A39" s="277"/>
      <c r="B39" s="354" t="s">
        <v>184</v>
      </c>
      <c r="C39" s="352" t="s">
        <v>185</v>
      </c>
      <c r="D39" s="494"/>
      <c r="E39" s="106">
        <v>1</v>
      </c>
      <c r="F39" s="409" t="s">
        <v>121</v>
      </c>
      <c r="G39" s="491"/>
    </row>
    <row r="40" spans="1:7" ht="15.5" thickBot="1">
      <c r="A40" s="282"/>
      <c r="B40" s="355"/>
      <c r="C40" s="353"/>
      <c r="D40" s="493"/>
      <c r="E40" s="103"/>
      <c r="F40" s="365"/>
      <c r="G40" s="209"/>
    </row>
    <row r="41" spans="1:7" ht="15.5" thickBot="1">
      <c r="A41" s="485"/>
      <c r="B41" s="478"/>
      <c r="C41" s="479"/>
      <c r="D41" s="486"/>
      <c r="E41" s="435"/>
      <c r="F41" s="487"/>
      <c r="G41" s="492"/>
    </row>
    <row r="42" spans="1:7" ht="21.75" customHeight="1" thickBot="1">
      <c r="A42" s="206" t="s">
        <v>60</v>
      </c>
      <c r="B42" s="177" t="s">
        <v>133</v>
      </c>
      <c r="C42" s="157" t="s">
        <v>122</v>
      </c>
      <c r="D42" s="158" t="s">
        <v>123</v>
      </c>
      <c r="E42" s="157" t="s">
        <v>124</v>
      </c>
      <c r="F42" s="204"/>
      <c r="G42" s="212" t="s">
        <v>142</v>
      </c>
    </row>
    <row r="43" spans="1:7" ht="16" customHeight="1">
      <c r="A43" s="488"/>
      <c r="B43" s="489"/>
      <c r="C43" s="490"/>
      <c r="D43" s="392" t="s">
        <v>157</v>
      </c>
      <c r="E43" s="495"/>
      <c r="F43" s="495"/>
      <c r="G43" s="207"/>
    </row>
    <row r="44" spans="1:7" ht="17" customHeight="1">
      <c r="A44" s="428"/>
      <c r="B44" s="429" t="s">
        <v>197</v>
      </c>
      <c r="C44" s="371" t="s">
        <v>187</v>
      </c>
      <c r="D44" s="430" t="s">
        <v>188</v>
      </c>
      <c r="E44" s="123">
        <v>180</v>
      </c>
      <c r="F44" s="171" t="s">
        <v>120</v>
      </c>
      <c r="G44" s="382"/>
    </row>
    <row r="45" spans="1:7" ht="15.5" thickBot="1">
      <c r="A45" s="440"/>
      <c r="B45" s="354"/>
      <c r="C45" s="352"/>
      <c r="D45" s="278"/>
      <c r="E45" s="106"/>
      <c r="F45" s="409"/>
      <c r="G45" s="210"/>
    </row>
    <row r="46" spans="1:7" ht="15.5" customHeight="1" thickBot="1">
      <c r="A46" s="184">
        <v>8</v>
      </c>
      <c r="B46" s="497"/>
      <c r="C46" s="498"/>
      <c r="D46" s="496" t="s">
        <v>206</v>
      </c>
      <c r="E46" s="499"/>
      <c r="F46" s="499"/>
      <c r="G46" s="208" t="s">
        <v>143</v>
      </c>
    </row>
    <row r="47" spans="1:7">
      <c r="A47" s="428"/>
      <c r="B47" s="429" t="s">
        <v>189</v>
      </c>
      <c r="C47" s="371" t="s">
        <v>190</v>
      </c>
      <c r="D47" s="430" t="s">
        <v>191</v>
      </c>
      <c r="E47" s="123">
        <v>390</v>
      </c>
      <c r="F47" s="171" t="s">
        <v>120</v>
      </c>
      <c r="G47" s="208" t="s">
        <v>92</v>
      </c>
    </row>
    <row r="48" spans="1:7">
      <c r="A48" s="407"/>
      <c r="B48" s="356" t="s">
        <v>192</v>
      </c>
      <c r="C48" s="351" t="s">
        <v>187</v>
      </c>
      <c r="D48" s="278" t="s">
        <v>193</v>
      </c>
      <c r="E48" s="100">
        <v>190</v>
      </c>
      <c r="F48" s="164" t="s">
        <v>120</v>
      </c>
      <c r="G48" s="208"/>
    </row>
    <row r="49" spans="1:7">
      <c r="A49" s="407"/>
      <c r="B49" s="356" t="s">
        <v>194</v>
      </c>
      <c r="C49" s="351"/>
      <c r="D49" s="278" t="s">
        <v>195</v>
      </c>
      <c r="E49" s="100"/>
      <c r="F49" s="164"/>
      <c r="G49" s="185"/>
    </row>
    <row r="50" spans="1:7">
      <c r="A50" s="407"/>
      <c r="B50" s="356"/>
      <c r="C50" s="351"/>
      <c r="D50" s="411" t="s">
        <v>198</v>
      </c>
      <c r="E50" s="100">
        <v>16</v>
      </c>
      <c r="F50" s="164" t="s">
        <v>120</v>
      </c>
      <c r="G50" s="208"/>
    </row>
    <row r="51" spans="1:7">
      <c r="A51" s="277"/>
      <c r="B51" s="354"/>
      <c r="C51" s="351"/>
      <c r="D51" s="278" t="s">
        <v>162</v>
      </c>
      <c r="E51" s="106"/>
      <c r="F51" s="164"/>
      <c r="G51" s="208"/>
    </row>
    <row r="52" spans="1:7" ht="15.5" thickBot="1">
      <c r="A52" s="282"/>
      <c r="B52" s="355"/>
      <c r="C52" s="353"/>
      <c r="D52" s="127"/>
      <c r="E52" s="103"/>
      <c r="F52" s="365"/>
      <c r="G52" s="209"/>
    </row>
    <row r="70" spans="1:1" ht="20">
      <c r="A70" s="150" t="s">
        <v>137</v>
      </c>
    </row>
  </sheetData>
  <mergeCells count="2">
    <mergeCell ref="A4:XFD4"/>
    <mergeCell ref="A2:F2"/>
  </mergeCells>
  <phoneticPr fontId="9"/>
  <pageMargins left="0.51181102362204722" right="0" top="0.74803149606299213" bottom="0.74803149606299213" header="0.31496062992125984" footer="0.31496062992125984"/>
  <pageSetup paperSize="9" orientation="landscape" r:id="rId1"/>
  <headerFooter>
    <oddFooter>&amp;C&amp;"Century Gothic,太字"&amp;10&amp;  -   P A G E  3- &amp;P  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AF44E-4784-42C5-980F-74D11F9183F1}">
  <sheetPr>
    <tabColor rgb="FFFF0000"/>
    <pageSetUpPr fitToPage="1"/>
  </sheetPr>
  <dimension ref="A1:G18"/>
  <sheetViews>
    <sheetView tabSelected="1" view="pageBreakPreview" zoomScale="60" zoomScaleNormal="90" workbookViewId="0">
      <selection activeCell="H4" sqref="H4"/>
    </sheetView>
  </sheetViews>
  <sheetFormatPr defaultRowHeight="31.5"/>
  <cols>
    <col min="1" max="1" width="7.90625" customWidth="1"/>
    <col min="2" max="2" width="40.90625" style="503" customWidth="1"/>
    <col min="3" max="3" width="21.36328125" style="504" customWidth="1"/>
    <col min="4" max="4" width="42.26953125" style="504" customWidth="1"/>
    <col min="5" max="5" width="34.7265625" style="505" customWidth="1"/>
    <col min="6" max="6" width="34.7265625" style="506" customWidth="1"/>
    <col min="7" max="7" width="34.7265625" style="507" customWidth="1"/>
    <col min="8" max="14" width="34.7265625" customWidth="1"/>
  </cols>
  <sheetData>
    <row r="1" spans="1:7" ht="32" thickBot="1">
      <c r="A1" s="45"/>
    </row>
    <row r="2" spans="1:7" ht="194.5" customHeight="1" thickBot="1">
      <c r="A2" s="508"/>
      <c r="B2" s="509" t="s">
        <v>220</v>
      </c>
      <c r="C2" s="510" t="s">
        <v>215</v>
      </c>
      <c r="D2" s="510" t="s">
        <v>219</v>
      </c>
      <c r="E2" s="511"/>
      <c r="F2" s="512" t="s">
        <v>216</v>
      </c>
      <c r="G2" s="522" t="s">
        <v>224</v>
      </c>
    </row>
    <row r="3" spans="1:7" ht="194.5" customHeight="1">
      <c r="A3" s="513"/>
      <c r="B3" s="509" t="s">
        <v>221</v>
      </c>
      <c r="C3" s="514" t="s">
        <v>218</v>
      </c>
      <c r="D3" s="514" t="s">
        <v>217</v>
      </c>
      <c r="E3" s="515"/>
      <c r="F3" s="521" t="s">
        <v>222</v>
      </c>
      <c r="G3" s="540" t="s">
        <v>225</v>
      </c>
    </row>
    <row r="4" spans="1:7" ht="194.5" customHeight="1">
      <c r="A4" s="513"/>
      <c r="B4" s="517" t="s">
        <v>226</v>
      </c>
      <c r="C4" s="514" t="s">
        <v>227</v>
      </c>
      <c r="D4" s="514" t="s">
        <v>228</v>
      </c>
      <c r="E4" s="515"/>
      <c r="F4" s="516" t="s">
        <v>223</v>
      </c>
      <c r="G4" s="540"/>
    </row>
    <row r="18" spans="1:7" s="175" customFormat="1">
      <c r="A18" s="150" t="s">
        <v>137</v>
      </c>
      <c r="B18" s="503"/>
      <c r="C18" s="504"/>
      <c r="D18" s="504"/>
      <c r="E18" s="518"/>
      <c r="F18" s="519"/>
      <c r="G18" s="520"/>
    </row>
  </sheetData>
  <mergeCells count="1">
    <mergeCell ref="G3:G4"/>
  </mergeCells>
  <phoneticPr fontId="9"/>
  <pageMargins left="0.51181102362204722" right="0" top="0.74803149606299213" bottom="0.74803149606299213" header="0.31496062992125984" footer="0.31496062992125984"/>
  <pageSetup paperSize="9" scale="44" fitToHeight="0" orientation="portrait" r:id="rId1"/>
  <headerFooter>
    <oddFooter>&amp;C&amp;"Century Gothic,太字"&amp;10&amp;  -   P A G E  3- &amp;P   -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7</vt:i4>
      </vt:variant>
    </vt:vector>
  </HeadingPairs>
  <TitlesOfParts>
    <vt:vector size="14" baseType="lpstr">
      <vt:lpstr>shipper master</vt:lpstr>
      <vt:lpstr>invoice</vt:lpstr>
      <vt:lpstr>case mark (2)</vt:lpstr>
      <vt:lpstr>NARITA</vt:lpstr>
      <vt:lpstr>NARITA (2)</vt:lpstr>
      <vt:lpstr>LABEL①</vt:lpstr>
      <vt:lpstr>サンプル製品カタログ</vt:lpstr>
      <vt:lpstr>NARITA!Print_Area</vt:lpstr>
      <vt:lpstr>'NARITA (2)'!Print_Area</vt:lpstr>
      <vt:lpstr>サンプル製品カタログ!Print_Area</vt:lpstr>
      <vt:lpstr>LABEL①!Print_Titles</vt:lpstr>
      <vt:lpstr>NARITA!Print_Titles</vt:lpstr>
      <vt:lpstr>'NARITA (2)'!Print_Titles</vt:lpstr>
      <vt:lpstr>サンプル製品カタログ!Print_Titles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shunya-pc07</cp:lastModifiedBy>
  <cp:lastPrinted>2022-10-04T07:50:11Z</cp:lastPrinted>
  <dcterms:created xsi:type="dcterms:W3CDTF">2002-07-31T13:14:08Z</dcterms:created>
  <dcterms:modified xsi:type="dcterms:W3CDTF">2023-05-19T04:52:16Z</dcterms:modified>
</cp:coreProperties>
</file>