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340F90FA-3CE7-4F6B-9CD0-01993123D136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3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LABEL!$A$1:$D$61</definedName>
    <definedName name="_xlnm.Print_Area" localSheetId="3">'NARITA '!$A$3:$N$57</definedName>
    <definedName name="_xlnm.Print_Area" localSheetId="4">サンプル製品カタログ!$A$2:$I$8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C45" i="17" l="1"/>
  <c r="K8" i="65"/>
  <c r="I13" i="64"/>
  <c r="A13" i="64"/>
  <c r="I2" i="64"/>
  <c r="A2" i="64"/>
  <c r="L29" i="65"/>
  <c r="L28" i="65"/>
  <c r="L27" i="65"/>
  <c r="L30" i="65" s="1"/>
  <c r="K29" i="65"/>
  <c r="J29" i="65"/>
  <c r="J28" i="65"/>
  <c r="J27" i="65"/>
  <c r="J30" i="65"/>
  <c r="E30" i="65"/>
  <c r="C30" i="65"/>
  <c r="A36" i="65"/>
  <c r="C35" i="65"/>
  <c r="A34" i="65"/>
  <c r="A33" i="65"/>
  <c r="H30" i="65"/>
  <c r="K28" i="65"/>
  <c r="B28" i="65"/>
  <c r="K27" i="65"/>
  <c r="B26" i="65"/>
  <c r="K24" i="65"/>
  <c r="B24" i="65"/>
  <c r="F21" i="65"/>
  <c r="C21" i="65"/>
  <c r="A21" i="65"/>
  <c r="A19" i="65"/>
  <c r="A17" i="65"/>
  <c r="A16" i="65"/>
  <c r="E15" i="65"/>
  <c r="A15" i="65"/>
  <c r="A14" i="65"/>
  <c r="E13" i="65"/>
  <c r="A13" i="65"/>
  <c r="K11" i="65"/>
  <c r="E11" i="65"/>
  <c r="A11" i="65"/>
  <c r="K10" i="65"/>
  <c r="A10" i="65"/>
  <c r="K9" i="65"/>
  <c r="E9" i="65"/>
  <c r="A9" i="65"/>
  <c r="A8" i="65"/>
  <c r="E7" i="65"/>
  <c r="A7" i="65"/>
  <c r="K5" i="65"/>
  <c r="A5" i="65"/>
  <c r="K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H56" i="60" l="1"/>
  <c r="H55" i="60"/>
  <c r="H54" i="60"/>
  <c r="E55" i="60"/>
  <c r="E54" i="60"/>
  <c r="H34" i="60"/>
  <c r="H33" i="60"/>
  <c r="H28" i="60"/>
  <c r="H27" i="60"/>
  <c r="H22" i="60"/>
  <c r="H21" i="60"/>
  <c r="H57" i="60" l="1"/>
  <c r="E56" i="60"/>
  <c r="H41" i="60"/>
  <c r="H39" i="60"/>
  <c r="H48" i="60"/>
  <c r="H45" i="60"/>
  <c r="H44" i="60"/>
  <c r="H16" i="60" l="1"/>
  <c r="H15" i="60" l="1"/>
  <c r="H10" i="60"/>
  <c r="H9" i="60" l="1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<sst xmlns="http://schemas.openxmlformats.org/spreadsheetml/2006/main" count="406" uniqueCount="246">
  <si>
    <t>SHIPPER NAME</t>
    <phoneticPr fontId="6" type="noConversion"/>
  </si>
  <si>
    <t>S/CODE</t>
    <phoneticPr fontId="6" type="noConversion"/>
  </si>
  <si>
    <t>SHIPPER ADDRESS 2</t>
    <phoneticPr fontId="11"/>
  </si>
  <si>
    <t>SHIPPER ADDRESS 1</t>
    <phoneticPr fontId="11"/>
  </si>
  <si>
    <t>SHIPPER ADDRESS 3</t>
    <phoneticPr fontId="11"/>
  </si>
  <si>
    <t xml:space="preserve">SHIPPER </t>
    <phoneticPr fontId="11"/>
  </si>
  <si>
    <t>TEL</t>
    <phoneticPr fontId="11"/>
  </si>
  <si>
    <t>FAX</t>
    <phoneticPr fontId="11"/>
  </si>
  <si>
    <t>ATTN OR VAT NO.</t>
    <phoneticPr fontId="11"/>
  </si>
  <si>
    <t>TEL/FAX</t>
    <phoneticPr fontId="11"/>
  </si>
  <si>
    <t>ATTN</t>
    <phoneticPr fontId="11"/>
  </si>
  <si>
    <t>CONSIGNEE :</t>
    <phoneticPr fontId="11"/>
  </si>
  <si>
    <t>CONSIGNEE ADDRESS1</t>
    <phoneticPr fontId="11"/>
  </si>
  <si>
    <t>CONSIGNEE ADDRESS2</t>
    <phoneticPr fontId="11"/>
  </si>
  <si>
    <t>CONSIGNEE ADDRESS3</t>
    <phoneticPr fontId="11"/>
  </si>
  <si>
    <t>TEL</t>
    <phoneticPr fontId="11"/>
  </si>
  <si>
    <t>FAX</t>
    <phoneticPr fontId="11"/>
  </si>
  <si>
    <t>PAYMENT 1</t>
    <phoneticPr fontId="11"/>
  </si>
  <si>
    <t>PAYMENT 2</t>
    <phoneticPr fontId="11"/>
  </si>
  <si>
    <t>SHIPPER PER</t>
    <phoneticPr fontId="11"/>
  </si>
  <si>
    <t>INVOICE DATE</t>
    <phoneticPr fontId="11"/>
  </si>
  <si>
    <t>INVOICE NO.</t>
    <phoneticPr fontId="11"/>
  </si>
  <si>
    <t>CONTRACT NO.</t>
    <phoneticPr fontId="11"/>
  </si>
  <si>
    <t>CONTRACT DATE</t>
    <phoneticPr fontId="11"/>
  </si>
  <si>
    <t>ORDER DATE</t>
    <phoneticPr fontId="11"/>
  </si>
  <si>
    <t>ORDER NO.</t>
    <phoneticPr fontId="11"/>
  </si>
  <si>
    <t>L/C DATE</t>
    <phoneticPr fontId="11"/>
  </si>
  <si>
    <t>FROM</t>
    <phoneticPr fontId="11"/>
  </si>
  <si>
    <t xml:space="preserve"> TOKYO, JAPAN</t>
    <phoneticPr fontId="11"/>
  </si>
  <si>
    <t>TO</t>
    <phoneticPr fontId="11"/>
  </si>
  <si>
    <t>VIA</t>
    <phoneticPr fontId="11"/>
  </si>
  <si>
    <t>SHIPPING TERMS</t>
    <phoneticPr fontId="11"/>
  </si>
  <si>
    <t>TITTLE 1</t>
    <phoneticPr fontId="11"/>
  </si>
  <si>
    <t>TITTLE 2</t>
    <phoneticPr fontId="11"/>
  </si>
  <si>
    <t>ATTACHE</t>
    <phoneticPr fontId="11"/>
  </si>
  <si>
    <t>- DETAILS AS PER ATTACHED SHEET -</t>
    <phoneticPr fontId="11"/>
  </si>
  <si>
    <t>C/NO.</t>
    <phoneticPr fontId="11"/>
  </si>
  <si>
    <t>STYLE NO.</t>
    <phoneticPr fontId="11"/>
  </si>
  <si>
    <t>DESCRIPTION</t>
    <phoneticPr fontId="11"/>
  </si>
  <si>
    <t>Q'TY CODE</t>
    <phoneticPr fontId="11"/>
  </si>
  <si>
    <t>QUANTITY</t>
    <phoneticPr fontId="11"/>
  </si>
  <si>
    <t>UNIT PRICE</t>
    <phoneticPr fontId="11"/>
  </si>
  <si>
    <t>AMOUNT</t>
    <phoneticPr fontId="11"/>
  </si>
  <si>
    <t>DISCOUNT</t>
    <phoneticPr fontId="11"/>
  </si>
  <si>
    <t>CASE MARK1</t>
    <phoneticPr fontId="11"/>
  </si>
  <si>
    <t>CASE MARK2</t>
    <phoneticPr fontId="11"/>
  </si>
  <si>
    <t>CASE MARK3</t>
    <phoneticPr fontId="11"/>
  </si>
  <si>
    <t>CASE MARK4</t>
    <phoneticPr fontId="11"/>
  </si>
  <si>
    <t>CASE MARK5</t>
    <phoneticPr fontId="11"/>
  </si>
  <si>
    <t>CASE MARK6</t>
    <phoneticPr fontId="11"/>
  </si>
  <si>
    <t>TOTAL</t>
    <phoneticPr fontId="11"/>
  </si>
  <si>
    <t>MANUFACTURED BY</t>
    <phoneticPr fontId="11"/>
  </si>
  <si>
    <t>ORIGIN</t>
    <phoneticPr fontId="11"/>
  </si>
  <si>
    <t>COUNTRY OF ORIGIN : JAPAN</t>
    <phoneticPr fontId="11"/>
  </si>
  <si>
    <t>OUR BANK</t>
    <phoneticPr fontId="11"/>
  </si>
  <si>
    <t>ETD TYO</t>
    <phoneticPr fontId="11"/>
  </si>
  <si>
    <t>DELIVERY SCHEDULES</t>
    <phoneticPr fontId="11"/>
  </si>
  <si>
    <t>INSURANCE</t>
    <phoneticPr fontId="11"/>
  </si>
  <si>
    <t>REMARK 1</t>
    <phoneticPr fontId="11"/>
  </si>
  <si>
    <t>AIR FREIGHT</t>
    <phoneticPr fontId="11"/>
  </si>
  <si>
    <t>YOUR (OUR) FORWARDER</t>
    <phoneticPr fontId="11"/>
  </si>
  <si>
    <t>CUSTOMS AGENT</t>
    <phoneticPr fontId="11"/>
  </si>
  <si>
    <t>FORWARDER</t>
    <phoneticPr fontId="11"/>
  </si>
  <si>
    <t>C/O ISSUED DATE</t>
    <phoneticPr fontId="11"/>
  </si>
  <si>
    <t>COUNTRY</t>
    <phoneticPr fontId="11"/>
  </si>
  <si>
    <t>F.O.B. TOKYO IN YEN</t>
    <phoneticPr fontId="11"/>
  </si>
  <si>
    <t xml:space="preserve"> SHUNYA CO., LTD.</t>
    <phoneticPr fontId="11"/>
  </si>
  <si>
    <t xml:space="preserve"> KENSHIN BLDG., 1F, 1-22-10 DOUGENZAKA,</t>
    <phoneticPr fontId="11"/>
  </si>
  <si>
    <t xml:space="preserve"> SHIBUYA-KU 150-0043</t>
    <phoneticPr fontId="11"/>
  </si>
  <si>
    <t xml:space="preserve"> TEL : +81(0)3-5459-1177</t>
    <phoneticPr fontId="11"/>
  </si>
  <si>
    <t xml:space="preserve"> - SAME AS BUYER -</t>
    <phoneticPr fontId="11"/>
  </si>
  <si>
    <t xml:space="preserve"> HOCHIMINH-CITY, VIETNAM</t>
    <phoneticPr fontId="11"/>
  </si>
  <si>
    <t>VIETNAM</t>
    <phoneticPr fontId="11"/>
  </si>
  <si>
    <t>PREPAID</t>
    <phoneticPr fontId="11"/>
  </si>
  <si>
    <t>COVERED BY SHIPPER</t>
    <phoneticPr fontId="11"/>
  </si>
  <si>
    <t>MEITETSU WORLD TRANSPORT (MR. NAMIKI)</t>
    <phoneticPr fontId="11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</si>
  <si>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1"/>
  </si>
  <si>
    <t>BUYER</t>
    <phoneticPr fontId="11"/>
  </si>
  <si>
    <t>BUYER ADDRESS1</t>
    <phoneticPr fontId="11"/>
  </si>
  <si>
    <t>BUYER ADDRESS2</t>
    <phoneticPr fontId="11"/>
  </si>
  <si>
    <t>BUYER ADDRESS3</t>
    <phoneticPr fontId="11"/>
  </si>
  <si>
    <t xml:space="preserve"> AIRCRAFT</t>
    <phoneticPr fontId="11"/>
  </si>
  <si>
    <t>持ち帰り条件</t>
    <rPh sb="0" eb="1">
      <t>モ</t>
    </rPh>
    <rPh sb="2" eb="3">
      <t>カエ</t>
    </rPh>
    <rPh sb="4" eb="6">
      <t>ジョウケン</t>
    </rPh>
    <phoneticPr fontId="11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</si>
  <si>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1"/>
  </si>
  <si>
    <t xml:space="preserve">  AFTER MANUFACTURED AT VIET NAM "</t>
    <phoneticPr fontId="11"/>
  </si>
  <si>
    <t xml:space="preserve"> NO COMMERCIAL</t>
    <phoneticPr fontId="10"/>
  </si>
  <si>
    <t>M.</t>
    <phoneticPr fontId="11"/>
  </si>
  <si>
    <t>PCS.</t>
    <phoneticPr fontId="11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</si>
  <si>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</si>
  <si>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</si>
  <si>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</si>
  <si>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</si>
  <si>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</si>
  <si>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</si>
  <si>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</si>
  <si>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</si>
  <si>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</si>
  <si>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</si>
  <si>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1"/>
  </si>
  <si>
    <t>(H.S. CODE)</t>
    <phoneticPr fontId="11"/>
  </si>
  <si>
    <t>- ATTACHED SHEET -</t>
    <phoneticPr fontId="11"/>
  </si>
  <si>
    <t xml:space="preserve"> </t>
    <phoneticPr fontId="11"/>
  </si>
  <si>
    <t>WOVEN FABRIC</t>
    <phoneticPr fontId="11"/>
  </si>
  <si>
    <t>VIVAN GARMENTS VIET NAM COMPANY LIMITED</t>
    <phoneticPr fontId="11"/>
  </si>
  <si>
    <t>Hamlet 3 , Long Hau Commune , Can Giuoc District,</t>
    <phoneticPr fontId="11"/>
  </si>
  <si>
    <t xml:space="preserve"> Long An Province , VietNam</t>
    <phoneticPr fontId="11"/>
  </si>
  <si>
    <t xml:space="preserve"> TEL : :   ( 084 ) 097 22 00 798  ATTN : MR. TUAN</t>
    <phoneticPr fontId="11"/>
  </si>
  <si>
    <t>SET.</t>
    <phoneticPr fontId="11"/>
  </si>
  <si>
    <t>FABRIC &amp; PARTS FOR WEAR &amp; SAMPLE CLOTHES</t>
    <phoneticPr fontId="11"/>
  </si>
  <si>
    <t xml:space="preserve"> TEL : ( 084 ) 097 22 00 798  ATTN : MR. TUAN</t>
    <phoneticPr fontId="11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</si>
  <si>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</si>
  <si>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1"/>
  </si>
  <si>
    <t>ITEM</t>
    <phoneticPr fontId="11"/>
  </si>
  <si>
    <t>NAME</t>
    <phoneticPr fontId="11"/>
  </si>
  <si>
    <t>color</t>
    <phoneticPr fontId="11"/>
  </si>
  <si>
    <t>lady's or men's</t>
    <phoneticPr fontId="11"/>
  </si>
  <si>
    <t>WOVEN or  KNIT</t>
    <phoneticPr fontId="11"/>
  </si>
  <si>
    <t>picture</t>
    <phoneticPr fontId="11"/>
  </si>
  <si>
    <t>Composition</t>
    <phoneticPr fontId="11"/>
  </si>
  <si>
    <t>packingNo.</t>
    <phoneticPr fontId="11"/>
  </si>
  <si>
    <t>短繊維、プリント加工なし</t>
    <rPh sb="0" eb="1">
      <t>ミジカ</t>
    </rPh>
    <rPh sb="1" eb="3">
      <t>センイ</t>
    </rPh>
    <rPh sb="8" eb="9">
      <t>ナ</t>
    </rPh>
    <phoneticPr fontId="11"/>
  </si>
  <si>
    <t>KNIT FABRIC</t>
    <phoneticPr fontId="11"/>
  </si>
  <si>
    <t>pattern paper</t>
    <phoneticPr fontId="11"/>
  </si>
  <si>
    <t xml:space="preserve">#55-350M  #BK-308M  </t>
  </si>
  <si>
    <t>C/#99 BLACK</t>
    <phoneticPr fontId="11"/>
  </si>
  <si>
    <t>men's</t>
    <phoneticPr fontId="11"/>
  </si>
  <si>
    <t>C/#BEIGE</t>
    <phoneticPr fontId="11"/>
  </si>
  <si>
    <t>027P00Y9100</t>
    <phoneticPr fontId="11"/>
  </si>
  <si>
    <t>丸編み　後染め</t>
    <rPh sb="0" eb="1">
      <t>マルア</t>
    </rPh>
    <rPh sb="3" eb="4">
      <t>アト</t>
    </rPh>
    <rPh sb="4" eb="5">
      <t>ソ</t>
    </rPh>
    <phoneticPr fontId="11"/>
  </si>
  <si>
    <r>
      <t>COTTON 90%</t>
    </r>
    <r>
      <rPr>
        <b/>
        <sz val="10"/>
        <color theme="1"/>
        <rFont val="Yu Gothic"/>
        <family val="2"/>
        <charset val="128"/>
      </rPr>
      <t>、POLYURETHANE10%</t>
    </r>
    <phoneticPr fontId="11"/>
  </si>
  <si>
    <r>
      <t>WIDTH:84CM (333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</si>
  <si>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C/#56LACK</t>
    <phoneticPr fontId="11"/>
  </si>
  <si>
    <t>c/#14 BEIGE</t>
    <phoneticPr fontId="11"/>
  </si>
  <si>
    <t>STYLE: f24-so-08</t>
    <phoneticPr fontId="11"/>
  </si>
  <si>
    <t>第一貨物　送り状60839956262</t>
    <rPh sb="0" eb="2">
      <t>ダイイチ</t>
    </rPh>
    <rPh sb="2" eb="4">
      <t>カモツ</t>
    </rPh>
    <rPh sb="5" eb="6">
      <t>オク</t>
    </rPh>
    <rPh sb="7" eb="8">
      <t>ジョウ</t>
    </rPh>
    <phoneticPr fontId="11"/>
  </si>
  <si>
    <t>08500026013</t>
    <phoneticPr fontId="11"/>
  </si>
  <si>
    <t>ダブルジャージー　後染め</t>
    <rPh sb="8" eb="9">
      <t>アト</t>
    </rPh>
    <rPh sb="9" eb="10">
      <t>ソ</t>
    </rPh>
    <phoneticPr fontId="11"/>
  </si>
  <si>
    <r>
      <t>WIDTH:155CM (300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</si>
  <si>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c/#200BEIGE</t>
    <phoneticPr fontId="11"/>
  </si>
  <si>
    <t>580</t>
    <phoneticPr fontId="24"/>
  </si>
  <si>
    <t>229</t>
    <phoneticPr fontId="24"/>
  </si>
  <si>
    <t>SE500</t>
    <phoneticPr fontId="24"/>
  </si>
  <si>
    <t>SPC</t>
    <phoneticPr fontId="24"/>
  </si>
  <si>
    <t>PACKING</t>
    <phoneticPr fontId="24"/>
  </si>
  <si>
    <r>
      <t>5RN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M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DA8LH*DA8LH</t>
    </r>
    <phoneticPr fontId="24"/>
  </si>
  <si>
    <r>
      <t xml:space="preserve">ZIPPER  </t>
    </r>
    <r>
      <rPr>
        <b/>
        <sz val="10"/>
        <rFont val="ＭＳ Ｐゴシック"/>
        <family val="3"/>
        <charset val="128"/>
      </rPr>
      <t>材質：銅合金</t>
    </r>
    <phoneticPr fontId="24"/>
  </si>
  <si>
    <r>
      <t>61cm-12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65cm-15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69cm-8</t>
    </r>
    <phoneticPr fontId="24"/>
  </si>
  <si>
    <r>
      <t>61cm-6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65cm-7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69cm-8-4</t>
    </r>
    <phoneticPr fontId="24"/>
  </si>
  <si>
    <r>
      <t xml:space="preserve">EYELETO </t>
    </r>
    <r>
      <rPr>
        <b/>
        <sz val="10"/>
        <rFont val="ＭＳ Ｐゴシック"/>
        <family val="3"/>
        <charset val="128"/>
      </rPr>
      <t>材質：真鍮</t>
    </r>
    <phoneticPr fontId="24"/>
  </si>
  <si>
    <r>
      <t>W-100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BK-</t>
    </r>
    <r>
      <rPr>
        <b/>
        <sz val="10"/>
        <rFont val="ＭＳ Ｐゴシック"/>
        <family val="3"/>
        <charset val="128"/>
      </rPr>
      <t>材質：ポリエステル</t>
    </r>
    <r>
      <rPr>
        <b/>
        <sz val="10"/>
        <rFont val="Century Gothic"/>
        <family val="2"/>
      </rPr>
      <t xml:space="preserve"> </t>
    </r>
    <phoneticPr fontId="24"/>
  </si>
  <si>
    <t>1-2</t>
    <phoneticPr fontId="11"/>
  </si>
  <si>
    <t>3-5</t>
    <phoneticPr fontId="11"/>
  </si>
  <si>
    <t>f24-so-08 pattern paper</t>
    <phoneticPr fontId="11"/>
  </si>
  <si>
    <t>f24-so-08 sample</t>
    <phoneticPr fontId="11"/>
  </si>
  <si>
    <t>men's parka SAMPLE CLOTHES</t>
    <phoneticPr fontId="11"/>
  </si>
  <si>
    <t xml:space="preserve">C/#9000 </t>
    <phoneticPr fontId="11"/>
  </si>
  <si>
    <t>SIC-3122</t>
    <phoneticPr fontId="11"/>
  </si>
  <si>
    <r>
      <t xml:space="preserve">CORD  </t>
    </r>
    <r>
      <rPr>
        <b/>
        <sz val="10"/>
        <rFont val="Yu Gothic"/>
        <family val="2"/>
        <charset val="128"/>
      </rPr>
      <t>材質：</t>
    </r>
    <r>
      <rPr>
        <b/>
        <sz val="10"/>
        <rFont val="Century Gothic"/>
        <family val="2"/>
      </rPr>
      <t>ACRYLIC100</t>
    </r>
    <r>
      <rPr>
        <b/>
        <sz val="10"/>
        <rFont val="Yu Gothic"/>
        <family val="2"/>
        <charset val="128"/>
      </rPr>
      <t>％</t>
    </r>
    <rPh sb="6" eb="8">
      <t>ザイシツ</t>
    </rPh>
    <phoneticPr fontId="11"/>
  </si>
  <si>
    <t>10/29出荷</t>
    <rPh sb="5" eb="7">
      <t>シュッカ</t>
    </rPh>
    <phoneticPr fontId="11"/>
  </si>
  <si>
    <r>
      <t xml:space="preserve">ZIPPER </t>
    </r>
    <r>
      <rPr>
        <b/>
        <sz val="10"/>
        <rFont val="ＭＳ Ｐゴシック"/>
        <family val="2"/>
        <charset val="128"/>
      </rPr>
      <t>材質：銅合金</t>
    </r>
    <phoneticPr fontId="24"/>
  </si>
  <si>
    <t>佐川送り状　181489873305</t>
    <rPh sb="0" eb="2">
      <t>サガワ</t>
    </rPh>
    <rPh sb="2" eb="3">
      <t>オク</t>
    </rPh>
    <rPh sb="4" eb="5">
      <t>ジョウ</t>
    </rPh>
    <phoneticPr fontId="11"/>
  </si>
  <si>
    <t>Men's parka  SAMPLE CLOTHES</t>
    <phoneticPr fontId="11"/>
  </si>
  <si>
    <t>Men's parka SAMPLE CLOTHES</t>
    <phoneticPr fontId="11"/>
  </si>
  <si>
    <t>POLYESTER100%</t>
    <phoneticPr fontId="11"/>
  </si>
  <si>
    <t>FRONT POLYESTER100%</t>
    <phoneticPr fontId="11"/>
  </si>
  <si>
    <t>NO.22067818</t>
    <phoneticPr fontId="11"/>
  </si>
  <si>
    <t>8500060007</t>
    <phoneticPr fontId="11"/>
  </si>
  <si>
    <t>WOVEN FABRIC</t>
  </si>
  <si>
    <t>長繊維、プリント加工なし</t>
    <rPh sb="0" eb="1">
      <t>チョウ</t>
    </rPh>
    <rPh sb="1" eb="3">
      <t>センイ</t>
    </rPh>
    <rPh sb="8" eb="9">
      <t>ナ</t>
    </rPh>
    <phoneticPr fontId="11"/>
  </si>
  <si>
    <t>C/#003 GRAY</t>
    <phoneticPr fontId="11"/>
  </si>
  <si>
    <t>c/#005 NAVY</t>
    <phoneticPr fontId="11"/>
  </si>
  <si>
    <t>NYLON100%</t>
    <phoneticPr fontId="11"/>
  </si>
  <si>
    <r>
      <t>WIDTH:145CM (61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</si>
  <si>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NO.22068131</t>
    <phoneticPr fontId="11"/>
  </si>
  <si>
    <t>NO.22068193</t>
    <phoneticPr fontId="11"/>
  </si>
  <si>
    <t>10/16着</t>
    <rPh sb="5" eb="6">
      <t>チャク</t>
    </rPh>
    <phoneticPr fontId="11"/>
  </si>
  <si>
    <t>10/8着</t>
    <rPh sb="4" eb="5">
      <t>チャク</t>
    </rPh>
    <phoneticPr fontId="11"/>
  </si>
  <si>
    <t>ICM-100</t>
    <phoneticPr fontId="11"/>
  </si>
  <si>
    <t>平織　タフタ　後染め</t>
    <rPh sb="0" eb="2">
      <t>ヒラオリ</t>
    </rPh>
    <rPh sb="6" eb="7">
      <t>アト</t>
    </rPh>
    <rPh sb="7" eb="8">
      <t>ソ</t>
    </rPh>
    <phoneticPr fontId="11"/>
  </si>
  <si>
    <t>平織　ブロード素材　後染め</t>
    <rPh sb="0" eb="2">
      <t>ヒラオリ</t>
    </rPh>
    <rPh sb="7" eb="9">
      <t>ソザイ</t>
    </rPh>
    <rPh sb="9" eb="10">
      <t>アト</t>
    </rPh>
    <rPh sb="10" eb="11">
      <t>ソ</t>
    </rPh>
    <phoneticPr fontId="11"/>
  </si>
  <si>
    <t>C/#25 YELLOW</t>
    <phoneticPr fontId="11"/>
  </si>
  <si>
    <t>c/#32 BLUE</t>
    <phoneticPr fontId="11"/>
  </si>
  <si>
    <t>STYLE: 25S-SH01</t>
    <phoneticPr fontId="11"/>
  </si>
  <si>
    <t>COTTON100%</t>
    <phoneticPr fontId="11"/>
  </si>
  <si>
    <r>
      <t>WIDTH:145CM (117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</si>
  <si>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NO.22068195</t>
    <phoneticPr fontId="11"/>
  </si>
  <si>
    <t>32-30678</t>
    <phoneticPr fontId="11"/>
  </si>
  <si>
    <t>平織　後染め</t>
    <rPh sb="0" eb="2">
      <t>ヒラオリ</t>
    </rPh>
    <rPh sb="3" eb="4">
      <t>ソ</t>
    </rPh>
    <phoneticPr fontId="11"/>
  </si>
  <si>
    <r>
      <t>WIDTH:134CM (232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</si>
  <si>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WOOL100%</t>
    <phoneticPr fontId="11"/>
  </si>
  <si>
    <t>STYLE: 25S-PT01,25S-PT02</t>
    <phoneticPr fontId="11"/>
  </si>
  <si>
    <t>STYLE: 25S-PT01,25S-PT02,25S-JK02</t>
    <phoneticPr fontId="11"/>
  </si>
  <si>
    <t>C/#BK</t>
    <phoneticPr fontId="11"/>
  </si>
  <si>
    <t>c/#101 GRAY</t>
    <phoneticPr fontId="11"/>
  </si>
  <si>
    <t>NO.22068219</t>
    <phoneticPr fontId="11"/>
  </si>
  <si>
    <t>10/17着</t>
    <rPh sb="5" eb="6">
      <t>チャク</t>
    </rPh>
    <phoneticPr fontId="11"/>
  </si>
  <si>
    <t>NO.22068519</t>
    <phoneticPr fontId="11"/>
  </si>
  <si>
    <t>10/29着</t>
    <rPh sb="5" eb="6">
      <t>チャク</t>
    </rPh>
    <phoneticPr fontId="11"/>
  </si>
  <si>
    <t>6-7</t>
    <phoneticPr fontId="11"/>
  </si>
  <si>
    <t>8-11</t>
    <phoneticPr fontId="11"/>
  </si>
  <si>
    <t>12-17</t>
    <phoneticPr fontId="11"/>
  </si>
  <si>
    <t>18</t>
    <phoneticPr fontId="11"/>
  </si>
  <si>
    <t>19</t>
    <phoneticPr fontId="11"/>
  </si>
  <si>
    <t>19CARTONS</t>
    <phoneticPr fontId="11"/>
  </si>
  <si>
    <t xml:space="preserve"> C/NO.</t>
    <phoneticPr fontId="11"/>
  </si>
  <si>
    <t>INVOICE</t>
    <phoneticPr fontId="11"/>
  </si>
  <si>
    <t>IMPORTER</t>
    <phoneticPr fontId="10"/>
  </si>
  <si>
    <t>INVOICE NO.</t>
    <phoneticPr fontId="10"/>
  </si>
  <si>
    <t>CASE MARK</t>
    <phoneticPr fontId="10"/>
  </si>
  <si>
    <t>INVOICE DATE</t>
    <phoneticPr fontId="10"/>
  </si>
  <si>
    <t>CONTRACT NO.</t>
    <phoneticPr fontId="10"/>
  </si>
  <si>
    <t>CONSIGNEE</t>
    <phoneticPr fontId="10"/>
  </si>
  <si>
    <t xml:space="preserve">ORDER NO. </t>
    <phoneticPr fontId="10"/>
  </si>
  <si>
    <t>MADE  IN JAPAN</t>
    <phoneticPr fontId="11"/>
  </si>
  <si>
    <t>L/C NO.</t>
    <phoneticPr fontId="10"/>
  </si>
  <si>
    <t>PAYMENT METHOD</t>
    <phoneticPr fontId="10"/>
  </si>
  <si>
    <t>SHIPPED PER</t>
    <phoneticPr fontId="10"/>
  </si>
  <si>
    <t>FROM</t>
    <phoneticPr fontId="10"/>
  </si>
  <si>
    <t>TO</t>
    <phoneticPr fontId="10"/>
  </si>
  <si>
    <t xml:space="preserve"> </t>
    <phoneticPr fontId="10"/>
  </si>
  <si>
    <t>VIA</t>
    <phoneticPr fontId="10"/>
  </si>
  <si>
    <t>C/NO.</t>
    <phoneticPr fontId="10"/>
  </si>
  <si>
    <t>ART NO.</t>
    <phoneticPr fontId="11"/>
  </si>
  <si>
    <t xml:space="preserve">  DESCRIPTION  OF  GOODS</t>
    <phoneticPr fontId="10"/>
  </si>
  <si>
    <t>COLOR</t>
    <phoneticPr fontId="11"/>
  </si>
  <si>
    <t>SIZE</t>
    <phoneticPr fontId="11"/>
  </si>
  <si>
    <t>Q'TY</t>
    <phoneticPr fontId="10"/>
  </si>
  <si>
    <t>U/PRICE</t>
    <phoneticPr fontId="10"/>
  </si>
  <si>
    <t>AMOUNT</t>
    <phoneticPr fontId="10"/>
  </si>
  <si>
    <t>TOTAL :</t>
    <phoneticPr fontId="11"/>
  </si>
  <si>
    <t>" NO COMMER VALUE</t>
    <phoneticPr fontId="11"/>
  </si>
  <si>
    <t>" NO COMMERCIAL VALUE</t>
    <phoneticPr fontId="11"/>
  </si>
  <si>
    <t xml:space="preserve">  VALUE FOR CUSTOMS PURPOSE ONLY "</t>
    <phoneticPr fontId="11"/>
  </si>
  <si>
    <t xml:space="preserve"> VALUE FOR CUSTOMS PURPOSE ONLY "</t>
    <phoneticPr fontId="11"/>
  </si>
  <si>
    <t>TOTAL CARTONS :</t>
    <phoneticPr fontId="11"/>
  </si>
  <si>
    <t>TOTAL GROSS WEIGHT :</t>
    <phoneticPr fontId="11"/>
  </si>
  <si>
    <t>KGS</t>
    <phoneticPr fontId="11"/>
  </si>
  <si>
    <t>LABEL SHEET -</t>
    <phoneticPr fontId="11"/>
  </si>
  <si>
    <t>原産国</t>
    <rPh sb="0" eb="3">
      <t>ゲンサンコク</t>
    </rPh>
    <phoneticPr fontId="11"/>
  </si>
  <si>
    <t>MADE IN JAPAN</t>
    <phoneticPr fontId="11"/>
  </si>
  <si>
    <t xml:space="preserve"> C/NO. 1-19</t>
    <phoneticPr fontId="11"/>
  </si>
  <si>
    <t xml:space="preserve"> SY-5901030-VT-DD-01</t>
    <phoneticPr fontId="11"/>
  </si>
  <si>
    <t>Oct, 30 2024</t>
    <phoneticPr fontId="11"/>
  </si>
  <si>
    <t>19PACKAGES</t>
    <phoneticPr fontId="11"/>
  </si>
  <si>
    <t>821.5M 453PCS. 3SET.</t>
    <phoneticPr fontId="11"/>
  </si>
  <si>
    <t>D17 Street , Sai Gon South Residential Area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</si>
</sst>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0_);[Red]\(0\)"/>
    <numFmt numFmtId="178" formatCode="&quot;¥&quot;#,##0_);\(&quot;¥&quot;#,##0\)"/>
    <numFmt numFmtId="179" formatCode="&quot;¥&quot;#,##0_);[Red]\(&quot;¥&quot;#,##0\)"/>
    <numFmt numFmtId="180" formatCode="#,##0.0"/>
    <numFmt numFmtId="181" formatCode="#,##0.0_);\(#,##0.0\)"/>
    <numFmt numFmtId="182" formatCode="m/d;@"/>
    <numFmt numFmtId="186" formatCode="_(* #,##0.0_);_(* \(#,##0.0\);_(* &quot;-&quot;_);_(@_)"/>
    <numFmt numFmtId="187" formatCode="[$€-410]\ #,##0.00_);[Red]\([$€-410]\ #,##0.00\)"/>
    <numFmt numFmtId="188" formatCode="[$€-410]\ #,##0.00;\-[$€-410]\ #,##0.00"/>
  </numFmts>
  <fonts count="62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0"/>
      <name val="ＭＳ Ｐゴシック"/>
      <family val="3"/>
      <charset val="128"/>
      <scheme val="major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sz val="11"/>
      <name val="ＭＳ Ｐゴシック"/>
      <family val="3"/>
      <charset val="128"/>
    </font>
    <font>
      <b/>
      <sz val="10"/>
      <name val="Yu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 tint="4.9989318521683403E-2"/>
      <name val="Century Gothic"/>
      <family val="2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</cellStyleXfs>
  <cellXfs count="320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left" vertical="center" shrinkToFit="1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2" borderId="0" xfId="0" applyFont="1" applyFill="1" applyAlignment="1">
      <alignment horizontal="left" vertical="center"/>
    </xf>
    <xf numFmtId="0" fontId="21" fillId="0" borderId="0" xfId="0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0" fontId="15" fillId="0" borderId="0" xfId="1" applyNumberFormat="1" applyFont="1" applyFill="1" applyBorder="1" applyAlignment="1" applyProtection="1"/>
    <xf numFmtId="26" fontId="9" fillId="0" borderId="0" xfId="0" applyNumberFormat="1" applyFont="1" applyAlignment="1">
      <alignment horizontal="left" vertical="center" shrinkToFit="1"/>
    </xf>
    <xf numFmtId="179" fontId="9" fillId="0" borderId="0" xfId="0" applyNumberFormat="1" applyFont="1" applyAlignment="1">
      <alignment horizontal="left" vertical="center" shrinkToFit="1"/>
    </xf>
    <xf numFmtId="0" fontId="13" fillId="0" borderId="0" xfId="0" applyFont="1" applyAlignment="1">
      <alignment vertical="center" shrinkToFit="1"/>
    </xf>
    <xf numFmtId="0" fontId="9" fillId="0" borderId="4" xfId="0" applyFont="1" applyBorder="1" applyAlignment="1">
      <alignment horizontal="center" vertical="center"/>
    </xf>
    <xf numFmtId="0" fontId="22" fillId="0" borderId="0" xfId="0" applyFont="1" applyAlignment="1">
      <alignment vertical="center" shrinkToFit="1"/>
    </xf>
    <xf numFmtId="0" fontId="23" fillId="0" borderId="0" xfId="0" applyFont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49" fontId="14" fillId="0" borderId="24" xfId="0" applyNumberFormat="1" applyFont="1" applyBorder="1" applyAlignment="1">
      <alignment horizontal="left" vertical="center"/>
    </xf>
    <xf numFmtId="49" fontId="9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vertical="center" shrinkToFit="1"/>
    </xf>
    <xf numFmtId="178" fontId="18" fillId="3" borderId="0" xfId="0" applyNumberFormat="1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49" fontId="21" fillId="0" borderId="10" xfId="0" applyNumberFormat="1" applyFont="1" applyBorder="1" applyAlignment="1">
      <alignment horizontal="left" vertical="center"/>
    </xf>
    <xf numFmtId="0" fontId="21" fillId="0" borderId="10" xfId="0" applyFont="1" applyBorder="1" applyAlignment="1">
      <alignment vertical="center" wrapText="1"/>
    </xf>
    <xf numFmtId="180" fontId="21" fillId="0" borderId="10" xfId="0" applyNumberFormat="1" applyFont="1" applyBorder="1" applyAlignment="1">
      <alignment vertical="center" shrinkToFit="1"/>
    </xf>
    <xf numFmtId="49" fontId="30" fillId="0" borderId="10" xfId="0" quotePrefix="1" applyNumberFormat="1" applyFont="1" applyBorder="1" applyAlignment="1">
      <alignment horizontal="left" vertical="center"/>
    </xf>
    <xf numFmtId="180" fontId="21" fillId="0" borderId="11" xfId="0" applyNumberFormat="1" applyFont="1" applyBorder="1" applyAlignment="1">
      <alignment vertical="center" shrinkToFit="1"/>
    </xf>
    <xf numFmtId="49" fontId="27" fillId="0" borderId="11" xfId="0" quotePrefix="1" applyNumberFormat="1" applyFont="1" applyBorder="1" applyAlignment="1">
      <alignment horizontal="left" vertical="center"/>
    </xf>
    <xf numFmtId="180" fontId="21" fillId="0" borderId="4" xfId="0" applyNumberFormat="1" applyFont="1" applyBorder="1" applyAlignment="1">
      <alignment vertical="center" shrinkToFit="1"/>
    </xf>
    <xf numFmtId="49" fontId="27" fillId="0" borderId="7" xfId="0" quotePrefix="1" applyNumberFormat="1" applyFont="1" applyBorder="1" applyAlignment="1">
      <alignment horizontal="left" vertical="center"/>
    </xf>
    <xf numFmtId="176" fontId="9" fillId="0" borderId="8" xfId="2" applyFont="1" applyFill="1" applyBorder="1" applyAlignment="1">
      <alignment horizontal="center" vertical="center"/>
    </xf>
    <xf numFmtId="49" fontId="22" fillId="0" borderId="32" xfId="0" applyNumberFormat="1" applyFont="1" applyBorder="1" applyAlignment="1">
      <alignment horizontal="center" vertical="center"/>
    </xf>
    <xf numFmtId="49" fontId="34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5" fillId="0" borderId="0" xfId="0" applyFont="1">
      <alignment vertical="center"/>
    </xf>
    <xf numFmtId="0" fontId="35" fillId="0" borderId="0" xfId="0" applyFont="1" applyAlignment="1">
      <alignment vertical="center" wrapText="1"/>
    </xf>
    <xf numFmtId="0" fontId="37" fillId="0" borderId="0" xfId="0" applyFont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49" fontId="38" fillId="0" borderId="6" xfId="0" applyNumberFormat="1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3" borderId="25" xfId="0" applyFont="1" applyFill="1" applyBorder="1" applyAlignment="1">
      <alignment horizontal="center" vertical="center"/>
    </xf>
    <xf numFmtId="49" fontId="41" fillId="0" borderId="5" xfId="0" quotePrefix="1" applyNumberFormat="1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5" xfId="0" quotePrefix="1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38" fillId="0" borderId="5" xfId="0" applyFont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left" vertical="center"/>
    </xf>
    <xf numFmtId="180" fontId="9" fillId="0" borderId="10" xfId="0" applyNumberFormat="1" applyFont="1" applyBorder="1" applyAlignment="1">
      <alignment vertical="center" shrinkToFit="1"/>
    </xf>
    <xf numFmtId="49" fontId="43" fillId="0" borderId="0" xfId="0" applyNumberFormat="1" applyFont="1" applyAlignment="1">
      <alignment vertical="center" shrinkToFit="1"/>
    </xf>
    <xf numFmtId="0" fontId="1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0" fontId="14" fillId="0" borderId="24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49" fontId="13" fillId="0" borderId="10" xfId="0" applyNumberFormat="1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25" fillId="0" borderId="10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49" fontId="22" fillId="0" borderId="10" xfId="0" applyNumberFormat="1" applyFont="1" applyBorder="1" applyAlignment="1">
      <alignment horizontal="left" vertical="center"/>
    </xf>
    <xf numFmtId="0" fontId="13" fillId="0" borderId="10" xfId="0" applyFont="1" applyBorder="1">
      <alignment vertical="center"/>
    </xf>
    <xf numFmtId="26" fontId="13" fillId="0" borderId="10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>
      <alignment vertical="center"/>
    </xf>
    <xf numFmtId="26" fontId="13" fillId="0" borderId="6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9" fontId="21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49" fontId="33" fillId="0" borderId="5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/>
    </xf>
    <xf numFmtId="179" fontId="21" fillId="0" borderId="10" xfId="0" applyNumberFormat="1" applyFont="1" applyBorder="1" applyAlignment="1">
      <alignment horizontal="right" vertical="center"/>
    </xf>
    <xf numFmtId="178" fontId="9" fillId="0" borderId="10" xfId="0" applyNumberFormat="1" applyFont="1" applyBorder="1" applyAlignment="1">
      <alignment horizontal="right" vertical="center"/>
    </xf>
    <xf numFmtId="0" fontId="28" fillId="0" borderId="4" xfId="0" applyFont="1" applyBorder="1" applyAlignment="1">
      <alignment horizontal="center" vertical="center"/>
    </xf>
    <xf numFmtId="182" fontId="33" fillId="0" borderId="10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33" fillId="0" borderId="10" xfId="0" applyNumberFormat="1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180" fontId="21" fillId="0" borderId="11" xfId="0" applyNumberFormat="1" applyFont="1" applyBorder="1" applyAlignment="1">
      <alignment horizontal="center" vertical="center" shrinkToFit="1"/>
    </xf>
    <xf numFmtId="179" fontId="21" fillId="0" borderId="11" xfId="0" applyNumberFormat="1" applyFont="1" applyBorder="1" applyAlignment="1">
      <alignment horizontal="right" vertical="center"/>
    </xf>
    <xf numFmtId="178" fontId="9" fillId="0" borderId="11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180" fontId="21" fillId="0" borderId="4" xfId="0" applyNumberFormat="1" applyFont="1" applyBorder="1" applyAlignment="1">
      <alignment horizontal="center" vertical="center" shrinkToFit="1"/>
    </xf>
    <xf numFmtId="179" fontId="21" fillId="0" borderId="4" xfId="0" applyNumberFormat="1" applyFont="1" applyBorder="1" applyAlignment="1">
      <alignment horizontal="right" vertical="center"/>
    </xf>
    <xf numFmtId="178" fontId="9" fillId="0" borderId="4" xfId="0" applyNumberFormat="1" applyFont="1" applyBorder="1" applyAlignment="1">
      <alignment horizontal="right" vertical="center"/>
    </xf>
    <xf numFmtId="0" fontId="33" fillId="0" borderId="4" xfId="0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80" fontId="21" fillId="0" borderId="10" xfId="0" applyNumberFormat="1" applyFont="1" applyBorder="1" applyAlignment="1">
      <alignment horizontal="center" vertical="center" shrinkToFit="1"/>
    </xf>
    <xf numFmtId="49" fontId="33" fillId="0" borderId="4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180" fontId="9" fillId="0" borderId="10" xfId="0" applyNumberFormat="1" applyFont="1" applyBorder="1" applyAlignment="1">
      <alignment horizontal="center" vertical="center"/>
    </xf>
    <xf numFmtId="178" fontId="9" fillId="0" borderId="10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1" fontId="9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22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180" fontId="9" fillId="0" borderId="12" xfId="0" applyNumberFormat="1" applyFont="1" applyBorder="1" applyAlignment="1">
      <alignment vertical="center" shrinkToFit="1"/>
    </xf>
    <xf numFmtId="180" fontId="9" fillId="0" borderId="12" xfId="0" applyNumberFormat="1" applyFont="1" applyBorder="1" applyAlignment="1">
      <alignment horizontal="center" vertical="center" shrinkToFit="1"/>
    </xf>
    <xf numFmtId="178" fontId="9" fillId="0" borderId="12" xfId="0" applyNumberFormat="1" applyFont="1" applyBorder="1" applyAlignment="1">
      <alignment horizontal="center" vertical="center" shrinkToFit="1"/>
    </xf>
    <xf numFmtId="178" fontId="9" fillId="0" borderId="1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49" fontId="9" fillId="0" borderId="8" xfId="0" applyNumberFormat="1" applyFont="1" applyBorder="1" applyAlignment="1">
      <alignment horizontal="left" vertical="center"/>
    </xf>
    <xf numFmtId="0" fontId="9" fillId="0" borderId="8" xfId="0" applyFont="1" applyBorder="1">
      <alignment vertical="center"/>
    </xf>
    <xf numFmtId="181" fontId="9" fillId="0" borderId="8" xfId="2" applyNumberFormat="1" applyFont="1" applyFill="1" applyBorder="1" applyAlignment="1">
      <alignment horizontal="center" vertical="center"/>
    </xf>
    <xf numFmtId="178" fontId="9" fillId="0" borderId="8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10" xfId="0" applyFont="1" applyBorder="1" applyAlignment="1">
      <alignment vertical="center" shrinkToFit="1"/>
    </xf>
    <xf numFmtId="49" fontId="9" fillId="0" borderId="10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9" fillId="0" borderId="10" xfId="0" applyFont="1" applyBorder="1" applyAlignment="1">
      <alignment horizontal="right" vertical="center"/>
    </xf>
    <xf numFmtId="0" fontId="9" fillId="3" borderId="10" xfId="0" applyFont="1" applyFill="1" applyBorder="1" applyAlignment="1">
      <alignment horizontal="center" vertical="center"/>
    </xf>
    <xf numFmtId="49" fontId="9" fillId="3" borderId="10" xfId="0" applyNumberFormat="1" applyFont="1" applyFill="1" applyBorder="1" applyAlignment="1">
      <alignment horizontal="center" vertical="center"/>
    </xf>
    <xf numFmtId="3" fontId="9" fillId="3" borderId="10" xfId="0" applyNumberFormat="1" applyFont="1" applyFill="1" applyBorder="1" applyAlignment="1">
      <alignment horizontal="right" vertical="center"/>
    </xf>
    <xf numFmtId="0" fontId="9" fillId="3" borderId="10" xfId="0" applyFont="1" applyFill="1" applyBorder="1" applyAlignment="1">
      <alignment horizontal="right" vertical="center"/>
    </xf>
    <xf numFmtId="178" fontId="9" fillId="3" borderId="10" xfId="0" applyNumberFormat="1" applyFont="1" applyFill="1" applyBorder="1" applyAlignment="1">
      <alignment horizontal="right" vertical="center" shrinkToFit="1"/>
    </xf>
    <xf numFmtId="49" fontId="22" fillId="0" borderId="32" xfId="0" applyNumberFormat="1" applyFont="1" applyBorder="1">
      <alignment vertical="center"/>
    </xf>
    <xf numFmtId="0" fontId="9" fillId="0" borderId="33" xfId="0" applyFont="1" applyBorder="1">
      <alignment vertical="center"/>
    </xf>
    <xf numFmtId="0" fontId="9" fillId="3" borderId="11" xfId="0" applyFont="1" applyFill="1" applyBorder="1" applyAlignment="1">
      <alignment horizontal="center" vertical="center"/>
    </xf>
    <xf numFmtId="49" fontId="9" fillId="3" borderId="11" xfId="0" applyNumberFormat="1" applyFont="1" applyFill="1" applyBorder="1" applyAlignment="1">
      <alignment horizontal="center" vertical="center"/>
    </xf>
    <xf numFmtId="3" fontId="9" fillId="3" borderId="11" xfId="0" applyNumberFormat="1" applyFont="1" applyFill="1" applyBorder="1" applyAlignment="1">
      <alignment horizontal="right" vertical="center"/>
    </xf>
    <xf numFmtId="178" fontId="9" fillId="3" borderId="11" xfId="0" applyNumberFormat="1" applyFont="1" applyFill="1" applyBorder="1" applyAlignment="1">
      <alignment horizontal="right" vertical="center" shrinkToFit="1"/>
    </xf>
    <xf numFmtId="49" fontId="33" fillId="0" borderId="11" xfId="0" applyNumberFormat="1" applyFont="1" applyBorder="1" applyAlignment="1">
      <alignment horizontal="center" vertical="center"/>
    </xf>
    <xf numFmtId="179" fontId="21" fillId="0" borderId="10" xfId="0" applyNumberFormat="1" applyFont="1" applyBorder="1" applyAlignment="1">
      <alignment horizontal="center" vertical="center"/>
    </xf>
    <xf numFmtId="178" fontId="9" fillId="3" borderId="10" xfId="0" applyNumberFormat="1" applyFont="1" applyFill="1" applyBorder="1" applyAlignment="1">
      <alignment horizontal="right" vertical="center"/>
    </xf>
    <xf numFmtId="178" fontId="9" fillId="3" borderId="11" xfId="0" applyNumberFormat="1" applyFont="1" applyFill="1" applyBorder="1" applyAlignment="1">
      <alignment horizontal="right" vertical="center"/>
    </xf>
    <xf numFmtId="49" fontId="22" fillId="0" borderId="7" xfId="0" applyNumberFormat="1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3" fontId="9" fillId="3" borderId="4" xfId="0" applyNumberFormat="1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right" vertical="center"/>
    </xf>
    <xf numFmtId="178" fontId="9" fillId="3" borderId="4" xfId="0" applyNumberFormat="1" applyFont="1" applyFill="1" applyBorder="1" applyAlignment="1">
      <alignment horizontal="right" vertical="center" shrinkToFit="1"/>
    </xf>
    <xf numFmtId="178" fontId="9" fillId="3" borderId="4" xfId="0" applyNumberFormat="1" applyFont="1" applyFill="1" applyBorder="1" applyAlignment="1">
      <alignment horizontal="right" vertical="center"/>
    </xf>
    <xf numFmtId="0" fontId="9" fillId="3" borderId="5" xfId="0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3" fontId="9" fillId="3" borderId="5" xfId="0" applyNumberFormat="1" applyFont="1" applyFill="1" applyBorder="1" applyAlignment="1">
      <alignment horizontal="right" vertical="center"/>
    </xf>
    <xf numFmtId="0" fontId="9" fillId="3" borderId="5" xfId="0" applyFont="1" applyFill="1" applyBorder="1" applyAlignment="1">
      <alignment horizontal="right" vertical="center"/>
    </xf>
    <xf numFmtId="178" fontId="9" fillId="3" borderId="5" xfId="0" applyNumberFormat="1" applyFont="1" applyFill="1" applyBorder="1" applyAlignment="1">
      <alignment horizontal="right" vertical="center" shrinkToFit="1"/>
    </xf>
    <xf numFmtId="178" fontId="9" fillId="3" borderId="5" xfId="0" applyNumberFormat="1" applyFont="1" applyFill="1" applyBorder="1" applyAlignment="1">
      <alignment horizontal="right" vertical="center"/>
    </xf>
    <xf numFmtId="49" fontId="45" fillId="0" borderId="10" xfId="0" quotePrefix="1" applyNumberFormat="1" applyFont="1" applyBorder="1" applyAlignment="1">
      <alignment horizontal="left" vertical="center"/>
    </xf>
    <xf numFmtId="0" fontId="45" fillId="0" borderId="10" xfId="0" applyFont="1" applyBorder="1" applyAlignment="1">
      <alignment horizontal="left" vertical="center"/>
    </xf>
    <xf numFmtId="49" fontId="22" fillId="0" borderId="25" xfId="0" applyNumberFormat="1" applyFont="1" applyBorder="1" applyAlignment="1">
      <alignment horizontal="center" vertical="center"/>
    </xf>
    <xf numFmtId="49" fontId="22" fillId="0" borderId="27" xfId="0" applyNumberFormat="1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22" fillId="0" borderId="31" xfId="0" applyNumberFormat="1" applyFont="1" applyBorder="1" applyAlignment="1">
      <alignment horizontal="center" vertical="center"/>
    </xf>
    <xf numFmtId="49" fontId="22" fillId="0" borderId="32" xfId="0" applyNumberFormat="1" applyFont="1" applyBorder="1" applyAlignment="1">
      <alignment horizontal="center" vertical="center"/>
    </xf>
    <xf numFmtId="49" fontId="22" fillId="0" borderId="34" xfId="0" applyNumberFormat="1" applyFont="1" applyBorder="1" applyAlignment="1">
      <alignment horizontal="center" vertical="center"/>
    </xf>
    <xf numFmtId="179" fontId="9" fillId="0" borderId="10" xfId="0" applyNumberFormat="1" applyFont="1" applyBorder="1" applyAlignment="1">
      <alignment horizontal="right" vertical="center"/>
    </xf>
    <xf numFmtId="0" fontId="46" fillId="0" borderId="0" xfId="0" applyFont="1">
      <alignment vertical="center"/>
    </xf>
    <xf numFmtId="0" fontId="46" fillId="0" borderId="40" xfId="0" applyFont="1" applyBorder="1">
      <alignment vertical="center"/>
    </xf>
    <xf numFmtId="0" fontId="46" fillId="0" borderId="0" xfId="0" applyFont="1" applyAlignment="1">
      <alignment horizontal="left" vertical="center"/>
    </xf>
    <xf numFmtId="0" fontId="46" fillId="0" borderId="41" xfId="0" applyFont="1" applyBorder="1">
      <alignment vertical="center"/>
    </xf>
    <xf numFmtId="0" fontId="46" fillId="0" borderId="42" xfId="0" applyFont="1" applyBorder="1">
      <alignment vertical="center"/>
    </xf>
    <xf numFmtId="0" fontId="47" fillId="0" borderId="0" xfId="0" applyFont="1">
      <alignment vertical="center"/>
    </xf>
    <xf numFmtId="0" fontId="48" fillId="0" borderId="0" xfId="0" applyFont="1" applyAlignment="1">
      <alignment horizontal="center"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9" fillId="0" borderId="1" xfId="0" applyFont="1" applyBorder="1">
      <alignment vertical="center"/>
    </xf>
    <xf numFmtId="0" fontId="52" fillId="0" borderId="1" xfId="0" applyFont="1" applyBorder="1">
      <alignment vertical="center"/>
    </xf>
    <xf numFmtId="0" fontId="55" fillId="0" borderId="0" xfId="0" applyFont="1">
      <alignment vertical="center"/>
    </xf>
    <xf numFmtId="0" fontId="53" fillId="0" borderId="2" xfId="0" applyFont="1" applyBorder="1">
      <alignment vertical="center"/>
    </xf>
    <xf numFmtId="0" fontId="55" fillId="0" borderId="3" xfId="0" applyFont="1" applyBorder="1">
      <alignment vertical="center"/>
    </xf>
    <xf numFmtId="0" fontId="55" fillId="0" borderId="2" xfId="0" applyFont="1" applyBorder="1">
      <alignment vertical="center"/>
    </xf>
    <xf numFmtId="0" fontId="9" fillId="0" borderId="43" xfId="0" applyFont="1" applyBorder="1" applyAlignment="1">
      <alignment horizontal="left" vertical="center"/>
    </xf>
    <xf numFmtId="0" fontId="9" fillId="0" borderId="44" xfId="0" applyFont="1" applyBorder="1">
      <alignment vertical="center"/>
    </xf>
    <xf numFmtId="0" fontId="53" fillId="0" borderId="45" xfId="0" applyFont="1" applyBorder="1">
      <alignment vertical="center"/>
    </xf>
    <xf numFmtId="0" fontId="55" fillId="0" borderId="45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49" fontId="9" fillId="0" borderId="43" xfId="0" applyNumberFormat="1" applyFont="1" applyBorder="1">
      <alignment vertical="center"/>
    </xf>
    <xf numFmtId="49" fontId="9" fillId="0" borderId="44" xfId="0" applyNumberFormat="1" applyFont="1" applyBorder="1">
      <alignment vertical="center"/>
    </xf>
    <xf numFmtId="49" fontId="9" fillId="0" borderId="46" xfId="0" applyNumberFormat="1" applyFont="1" applyBorder="1">
      <alignment vertical="center"/>
    </xf>
    <xf numFmtId="0" fontId="53" fillId="0" borderId="46" xfId="0" applyFont="1" applyBorder="1">
      <alignment vertical="center"/>
    </xf>
    <xf numFmtId="0" fontId="9" fillId="0" borderId="43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9" fillId="0" borderId="46" xfId="0" applyFont="1" applyBorder="1" applyAlignment="1">
      <alignment horizontal="left" vertical="center"/>
    </xf>
    <xf numFmtId="0" fontId="53" fillId="0" borderId="47" xfId="0" applyFont="1" applyBorder="1">
      <alignment vertical="center"/>
    </xf>
    <xf numFmtId="0" fontId="22" fillId="5" borderId="45" xfId="0" applyFont="1" applyFill="1" applyBorder="1" applyAlignment="1">
      <alignment horizontal="left" vertical="center"/>
    </xf>
    <xf numFmtId="0" fontId="55" fillId="0" borderId="45" xfId="0" applyFont="1" applyBorder="1">
      <alignment vertical="center"/>
    </xf>
    <xf numFmtId="0" fontId="9" fillId="0" borderId="7" xfId="0" applyFont="1" applyBorder="1">
      <alignment vertical="center"/>
    </xf>
    <xf numFmtId="0" fontId="53" fillId="0" borderId="44" xfId="0" applyFont="1" applyBorder="1">
      <alignment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53" fillId="0" borderId="43" xfId="0" applyFont="1" applyBorder="1">
      <alignment vertical="center"/>
    </xf>
    <xf numFmtId="0" fontId="55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6" fillId="0" borderId="0" xfId="0" applyFont="1">
      <alignment vertical="center"/>
    </xf>
    <xf numFmtId="0" fontId="57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>
      <alignment vertical="center"/>
    </xf>
    <xf numFmtId="0" fontId="14" fillId="0" borderId="5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58" fillId="0" borderId="0" xfId="0" applyFont="1">
      <alignment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3" fillId="0" borderId="6" xfId="0" applyFont="1" applyBorder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6" fontId="13" fillId="0" borderId="45" xfId="0" applyNumberFormat="1" applyFont="1" applyBorder="1" applyAlignment="1">
      <alignment horizontal="left" vertical="center"/>
    </xf>
    <xf numFmtId="0" fontId="9" fillId="0" borderId="45" xfId="0" applyFont="1" applyBorder="1">
      <alignment vertical="center"/>
    </xf>
    <xf numFmtId="26" fontId="13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center"/>
    </xf>
    <xf numFmtId="49" fontId="9" fillId="0" borderId="0" xfId="0" applyNumberFormat="1" applyFont="1">
      <alignment vertical="center"/>
    </xf>
    <xf numFmtId="181" fontId="21" fillId="0" borderId="4" xfId="2" applyNumberFormat="1" applyFont="1" applyFill="1" applyBorder="1" applyAlignment="1">
      <alignment horizontal="right" vertical="center"/>
    </xf>
    <xf numFmtId="1" fontId="21" fillId="0" borderId="4" xfId="2" applyNumberFormat="1" applyFont="1" applyFill="1" applyBorder="1" applyAlignment="1">
      <alignment horizontal="left" vertical="center"/>
    </xf>
    <xf numFmtId="178" fontId="21" fillId="0" borderId="45" xfId="2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21" fillId="0" borderId="4" xfId="2" applyNumberFormat="1" applyFont="1" applyFill="1" applyBorder="1" applyAlignment="1">
      <alignment horizontal="right" vertical="center"/>
    </xf>
    <xf numFmtId="178" fontId="21" fillId="3" borderId="45" xfId="2" applyNumberFormat="1" applyFont="1" applyFill="1" applyBorder="1" applyAlignment="1">
      <alignment horizontal="right" vertical="center"/>
    </xf>
    <xf numFmtId="0" fontId="55" fillId="0" borderId="50" xfId="0" applyFont="1" applyBorder="1" applyAlignment="1">
      <alignment horizontal="center" vertical="center"/>
    </xf>
    <xf numFmtId="0" fontId="9" fillId="0" borderId="50" xfId="0" applyFont="1" applyBorder="1" applyAlignment="1">
      <alignment horizontal="left" vertical="center"/>
    </xf>
    <xf numFmtId="186" fontId="9" fillId="0" borderId="50" xfId="2" applyNumberFormat="1" applyFont="1" applyFill="1" applyBorder="1" applyAlignment="1">
      <alignment horizontal="left" vertical="center" indent="1"/>
    </xf>
    <xf numFmtId="186" fontId="9" fillId="0" borderId="50" xfId="2" applyNumberFormat="1" applyFont="1" applyFill="1" applyBorder="1" applyAlignment="1">
      <alignment horizontal="left" vertical="center"/>
    </xf>
    <xf numFmtId="186" fontId="9" fillId="0" borderId="50" xfId="2" applyNumberFormat="1" applyFont="1" applyFill="1" applyBorder="1" applyAlignment="1">
      <alignment horizontal="left" vertical="center"/>
    </xf>
    <xf numFmtId="186" fontId="21" fillId="0" borderId="50" xfId="2" applyNumberFormat="1" applyFont="1" applyFill="1" applyBorder="1" applyAlignment="1">
      <alignment horizontal="left" vertical="center"/>
    </xf>
    <xf numFmtId="187" fontId="21" fillId="0" borderId="50" xfId="0" applyNumberFormat="1" applyFont="1" applyBorder="1" applyAlignment="1">
      <alignment horizontal="left" vertical="center"/>
    </xf>
    <xf numFmtId="179" fontId="21" fillId="0" borderId="50" xfId="0" applyNumberFormat="1" applyFont="1" applyBorder="1" applyAlignment="1">
      <alignment horizontal="right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/>
    </xf>
    <xf numFmtId="26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188" fontId="9" fillId="0" borderId="0" xfId="0" applyNumberFormat="1" applyFont="1">
      <alignment vertical="center"/>
    </xf>
    <xf numFmtId="0" fontId="57" fillId="0" borderId="0" xfId="0" applyFont="1">
      <alignment vertical="center"/>
    </xf>
    <xf numFmtId="0" fontId="9" fillId="0" borderId="0" xfId="0" applyFont="1" applyAlignment="1">
      <alignment horizontal="left" vertical="center"/>
    </xf>
    <xf numFmtId="49" fontId="22" fillId="0" borderId="0" xfId="0" applyNumberFormat="1" applyFont="1">
      <alignment vertical="center"/>
    </xf>
    <xf numFmtId="0" fontId="22" fillId="0" borderId="0" xfId="0" applyFont="1" applyAlignment="1">
      <alignment horizontal="left" vertical="center"/>
    </xf>
    <xf numFmtId="49" fontId="22" fillId="5" borderId="0" xfId="0" applyNumberFormat="1" applyFont="1" applyFill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49" fontId="53" fillId="0" borderId="0" xfId="0" applyNumberFormat="1" applyFont="1" applyAlignment="1">
      <alignment horizontal="right"/>
    </xf>
    <xf numFmtId="0" fontId="59" fillId="0" borderId="0" xfId="0" applyFont="1">
      <alignment vertical="center"/>
    </xf>
    <xf numFmtId="0" fontId="53" fillId="0" borderId="0" xfId="0" applyFont="1" applyAlignment="1">
      <alignment horizontal="center"/>
    </xf>
    <xf numFmtId="0" fontId="59" fillId="0" borderId="44" xfId="0" applyFont="1" applyBorder="1" applyAlignment="1">
      <alignment horizontal="left"/>
    </xf>
    <xf numFmtId="49" fontId="53" fillId="0" borderId="44" xfId="0" applyNumberFormat="1" applyFont="1" applyBorder="1" applyAlignment="1">
      <alignment horizontal="right"/>
    </xf>
    <xf numFmtId="49" fontId="53" fillId="0" borderId="0" xfId="0" applyNumberFormat="1" applyFont="1">
      <alignment vertical="center"/>
    </xf>
    <xf numFmtId="0" fontId="52" fillId="0" borderId="0" xfId="0" applyFont="1" applyAlignment="1">
      <alignment horizontal="center"/>
    </xf>
    <xf numFmtId="49" fontId="52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60" fillId="0" borderId="0" xfId="0" applyNumberFormat="1" applyFont="1" applyAlignment="1">
      <alignment horizontal="center" vertical="center"/>
    </xf>
    <xf numFmtId="49" fontId="60" fillId="0" borderId="0" xfId="0" applyNumberFormat="1" applyFont="1">
      <alignment vertical="center"/>
    </xf>
    <xf numFmtId="49" fontId="60" fillId="0" borderId="1" xfId="0" applyNumberFormat="1" applyFont="1" applyBorder="1" applyAlignment="1">
      <alignment horizontal="center" vertical="center"/>
    </xf>
    <xf numFmtId="49" fontId="60" fillId="0" borderId="1" xfId="0" applyNumberFormat="1" applyFont="1" applyBorder="1" applyAlignment="1">
      <alignment horizontal="left" vertical="center"/>
    </xf>
    <xf numFmtId="0" fontId="14" fillId="0" borderId="31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16" xfId="0" applyBorder="1">
      <alignment vertical="center"/>
    </xf>
    <xf numFmtId="49" fontId="22" fillId="0" borderId="16" xfId="0" applyNumberFormat="1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49" fontId="22" fillId="0" borderId="55" xfId="0" applyNumberFormat="1" applyFont="1" applyBorder="1">
      <alignment vertical="center"/>
    </xf>
    <xf numFmtId="0" fontId="14" fillId="0" borderId="0" xfId="0" applyFont="1">
      <alignment vertical="center"/>
    </xf>
    <xf numFmtId="0" fontId="0" fillId="0" borderId="44" xfId="0" applyBorder="1">
      <alignment vertical="center"/>
    </xf>
    <xf numFmtId="0" fontId="14" fillId="0" borderId="1" xfId="0" applyFont="1" applyBorder="1">
      <alignment vertical="center"/>
    </xf>
    <xf numFmtId="49" fontId="61" fillId="0" borderId="0" xfId="0" applyNumberFormat="1" applyFont="1">
      <alignment vertical="center"/>
    </xf>
    <xf numFmtId="0" fontId="14" fillId="0" borderId="56" xfId="0" applyFont="1" applyBorder="1">
      <alignment vertical="center"/>
    </xf>
    <xf numFmtId="0" fontId="14" fillId="0" borderId="57" xfId="0" applyFont="1" applyBorder="1">
      <alignment vertical="center"/>
    </xf>
    <xf numFmtId="0" fontId="22" fillId="5" borderId="5" xfId="0" applyFont="1" applyFill="1" applyBorder="1" applyAlignment="1">
      <alignment horizontal="left" vertical="center"/>
    </xf>
    <xf numFmtId="0" fontId="22" fillId="5" borderId="8" xfId="0" applyFont="1" applyFill="1" applyBorder="1" applyAlignment="1">
      <alignment horizontal="left" vertical="center"/>
    </xf>
  </cellXfs>
  <cellStyles count="11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36</xdr:row>
      <xdr:rowOff>112395</xdr:rowOff>
    </xdr:from>
    <xdr:to>
      <xdr:col>11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2</xdr:row>
      <xdr:rowOff>228600</xdr:rowOff>
    </xdr:from>
    <xdr:to>
      <xdr:col>6</xdr:col>
      <xdr:colOff>3367052</xdr:colOff>
      <xdr:row>2</xdr:row>
      <xdr:rowOff>2190750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27682F44-DB04-4BA4-BA9E-FD393C011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68950" y="1752600"/>
          <a:ext cx="3157502" cy="1962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SY-5800906-VT-DD-01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25">
          <cell r="C25" t="str">
            <v>Sep, 06 2024</v>
          </cell>
        </row>
        <row r="26">
          <cell r="C26" t="str">
            <v xml:space="preserve"> SY-5800906-VT-DD-01</v>
          </cell>
        </row>
        <row r="27">
          <cell r="C27" t="str">
            <v xml:space="preserve"> SY-5800906-VT-DD-01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  <row r="29">
          <cell r="F29" t="str">
            <v>PCS.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E40" sqref="E40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66</v>
      </c>
    </row>
    <row r="3" spans="1:3">
      <c r="A3" s="7">
        <f>A2+1</f>
        <v>3</v>
      </c>
      <c r="B3" s="4" t="s">
        <v>3</v>
      </c>
      <c r="C3" s="2" t="s">
        <v>67</v>
      </c>
    </row>
    <row r="4" spans="1:3">
      <c r="A4" s="7">
        <f t="shared" ref="A4:A68" si="0">A3+1</f>
        <v>4</v>
      </c>
      <c r="B4" s="4" t="s">
        <v>2</v>
      </c>
      <c r="C4" s="2" t="s">
        <v>68</v>
      </c>
    </row>
    <row r="5" spans="1:3" s="8" customFormat="1">
      <c r="A5" s="7">
        <f t="shared" si="0"/>
        <v>5</v>
      </c>
      <c r="B5" s="4" t="s">
        <v>4</v>
      </c>
      <c r="C5" s="4" t="s">
        <v>69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77</v>
      </c>
      <c r="C9" s="4" t="s">
        <v>103</v>
      </c>
    </row>
    <row r="10" spans="1:3" s="8" customFormat="1">
      <c r="A10" s="7">
        <f t="shared" si="0"/>
        <v>10</v>
      </c>
      <c r="B10" s="9" t="s">
        <v>78</v>
      </c>
      <c r="C10" s="4" t="s">
        <v>245</v>
      </c>
    </row>
    <row r="11" spans="1:3" s="8" customFormat="1">
      <c r="A11" s="7">
        <f t="shared" si="0"/>
        <v>11</v>
      </c>
      <c r="B11" s="9" t="s">
        <v>79</v>
      </c>
      <c r="C11" s="2" t="s">
        <v>104</v>
      </c>
    </row>
    <row r="12" spans="1:3" s="8" customFormat="1">
      <c r="A12" s="7">
        <f t="shared" si="0"/>
        <v>12</v>
      </c>
      <c r="B12" s="9" t="s">
        <v>80</v>
      </c>
      <c r="C12" s="2" t="s">
        <v>105</v>
      </c>
    </row>
    <row r="13" spans="1:3" s="8" customFormat="1">
      <c r="A13" s="7">
        <f t="shared" si="0"/>
        <v>13</v>
      </c>
      <c r="B13" s="9" t="s">
        <v>9</v>
      </c>
      <c r="C13" s="3" t="s">
        <v>109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70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85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81</v>
      </c>
    </row>
    <row r="25" spans="1:3" s="8" customFormat="1">
      <c r="A25" s="7">
        <f t="shared" si="0"/>
        <v>25</v>
      </c>
      <c r="B25" s="9" t="s">
        <v>20</v>
      </c>
      <c r="C25" s="25" t="s">
        <v>242</v>
      </c>
    </row>
    <row r="26" spans="1:3">
      <c r="A26" s="7">
        <f t="shared" si="0"/>
        <v>26</v>
      </c>
      <c r="B26" s="9" t="s">
        <v>21</v>
      </c>
      <c r="C26" s="26" t="s">
        <v>241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SY-5901030-VT-DD-01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71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65</v>
      </c>
    </row>
    <row r="36" spans="1:3">
      <c r="A36" s="7">
        <f t="shared" si="0"/>
        <v>36</v>
      </c>
      <c r="B36" s="9" t="s">
        <v>32</v>
      </c>
      <c r="C36" s="15" t="s">
        <v>108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244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'NARITA '!H57</f>
        <v>1215187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65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SY-5901030-VT-DD-01</v>
      </c>
    </row>
    <row r="50" spans="1:3">
      <c r="A50" s="7">
        <f t="shared" si="0"/>
        <v>50</v>
      </c>
      <c r="B50" s="9" t="s">
        <v>45</v>
      </c>
      <c r="C50" s="4" t="s">
        <v>103</v>
      </c>
    </row>
    <row r="51" spans="1:3">
      <c r="A51" s="7">
        <f t="shared" si="0"/>
        <v>51</v>
      </c>
      <c r="B51" s="9" t="s">
        <v>46</v>
      </c>
      <c r="C51" s="4" t="s">
        <v>245</v>
      </c>
    </row>
    <row r="52" spans="1:3">
      <c r="A52" s="7">
        <f t="shared" si="0"/>
        <v>52</v>
      </c>
      <c r="B52" s="9" t="s">
        <v>47</v>
      </c>
      <c r="C52" s="2" t="s">
        <v>104</v>
      </c>
    </row>
    <row r="53" spans="1:3">
      <c r="A53" s="7">
        <f t="shared" si="0"/>
        <v>53</v>
      </c>
      <c r="B53" s="9" t="s">
        <v>48</v>
      </c>
      <c r="C53" s="2" t="s">
        <v>105</v>
      </c>
    </row>
    <row r="54" spans="1:3">
      <c r="A54" s="7">
        <f t="shared" si="0"/>
        <v>54</v>
      </c>
      <c r="B54" s="9" t="s">
        <v>49</v>
      </c>
      <c r="C54" s="3" t="s">
        <v>106</v>
      </c>
    </row>
    <row r="55" spans="1:3">
      <c r="A55" s="7">
        <f t="shared" si="0"/>
        <v>55</v>
      </c>
      <c r="B55" s="28" t="s">
        <v>50</v>
      </c>
      <c r="C55" s="26" t="s">
        <v>243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53</v>
      </c>
    </row>
    <row r="61" spans="1:3">
      <c r="A61" s="7">
        <f t="shared" si="0"/>
        <v>61</v>
      </c>
      <c r="B61" s="4" t="s">
        <v>54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82</v>
      </c>
      <c r="C63" s="17" t="s">
        <v>83</v>
      </c>
    </row>
    <row r="64" spans="1:3">
      <c r="A64" s="7">
        <f t="shared" si="0"/>
        <v>64</v>
      </c>
      <c r="B64" s="4"/>
      <c r="C64" s="17" t="s">
        <v>84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55</v>
      </c>
      <c r="C67" s="6"/>
    </row>
    <row r="68" spans="1:3">
      <c r="A68" s="7">
        <f t="shared" si="0"/>
        <v>68</v>
      </c>
      <c r="B68" s="9" t="s">
        <v>56</v>
      </c>
      <c r="C68" s="2" t="s">
        <v>76</v>
      </c>
    </row>
    <row r="69" spans="1:3">
      <c r="A69" s="7">
        <f t="shared" ref="A69:A86" si="1">A68+1</f>
        <v>69</v>
      </c>
      <c r="B69" s="4" t="s">
        <v>57</v>
      </c>
      <c r="C69" s="2" t="s">
        <v>74</v>
      </c>
    </row>
    <row r="70" spans="1:3">
      <c r="A70" s="7">
        <f t="shared" si="1"/>
        <v>70</v>
      </c>
      <c r="B70" s="4" t="s">
        <v>58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59</v>
      </c>
      <c r="C75" s="2" t="s">
        <v>73</v>
      </c>
    </row>
    <row r="76" spans="1:3">
      <c r="A76" s="7">
        <f t="shared" si="1"/>
        <v>76</v>
      </c>
      <c r="B76" s="4" t="s">
        <v>60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61</v>
      </c>
      <c r="C78" s="2" t="s">
        <v>75</v>
      </c>
    </row>
    <row r="79" spans="1:3">
      <c r="A79" s="7">
        <f t="shared" si="1"/>
        <v>79</v>
      </c>
      <c r="B79" s="4" t="s">
        <v>62</v>
      </c>
      <c r="C79" s="2" t="s">
        <v>75</v>
      </c>
    </row>
    <row r="80" spans="1:3">
      <c r="A80" s="7">
        <f t="shared" si="1"/>
        <v>80</v>
      </c>
      <c r="B80" s="4"/>
    </row>
    <row r="81" spans="1:3" ht="16.5">
      <c r="A81" s="7">
        <f t="shared" si="1"/>
        <v>81</v>
      </c>
      <c r="B81" s="4" t="s">
        <v>63</v>
      </c>
      <c r="C81" s="62" t="s">
        <v>242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64</v>
      </c>
      <c r="C83" s="2" t="s">
        <v>72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1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201" customFormat="1" ht="32.25" customHeight="1">
      <c r="H1" s="202"/>
    </row>
    <row r="2" spans="1:15" s="201" customFormat="1" ht="32.5">
      <c r="A2" s="201" t="str">
        <f>'shipper master'!C26</f>
        <v xml:space="preserve"> SY-5901030-VT-DD-01</v>
      </c>
      <c r="H2" s="202"/>
      <c r="I2" s="201" t="str">
        <f>'shipper master'!C26</f>
        <v xml:space="preserve"> SY-5901030-VT-DD-01</v>
      </c>
    </row>
    <row r="3" spans="1:15" s="201" customFormat="1" ht="32.5">
      <c r="A3" s="201" t="str">
        <f>'[2]shipper master'!C50</f>
        <v xml:space="preserve">VIVAN GARMENTS VIET NAM </v>
      </c>
      <c r="H3" s="202"/>
      <c r="I3" s="201" t="str">
        <f>'[2]shipper master'!C50</f>
        <v xml:space="preserve">VIVAN GARMENTS VIET NAM </v>
      </c>
    </row>
    <row r="4" spans="1:15" s="201" customFormat="1" ht="32.5">
      <c r="A4" s="201" t="str">
        <f>'[2]shipper master'!C51</f>
        <v xml:space="preserve"> COMPANY LIMITED</v>
      </c>
      <c r="H4" s="202"/>
      <c r="I4" s="201" t="str">
        <f>'[2]shipper master'!C51</f>
        <v xml:space="preserve"> COMPANY LIMITED</v>
      </c>
    </row>
    <row r="5" spans="1:15" s="201" customFormat="1" ht="32.5">
      <c r="A5" s="201" t="str">
        <f>'[2]shipper master'!C52</f>
        <v xml:space="preserve"> HOCHIMINH-CITY, VIETNAM</v>
      </c>
      <c r="H5" s="202"/>
      <c r="I5" s="201" t="str">
        <f>'[2]shipper master'!C52</f>
        <v xml:space="preserve"> HOCHIMINH-CITY, VIETNAM</v>
      </c>
    </row>
    <row r="6" spans="1:15" s="201" customFormat="1" ht="32.5">
      <c r="A6" s="201" t="s">
        <v>204</v>
      </c>
      <c r="C6" s="201">
        <v>1</v>
      </c>
      <c r="D6" s="203"/>
      <c r="H6" s="202"/>
      <c r="I6" s="201" t="s">
        <v>204</v>
      </c>
      <c r="K6" s="201">
        <v>2</v>
      </c>
    </row>
    <row r="7" spans="1:15" s="201" customFormat="1" ht="32.25" customHeight="1">
      <c r="A7" s="201" t="str">
        <f>'[2]shipper master'!C54</f>
        <v xml:space="preserve"> MADE IN JAPAN</v>
      </c>
      <c r="H7" s="202"/>
      <c r="I7" s="201" t="str">
        <f>'[2]shipper master'!C54</f>
        <v xml:space="preserve"> MADE IN JAPAN</v>
      </c>
    </row>
    <row r="8" spans="1:15" s="201" customFormat="1" ht="19.5" customHeight="1">
      <c r="H8" s="202"/>
    </row>
    <row r="9" spans="1:15" s="201" customFormat="1" ht="19.5" customHeight="1">
      <c r="H9" s="202"/>
    </row>
    <row r="10" spans="1:15" s="201" customFormat="1" ht="19.5" customHeight="1">
      <c r="A10" s="204"/>
      <c r="B10" s="204"/>
      <c r="C10" s="204"/>
      <c r="D10" s="204"/>
      <c r="E10" s="204"/>
      <c r="F10" s="204"/>
      <c r="G10" s="204"/>
      <c r="H10" s="205"/>
      <c r="I10" s="204"/>
      <c r="J10" s="204"/>
      <c r="K10" s="204"/>
      <c r="L10" s="204"/>
      <c r="M10" s="204"/>
      <c r="N10" s="204"/>
      <c r="O10" s="204"/>
    </row>
    <row r="11" spans="1:15" s="201" customFormat="1" ht="19.5" customHeight="1">
      <c r="H11" s="202"/>
    </row>
    <row r="12" spans="1:15" s="201" customFormat="1" ht="19.5" customHeight="1">
      <c r="H12" s="202"/>
    </row>
    <row r="13" spans="1:15" s="201" customFormat="1" ht="32.5">
      <c r="A13" s="201" t="str">
        <f>'shipper master'!C26</f>
        <v xml:space="preserve"> SY-5901030-VT-DD-01</v>
      </c>
      <c r="H13" s="202"/>
      <c r="I13" s="201" t="str">
        <f>'shipper master'!C26</f>
        <v xml:space="preserve"> SY-5901030-VT-DD-01</v>
      </c>
    </row>
    <row r="14" spans="1:15" s="201" customFormat="1" ht="32.5">
      <c r="A14" s="201" t="str">
        <f>'[2]shipper master'!C50</f>
        <v xml:space="preserve">VIVAN GARMENTS VIET NAM </v>
      </c>
      <c r="H14" s="202"/>
      <c r="I14" s="201" t="str">
        <f>'[2]shipper master'!C50</f>
        <v xml:space="preserve">VIVAN GARMENTS VIET NAM </v>
      </c>
    </row>
    <row r="15" spans="1:15" s="201" customFormat="1" ht="32.5">
      <c r="A15" s="201" t="str">
        <f>'[2]shipper master'!C51</f>
        <v xml:space="preserve"> COMPANY LIMITED</v>
      </c>
      <c r="H15" s="202"/>
      <c r="I15" s="201" t="str">
        <f>'[2]shipper master'!C51</f>
        <v xml:space="preserve"> COMPANY LIMITED</v>
      </c>
    </row>
    <row r="16" spans="1:15" s="201" customFormat="1" ht="32.5">
      <c r="A16" s="201" t="str">
        <f>'[2]shipper master'!C52</f>
        <v xml:space="preserve"> HOCHIMINH-CITY, VIETNAM</v>
      </c>
      <c r="H16" s="202"/>
      <c r="I16" s="201" t="str">
        <f>'[2]shipper master'!C52</f>
        <v xml:space="preserve"> HOCHIMINH-CITY, VIETNAM</v>
      </c>
    </row>
    <row r="17" spans="1:11" s="201" customFormat="1" ht="32.5">
      <c r="A17" s="201" t="s">
        <v>204</v>
      </c>
      <c r="C17" s="201">
        <v>3</v>
      </c>
      <c r="H17" s="202"/>
      <c r="I17" s="201" t="s">
        <v>204</v>
      </c>
      <c r="K17" s="201">
        <v>4</v>
      </c>
    </row>
    <row r="18" spans="1:11" s="201" customFormat="1" ht="32.5">
      <c r="A18" s="201" t="str">
        <f>'[2]shipper master'!C54</f>
        <v xml:space="preserve"> MADE IN JAPAN</v>
      </c>
      <c r="H18" s="202"/>
      <c r="I18" s="201" t="str">
        <f>'[2]shipper master'!C54</f>
        <v xml:space="preserve"> MADE IN JAPAN</v>
      </c>
    </row>
    <row r="19" spans="1:11" s="206" customFormat="1" ht="34">
      <c r="A19" s="201"/>
    </row>
    <row r="20" spans="1:11" s="206" customFormat="1" ht="34"/>
    <row r="21" spans="1:11" s="206" customFormat="1" ht="34"/>
    <row r="22" spans="1:11" s="206" customFormat="1" ht="34"/>
    <row r="23" spans="1:11" s="206" customFormat="1" ht="34"/>
    <row r="24" spans="1:11" s="206" customFormat="1" ht="34"/>
    <row r="25" spans="1:11" s="206" customFormat="1" ht="34"/>
    <row r="26" spans="1:11" s="201" customFormat="1" ht="32.5"/>
    <row r="27" spans="1:11" s="201" customFormat="1" ht="32.5"/>
    <row r="28" spans="1:11" s="201" customFormat="1" ht="32.5"/>
    <row r="29" spans="1:11" s="201" customFormat="1" ht="32.5"/>
    <row r="30" spans="1:11" s="201" customFormat="1" ht="32.5"/>
    <row r="31" spans="1:11" s="201" customFormat="1" ht="32.5"/>
    <row r="32" spans="1:11" s="201" customFormat="1" ht="32.5"/>
    <row r="33" s="201" customFormat="1" ht="32.5"/>
    <row r="34" s="201" customFormat="1" ht="32.5"/>
  </sheetData>
  <phoneticPr fontId="1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L91"/>
  <sheetViews>
    <sheetView showZeros="0" view="pageBreakPreview" topLeftCell="A13" zoomScale="110" zoomScaleNormal="115" zoomScaleSheetLayoutView="110" workbookViewId="0">
      <selection activeCell="N20" sqref="N20"/>
    </sheetView>
  </sheetViews>
  <sheetFormatPr defaultColWidth="9" defaultRowHeight="16"/>
  <cols>
    <col min="1" max="1" width="8.6328125" style="211" customWidth="1"/>
    <col min="2" max="2" width="11.6328125" style="211" customWidth="1"/>
    <col min="3" max="3" width="23.36328125" style="211" customWidth="1"/>
    <col min="4" max="4" width="6.08984375" style="211" customWidth="1"/>
    <col min="5" max="6" width="3.08984375" style="211" customWidth="1"/>
    <col min="7" max="7" width="2.90625" style="211" customWidth="1"/>
    <col min="8" max="8" width="3.08984375" style="211" hidden="1" customWidth="1"/>
    <col min="9" max="9" width="8.453125" style="211" customWidth="1"/>
    <col min="10" max="10" width="9.90625" style="211" customWidth="1"/>
    <col min="11" max="11" width="13" style="211" customWidth="1"/>
    <col min="12" max="12" width="13.90625" style="211" customWidth="1"/>
    <col min="13" max="16384" width="9" style="211"/>
  </cols>
  <sheetData>
    <row r="1" spans="1:12" s="208" customFormat="1" ht="32.25" customHeight="1">
      <c r="A1" s="207" t="s">
        <v>205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</row>
    <row r="2" spans="1:12" ht="23.25" customHeight="1">
      <c r="A2" s="209" t="str">
        <f>'[3]shipper master'!C2</f>
        <v xml:space="preserve"> SHUNYA CO., LTD.</v>
      </c>
      <c r="B2" s="210"/>
      <c r="C2" s="210"/>
      <c r="D2" s="210"/>
      <c r="K2" s="212"/>
    </row>
    <row r="3" spans="1:12" ht="15.75" customHeight="1">
      <c r="A3" s="3" t="str">
        <f>'[3]shipper master'!C3</f>
        <v xml:space="preserve"> KENSHIN BLDG., 1F, 1-22-10 DOUGENZAKA,</v>
      </c>
      <c r="B3" s="210"/>
      <c r="C3" s="210"/>
      <c r="D3" s="210"/>
      <c r="K3" s="212"/>
    </row>
    <row r="4" spans="1:12" ht="18" customHeight="1">
      <c r="A4" s="3" t="str">
        <f>'[3]shipper master'!C4</f>
        <v xml:space="preserve"> SHIBUYA-KU 150-0043</v>
      </c>
      <c r="B4" s="210"/>
      <c r="C4" s="210"/>
      <c r="D4" s="210"/>
      <c r="E4" s="213"/>
      <c r="F4" s="213"/>
      <c r="G4" s="213"/>
      <c r="H4" s="213"/>
      <c r="I4" s="213"/>
      <c r="K4" s="3">
        <f>'[3]shipper master'!C6</f>
        <v>0</v>
      </c>
    </row>
    <row r="5" spans="1:12" ht="16.5" thickBot="1">
      <c r="A5" s="214" t="str">
        <f>'[3]shipper master'!C5</f>
        <v xml:space="preserve"> TEL : +81(0)3-5459-1177</v>
      </c>
      <c r="B5" s="210"/>
      <c r="C5" s="210"/>
      <c r="K5" s="3">
        <f>'[3]shipper master'!C7</f>
        <v>0</v>
      </c>
      <c r="L5" s="215"/>
    </row>
    <row r="6" spans="1:12" ht="13.4" customHeight="1">
      <c r="A6" s="216" t="s">
        <v>206</v>
      </c>
      <c r="B6" s="217"/>
      <c r="C6" s="217"/>
      <c r="D6" s="217"/>
      <c r="E6" s="218" t="s">
        <v>207</v>
      </c>
      <c r="F6" s="219"/>
      <c r="G6" s="219"/>
      <c r="H6" s="219"/>
      <c r="I6" s="217"/>
      <c r="J6" s="217"/>
      <c r="K6" s="218" t="s">
        <v>208</v>
      </c>
      <c r="L6" s="212"/>
    </row>
    <row r="7" spans="1:12" ht="13.4" customHeight="1">
      <c r="A7" s="3" t="str">
        <f>'[3]shipper master'!C9</f>
        <v>VIVAN GARMENTS VIET NAM COMPANY LIMITED</v>
      </c>
      <c r="B7" s="212"/>
      <c r="C7" s="212"/>
      <c r="D7" s="212"/>
      <c r="E7" s="220" t="str">
        <f>'[3]shipper master'!C26</f>
        <v xml:space="preserve"> SY-5800906-VT-DD-01</v>
      </c>
      <c r="F7" s="221"/>
      <c r="G7" s="221"/>
      <c r="H7" s="221"/>
      <c r="I7" s="221"/>
      <c r="J7" s="221"/>
      <c r="K7" s="222"/>
      <c r="L7" s="212"/>
    </row>
    <row r="8" spans="1:12" ht="13.4" customHeight="1">
      <c r="A8" s="3" t="str">
        <f>'[3]shipper master'!C10</f>
        <v>D17 Street , Sai Gon South Residential Area</v>
      </c>
      <c r="B8" s="212"/>
      <c r="C8" s="212"/>
      <c r="D8" s="212"/>
      <c r="E8" s="223" t="s">
        <v>209</v>
      </c>
      <c r="F8" s="216"/>
      <c r="G8" s="216"/>
      <c r="H8" s="216"/>
      <c r="I8" s="212"/>
      <c r="J8" s="212"/>
      <c r="K8" s="224" t="str">
        <f>'shipper master'!C26</f>
        <v xml:space="preserve"> SY-5901030-VT-DD-01</v>
      </c>
      <c r="L8" s="212"/>
    </row>
    <row r="9" spans="1:12" ht="13.4" customHeight="1">
      <c r="A9" s="3" t="str">
        <f>'[3]shipper master'!C11</f>
        <v>Hamlet 3 , Long Hau Commune , Can Giuoc District,</v>
      </c>
      <c r="B9" s="212"/>
      <c r="C9" s="212"/>
      <c r="D9" s="212"/>
      <c r="E9" s="225" t="str">
        <f>'[3]shipper master'!C25</f>
        <v>Sep, 06 2024</v>
      </c>
      <c r="F9" s="226"/>
      <c r="G9" s="226"/>
      <c r="H9" s="226"/>
      <c r="I9" s="226"/>
      <c r="J9" s="227"/>
      <c r="K9" s="224" t="str">
        <f>'[2]shipper master'!C50</f>
        <v xml:space="preserve">VIVAN GARMENTS VIET NAM </v>
      </c>
      <c r="L9" s="212"/>
    </row>
    <row r="10" spans="1:12" ht="13.4" customHeight="1">
      <c r="A10" s="3" t="str">
        <f>'[3]shipper master'!C12</f>
        <v xml:space="preserve"> Long An Province , VietNam</v>
      </c>
      <c r="B10" s="212"/>
      <c r="C10" s="212"/>
      <c r="D10" s="212"/>
      <c r="E10" s="223" t="s">
        <v>210</v>
      </c>
      <c r="F10" s="216"/>
      <c r="G10" s="216"/>
      <c r="H10" s="216"/>
      <c r="I10" s="212"/>
      <c r="J10" s="212"/>
      <c r="K10" s="224" t="str">
        <f>'[2]shipper master'!C51</f>
        <v xml:space="preserve"> COMPANY LIMITED</v>
      </c>
      <c r="L10" s="212"/>
    </row>
    <row r="11" spans="1:12" ht="13.4" customHeight="1">
      <c r="A11" s="221" t="str">
        <f>'[3]shipper master'!C13</f>
        <v xml:space="preserve"> TEL : ( 084 ) 097 22 00 798  ATTN : MR. TUAN</v>
      </c>
      <c r="B11" s="212"/>
      <c r="C11" s="212"/>
      <c r="D11" s="228"/>
      <c r="E11" s="229" t="str">
        <f>'[3]shipper master'!C27</f>
        <v xml:space="preserve"> SY-5800906-VT-DD-01</v>
      </c>
      <c r="F11" s="230"/>
      <c r="G11" s="230"/>
      <c r="H11" s="230"/>
      <c r="I11" s="230"/>
      <c r="J11" s="231"/>
      <c r="K11" s="224" t="str">
        <f>'[2]shipper master'!C52</f>
        <v xml:space="preserve"> HOCHIMINH-CITY, VIETNAM</v>
      </c>
      <c r="L11" s="212"/>
    </row>
    <row r="12" spans="1:12" ht="13.4" customHeight="1">
      <c r="A12" s="216" t="s">
        <v>211</v>
      </c>
      <c r="B12" s="232"/>
      <c r="C12" s="232"/>
      <c r="D12" s="212"/>
      <c r="E12" s="223" t="s">
        <v>212</v>
      </c>
      <c r="F12" s="216"/>
      <c r="G12" s="216"/>
      <c r="H12" s="216"/>
      <c r="I12" s="212"/>
      <c r="J12" s="212"/>
      <c r="K12" s="233" t="s">
        <v>240</v>
      </c>
      <c r="L12" s="212"/>
    </row>
    <row r="13" spans="1:12" ht="13.4" customHeight="1">
      <c r="A13" s="3" t="str">
        <f>'[3]shipper master'!C15</f>
        <v xml:space="preserve"> - SAME AS BUYER -</v>
      </c>
      <c r="B13" s="212"/>
      <c r="C13" s="212"/>
      <c r="D13" s="212"/>
      <c r="E13" s="229">
        <f>'[3]shipper master'!C30</f>
        <v>0</v>
      </c>
      <c r="F13" s="230"/>
      <c r="G13" s="230"/>
      <c r="H13" s="230"/>
      <c r="I13" s="230"/>
      <c r="J13" s="231"/>
      <c r="K13" s="224" t="s">
        <v>213</v>
      </c>
      <c r="L13" s="212"/>
    </row>
    <row r="14" spans="1:12" ht="13.4" customHeight="1">
      <c r="A14" s="3">
        <f>'[3]shipper master'!C16</f>
        <v>0</v>
      </c>
      <c r="B14" s="212"/>
      <c r="C14" s="212"/>
      <c r="D14" s="212"/>
      <c r="E14" s="234" t="s">
        <v>24</v>
      </c>
      <c r="F14" s="3"/>
      <c r="G14" s="3"/>
      <c r="H14" s="3"/>
      <c r="I14" s="3"/>
      <c r="J14" s="235"/>
      <c r="K14" s="224"/>
      <c r="L14" s="212"/>
    </row>
    <row r="15" spans="1:12" ht="13.4" customHeight="1">
      <c r="A15" s="3">
        <f>'[3]shipper master'!C17</f>
        <v>0</v>
      </c>
      <c r="B15" s="212"/>
      <c r="C15" s="212"/>
      <c r="D15" s="212"/>
      <c r="E15" s="229">
        <f>'[3]shipper master'!C29</f>
        <v>0</v>
      </c>
      <c r="F15" s="230"/>
      <c r="G15" s="230"/>
      <c r="H15" s="230"/>
      <c r="I15" s="230"/>
      <c r="J15" s="231"/>
      <c r="K15" s="222"/>
      <c r="L15" s="212"/>
    </row>
    <row r="16" spans="1:12" ht="13.4" customHeight="1">
      <c r="A16" s="3">
        <f>'[3]shipper master'!C18</f>
        <v>0</v>
      </c>
      <c r="B16" s="212"/>
      <c r="C16" s="212"/>
      <c r="D16" s="212"/>
      <c r="E16" s="223" t="s">
        <v>214</v>
      </c>
      <c r="F16" s="216"/>
      <c r="G16" s="216"/>
      <c r="H16" s="216"/>
      <c r="I16" s="212"/>
      <c r="J16" s="212"/>
      <c r="K16" s="222"/>
      <c r="L16" s="212"/>
    </row>
    <row r="17" spans="1:12" ht="13.4" customHeight="1">
      <c r="A17" s="221">
        <f>'[3]shipper master'!C19</f>
        <v>0</v>
      </c>
      <c r="B17" s="236"/>
      <c r="C17" s="236"/>
      <c r="D17" s="236"/>
      <c r="E17" s="237"/>
      <c r="F17" s="238"/>
      <c r="G17" s="238"/>
      <c r="H17" s="238"/>
      <c r="I17" s="238"/>
      <c r="J17" s="239"/>
      <c r="K17" s="222"/>
      <c r="L17" s="212"/>
    </row>
    <row r="18" spans="1:12" ht="13.25" customHeight="1">
      <c r="A18" s="216" t="s">
        <v>215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22"/>
      <c r="L18" s="212"/>
    </row>
    <row r="19" spans="1:12" ht="13.25" customHeight="1">
      <c r="A19" s="221" t="str">
        <f>'[3]shipper master'!C21</f>
        <v xml:space="preserve"> NO COMMERCIAL</v>
      </c>
      <c r="B19" s="236"/>
      <c r="C19" s="236"/>
      <c r="D19" s="236"/>
      <c r="E19" s="236"/>
      <c r="F19" s="236"/>
      <c r="G19" s="236"/>
      <c r="H19" s="236"/>
      <c r="I19" s="236"/>
      <c r="J19" s="236"/>
      <c r="K19" s="240"/>
      <c r="L19" s="236"/>
    </row>
    <row r="20" spans="1:12" ht="13.25" customHeight="1">
      <c r="A20" s="216" t="s">
        <v>216</v>
      </c>
      <c r="B20" s="212"/>
      <c r="C20" s="241" t="s">
        <v>217</v>
      </c>
      <c r="D20" s="242"/>
      <c r="E20" s="216" t="s">
        <v>218</v>
      </c>
      <c r="F20" s="216"/>
      <c r="G20" s="216"/>
      <c r="H20" s="216"/>
      <c r="I20" s="243" t="s">
        <v>219</v>
      </c>
      <c r="J20" s="244"/>
      <c r="K20" s="216" t="s">
        <v>220</v>
      </c>
      <c r="L20" s="212"/>
    </row>
    <row r="21" spans="1:12" s="1" customFormat="1" ht="13.25" customHeight="1" thickBot="1">
      <c r="A21" s="3" t="str">
        <f>'[3]shipper master'!C24</f>
        <v xml:space="preserve"> AIRCRAFT</v>
      </c>
      <c r="B21" s="214"/>
      <c r="C21" s="245" t="str">
        <f>'[3]shipper master'!C32</f>
        <v xml:space="preserve"> TOKYO, JAPAN</v>
      </c>
      <c r="D21" s="4"/>
      <c r="E21" s="4"/>
      <c r="F21" s="4" t="str">
        <f>'[3]shipper master'!C33</f>
        <v xml:space="preserve"> HOCHIMINH-CITY, VIETNAM</v>
      </c>
      <c r="G21" s="3"/>
      <c r="H21" s="3"/>
      <c r="I21" s="214"/>
      <c r="J21" s="214"/>
      <c r="K21" s="4"/>
      <c r="L21" s="214"/>
    </row>
    <row r="22" spans="1:12" s="250" customFormat="1" ht="16.25" customHeight="1">
      <c r="A22" s="246" t="s">
        <v>221</v>
      </c>
      <c r="B22" s="246" t="s">
        <v>222</v>
      </c>
      <c r="C22" s="247" t="s">
        <v>223</v>
      </c>
      <c r="D22" s="246" t="s">
        <v>224</v>
      </c>
      <c r="E22" s="247"/>
      <c r="F22" s="247"/>
      <c r="G22" s="247" t="s">
        <v>225</v>
      </c>
      <c r="H22" s="247"/>
      <c r="I22" s="247"/>
      <c r="J22" s="248" t="s">
        <v>226</v>
      </c>
      <c r="K22" s="246" t="s">
        <v>227</v>
      </c>
      <c r="L22" s="249" t="s">
        <v>228</v>
      </c>
    </row>
    <row r="23" spans="1:12" ht="13.4" customHeight="1">
      <c r="A23" s="251"/>
      <c r="B23" s="252"/>
      <c r="C23" s="212"/>
      <c r="D23" s="252"/>
      <c r="E23" s="212"/>
      <c r="F23" s="212"/>
      <c r="G23" s="212"/>
      <c r="H23" s="212"/>
      <c r="I23" s="212"/>
      <c r="J23" s="253"/>
      <c r="K23" s="212"/>
      <c r="L23" s="222"/>
    </row>
    <row r="24" spans="1:12" s="1" customFormat="1" ht="13.4" customHeight="1">
      <c r="A24" s="254"/>
      <c r="B24" s="255" t="str">
        <f>'[3]shipper master'!C36</f>
        <v>FABRIC &amp; PARTS FOR WEAR &amp; SAMPLE CLOTHES</v>
      </c>
      <c r="C24" s="4"/>
      <c r="D24" s="4"/>
      <c r="E24" s="4"/>
      <c r="F24" s="4"/>
      <c r="G24" s="4"/>
      <c r="H24" s="4"/>
      <c r="I24" s="4"/>
      <c r="J24" s="256"/>
      <c r="K24" s="257" t="str">
        <f>'[3]shipper master'!C48</f>
        <v>F.O.B. TOKYO IN YEN</v>
      </c>
      <c r="L24" s="258"/>
    </row>
    <row r="25" spans="1:12" s="1" customFormat="1" ht="13.4" customHeight="1">
      <c r="A25" s="254"/>
      <c r="B25" s="255"/>
      <c r="C25" s="4"/>
      <c r="D25" s="4"/>
      <c r="E25" s="4"/>
      <c r="F25" s="4"/>
      <c r="G25" s="4"/>
      <c r="H25" s="4"/>
      <c r="I25" s="4"/>
      <c r="J25" s="256"/>
      <c r="K25" s="259"/>
      <c r="L25" s="258"/>
    </row>
    <row r="26" spans="1:12" s="1" customFormat="1" ht="13.4" customHeight="1">
      <c r="A26" s="260"/>
      <c r="B26" s="255">
        <f>'[3]shipper master'!C37</f>
        <v>0</v>
      </c>
      <c r="C26" s="4"/>
      <c r="D26" s="4"/>
      <c r="E26" s="3"/>
      <c r="F26" s="3"/>
      <c r="G26" s="3"/>
      <c r="H26" s="3"/>
      <c r="I26" s="3"/>
      <c r="J26" s="16"/>
      <c r="K26" s="261"/>
      <c r="L26" s="258"/>
    </row>
    <row r="27" spans="1:12" s="1" customFormat="1" ht="13.4" customHeight="1">
      <c r="A27" s="5"/>
      <c r="B27" s="4"/>
      <c r="C27" s="3"/>
      <c r="D27" s="4"/>
      <c r="E27" s="4"/>
      <c r="F27" s="4"/>
      <c r="G27" s="4"/>
      <c r="H27" s="4"/>
      <c r="I27" s="4"/>
      <c r="J27" s="262">
        <f>'NARITA '!E54</f>
        <v>821.5</v>
      </c>
      <c r="K27" s="263" t="str">
        <f>'[3]NARITA '!F28</f>
        <v>M.</v>
      </c>
      <c r="L27" s="264">
        <f>'NARITA '!H54</f>
        <v>1196427</v>
      </c>
    </row>
    <row r="28" spans="1:12" s="1" customFormat="1" ht="13.4" customHeight="1">
      <c r="A28" s="265"/>
      <c r="B28" s="22" t="str">
        <f>'[3]shipper master'!C38</f>
        <v>- DETAILS AS PER ATTACHED SHEET -</v>
      </c>
      <c r="C28" s="3"/>
      <c r="D28" s="4"/>
      <c r="E28" s="3"/>
      <c r="F28" s="3"/>
      <c r="G28" s="3"/>
      <c r="H28" s="3"/>
      <c r="I28" s="3"/>
      <c r="J28" s="262">
        <f>'NARITA '!E55</f>
        <v>453</v>
      </c>
      <c r="K28" s="263" t="str">
        <f>'[3]NARITA '!F29</f>
        <v>PCS.</v>
      </c>
      <c r="L28" s="264">
        <f>'NARITA '!H55</f>
        <v>18460</v>
      </c>
    </row>
    <row r="29" spans="1:12" s="1" customFormat="1" ht="13.4" customHeight="1">
      <c r="A29" s="265"/>
      <c r="B29" s="22"/>
      <c r="C29" s="3"/>
      <c r="D29" s="4"/>
      <c r="E29" s="3"/>
      <c r="F29" s="3"/>
      <c r="G29" s="3"/>
      <c r="H29" s="3"/>
      <c r="I29" s="3"/>
      <c r="J29" s="266">
        <f>'NARITA '!E56</f>
        <v>3</v>
      </c>
      <c r="K29" s="263" t="str">
        <f>'NARITA '!F56</f>
        <v>SET.</v>
      </c>
      <c r="L29" s="267">
        <f>'NARITA '!H56</f>
        <v>300</v>
      </c>
    </row>
    <row r="30" spans="1:12" s="1" customFormat="1" ht="17.25" customHeight="1" thickBot="1">
      <c r="A30" s="268"/>
      <c r="B30" s="269" t="s">
        <v>229</v>
      </c>
      <c r="C30" s="270">
        <f>'NARITA '!E54</f>
        <v>821.5</v>
      </c>
      <c r="D30" s="271" t="s">
        <v>86</v>
      </c>
      <c r="E30" s="272">
        <f>'NARITA '!E55</f>
        <v>453</v>
      </c>
      <c r="F30" s="272"/>
      <c r="G30" s="272"/>
      <c r="H30" s="273" t="e">
        <f>#REF!</f>
        <v>#REF!</v>
      </c>
      <c r="I30" s="274" t="s">
        <v>87</v>
      </c>
      <c r="J30" s="273">
        <f>'NARITA '!E56</f>
        <v>3</v>
      </c>
      <c r="K30" s="274" t="s">
        <v>107</v>
      </c>
      <c r="L30" s="275">
        <f>SUM(L27:L29)</f>
        <v>1215187</v>
      </c>
    </row>
    <row r="31" spans="1:12" s="1" customFormat="1" ht="13.4" customHeight="1" thickTop="1">
      <c r="A31" s="276"/>
      <c r="B31" s="277"/>
      <c r="C31" s="3"/>
      <c r="D31" s="278"/>
      <c r="E31" s="3"/>
      <c r="F31" s="278"/>
      <c r="G31" s="3"/>
      <c r="H31" s="3"/>
      <c r="I31" s="3"/>
      <c r="J31" s="265"/>
      <c r="K31" s="279"/>
      <c r="L31" s="276"/>
    </row>
    <row r="32" spans="1:12" s="1" customFormat="1" ht="13.4" customHeight="1">
      <c r="A32" s="3"/>
      <c r="B32" s="4"/>
      <c r="C32" s="3"/>
      <c r="D32" s="3"/>
      <c r="E32" s="3"/>
      <c r="F32" s="3"/>
      <c r="G32" s="3"/>
      <c r="H32" s="3"/>
      <c r="I32" s="3"/>
      <c r="J32" s="280"/>
      <c r="K32" s="279"/>
      <c r="L32" s="281"/>
    </row>
    <row r="33" spans="1:12" s="1" customFormat="1" ht="13.4" customHeight="1">
      <c r="A33" s="3" t="str">
        <f>'[3]shipper master'!C63</f>
        <v>" THESE GOODS WILL BE RETURN TO JAPAN</v>
      </c>
      <c r="B33" s="282"/>
      <c r="C33" s="282"/>
      <c r="D33" s="282"/>
      <c r="E33" s="282"/>
      <c r="F33" s="3"/>
      <c r="G33" s="3"/>
      <c r="H33" s="3" t="s">
        <v>230</v>
      </c>
      <c r="I33" s="3"/>
      <c r="J33" s="280" t="s">
        <v>231</v>
      </c>
      <c r="K33" s="279"/>
      <c r="L33" s="3"/>
    </row>
    <row r="34" spans="1:12" s="1" customFormat="1" ht="13.4" customHeight="1">
      <c r="A34" s="283" t="str">
        <f>'[3]shipper master'!C64</f>
        <v xml:space="preserve">  AFTER MANUFACTURED AT VIET NAM "</v>
      </c>
      <c r="B34" s="283"/>
      <c r="C34" s="283"/>
      <c r="D34" s="4"/>
      <c r="E34" s="3"/>
      <c r="F34" s="3"/>
      <c r="G34" s="3"/>
      <c r="H34" s="3" t="s">
        <v>232</v>
      </c>
      <c r="I34" s="3"/>
      <c r="J34" s="280" t="s">
        <v>233</v>
      </c>
      <c r="K34" s="279"/>
      <c r="L34" s="281"/>
    </row>
    <row r="35" spans="1:12" s="1" customFormat="1" ht="13.4" customHeight="1">
      <c r="A35" s="3"/>
      <c r="B35" s="4"/>
      <c r="C35" s="4">
        <f>'[3]shipper master'!C58</f>
        <v>0</v>
      </c>
      <c r="D35" s="4"/>
      <c r="E35" s="3"/>
      <c r="F35" s="3"/>
      <c r="G35" s="3"/>
      <c r="H35" s="3"/>
      <c r="I35" s="3"/>
      <c r="J35" s="265"/>
      <c r="K35" s="279"/>
      <c r="L35" s="3"/>
    </row>
    <row r="36" spans="1:12" s="1" customFormat="1" ht="13.4" customHeight="1">
      <c r="A36" s="4" t="str">
        <f>'[3]shipper master'!C60</f>
        <v>COUNTRY OF ORIGIN : JAPAN</v>
      </c>
      <c r="B36" s="4"/>
      <c r="C36" s="4"/>
      <c r="D36" s="4"/>
      <c r="E36" s="3"/>
      <c r="F36" s="3"/>
      <c r="G36" s="3"/>
      <c r="H36" s="3"/>
      <c r="I36" s="3"/>
      <c r="J36" s="265"/>
      <c r="K36" s="279"/>
      <c r="L36" s="3"/>
    </row>
    <row r="37" spans="1:12" s="1" customFormat="1" ht="13.4" customHeight="1">
      <c r="A37" s="4"/>
      <c r="B37" s="4"/>
      <c r="C37" s="4"/>
      <c r="D37" s="4"/>
      <c r="E37" s="3"/>
      <c r="F37" s="3"/>
      <c r="G37" s="3"/>
      <c r="H37" s="3"/>
      <c r="I37" s="3"/>
      <c r="J37" s="265"/>
      <c r="K37" s="279"/>
      <c r="L37" s="3"/>
    </row>
    <row r="38" spans="1:12" s="1" customFormat="1" ht="13.4" customHeight="1">
      <c r="A38" s="284" t="s">
        <v>234</v>
      </c>
      <c r="B38" s="285"/>
      <c r="C38" s="286" t="s">
        <v>203</v>
      </c>
      <c r="D38" s="4"/>
      <c r="E38" s="3"/>
      <c r="F38" s="3"/>
      <c r="G38" s="3"/>
      <c r="H38" s="3"/>
      <c r="I38" s="3"/>
      <c r="J38" s="265"/>
      <c r="K38" s="279"/>
      <c r="L38" s="3"/>
    </row>
    <row r="39" spans="1:12" s="1" customFormat="1" ht="13.4" customHeight="1">
      <c r="A39" s="284" t="s">
        <v>235</v>
      </c>
      <c r="B39" s="285"/>
      <c r="C39" s="287" t="s">
        <v>236</v>
      </c>
      <c r="D39" s="4"/>
      <c r="E39" s="3"/>
      <c r="F39" s="3"/>
      <c r="G39" s="3"/>
      <c r="H39" s="3"/>
      <c r="I39" s="3"/>
      <c r="J39" s="265"/>
      <c r="K39" s="279"/>
      <c r="L39" s="3"/>
    </row>
    <row r="40" spans="1:12" s="1" customFormat="1" ht="13.4" customHeight="1">
      <c r="A40" s="261"/>
      <c r="B40" s="255"/>
      <c r="C40" s="288"/>
      <c r="D40" s="255"/>
      <c r="E40" s="289"/>
      <c r="F40" s="289"/>
      <c r="G40" s="289"/>
      <c r="H40" s="3"/>
      <c r="I40" s="3"/>
      <c r="J40" s="265"/>
      <c r="K40" s="279"/>
      <c r="L40" s="3"/>
    </row>
    <row r="41" spans="1:12" ht="18" customHeight="1">
      <c r="A41" s="261"/>
      <c r="B41" s="212"/>
      <c r="C41" s="212"/>
      <c r="D41" s="212"/>
      <c r="E41" s="212"/>
      <c r="F41" s="212"/>
      <c r="G41" s="252"/>
      <c r="H41" s="212"/>
      <c r="I41" s="212"/>
      <c r="J41" s="252"/>
      <c r="K41" s="290"/>
      <c r="L41" s="212"/>
    </row>
    <row r="42" spans="1:12" ht="13.4" customHeight="1">
      <c r="A42" s="212"/>
      <c r="B42" s="291"/>
      <c r="C42" s="212"/>
      <c r="D42" s="212"/>
      <c r="E42" s="212"/>
      <c r="F42" s="212"/>
      <c r="G42" s="212"/>
      <c r="H42" s="212"/>
      <c r="I42" s="212"/>
      <c r="J42" s="292"/>
      <c r="K42" s="290"/>
      <c r="L42" s="212"/>
    </row>
    <row r="43" spans="1:12" ht="13.4" customHeight="1">
      <c r="A43" s="212"/>
      <c r="B43" s="291"/>
      <c r="C43" s="212"/>
      <c r="D43" s="212"/>
      <c r="E43" s="212"/>
      <c r="F43" s="212"/>
      <c r="G43" s="212"/>
      <c r="H43" s="212"/>
      <c r="I43" s="212"/>
      <c r="J43" s="292"/>
      <c r="K43" s="290"/>
      <c r="L43" s="212"/>
    </row>
    <row r="44" spans="1:12" ht="13.4" customHeight="1">
      <c r="A44" s="212"/>
      <c r="B44" s="212"/>
      <c r="C44" s="212"/>
      <c r="D44" s="212"/>
      <c r="E44" s="212"/>
      <c r="F44" s="212"/>
      <c r="G44" s="236"/>
      <c r="H44" s="236"/>
      <c r="I44" s="236"/>
      <c r="J44" s="293"/>
      <c r="K44" s="294"/>
      <c r="L44" s="236"/>
    </row>
    <row r="45" spans="1:12" ht="13.4" customHeight="1">
      <c r="A45" s="212"/>
      <c r="B45" s="212"/>
      <c r="C45" s="212"/>
      <c r="D45" s="212"/>
      <c r="E45" s="212"/>
      <c r="F45" s="212"/>
      <c r="G45" s="212"/>
      <c r="H45" s="212"/>
      <c r="I45" s="212"/>
      <c r="J45" s="292"/>
      <c r="K45" s="290"/>
      <c r="L45" s="212"/>
    </row>
    <row r="46" spans="1:12" ht="13.4" customHeight="1">
      <c r="A46" s="212"/>
      <c r="B46" s="212"/>
      <c r="C46" s="212"/>
      <c r="D46" s="212"/>
      <c r="E46" s="212"/>
      <c r="F46" s="212"/>
      <c r="G46" s="212"/>
      <c r="H46" s="212"/>
      <c r="I46" s="212"/>
      <c r="J46" s="292"/>
      <c r="K46" s="290"/>
      <c r="L46" s="212"/>
    </row>
    <row r="47" spans="1:12" ht="13.4" customHeight="1">
      <c r="A47" s="212"/>
      <c r="B47" s="212"/>
      <c r="C47" s="212"/>
      <c r="D47" s="212"/>
      <c r="E47" s="212"/>
      <c r="F47" s="212"/>
      <c r="G47" s="212"/>
      <c r="H47" s="212"/>
      <c r="I47" s="212"/>
      <c r="J47" s="292"/>
      <c r="K47" s="290"/>
      <c r="L47" s="212"/>
    </row>
    <row r="48" spans="1:12">
      <c r="A48" s="212"/>
      <c r="B48" s="212"/>
      <c r="C48" s="212"/>
      <c r="D48" s="212"/>
      <c r="E48" s="212"/>
      <c r="F48" s="212"/>
      <c r="G48" s="212"/>
      <c r="H48" s="212"/>
      <c r="I48" s="212"/>
      <c r="J48" s="292"/>
      <c r="K48" s="290"/>
      <c r="L48" s="212"/>
    </row>
    <row r="49" spans="1:12">
      <c r="A49" s="212"/>
      <c r="B49" s="212"/>
      <c r="C49" s="212"/>
      <c r="D49" s="212"/>
      <c r="E49" s="212"/>
      <c r="F49" s="212"/>
      <c r="G49" s="212"/>
      <c r="H49" s="212"/>
      <c r="I49" s="212"/>
      <c r="J49" s="292"/>
      <c r="K49" s="295"/>
      <c r="L49" s="212"/>
    </row>
    <row r="50" spans="1:12">
      <c r="A50" s="212"/>
      <c r="B50" s="212"/>
      <c r="C50" s="212"/>
      <c r="D50" s="212"/>
      <c r="E50" s="212"/>
      <c r="F50" s="212"/>
      <c r="G50" s="212"/>
      <c r="H50" s="212"/>
      <c r="I50" s="212"/>
      <c r="J50" s="292"/>
      <c r="K50" s="295"/>
      <c r="L50" s="212"/>
    </row>
    <row r="51" spans="1:12">
      <c r="A51" s="212"/>
      <c r="B51" s="212"/>
      <c r="C51" s="212"/>
      <c r="D51" s="212"/>
      <c r="E51" s="212"/>
      <c r="F51" s="212"/>
      <c r="G51" s="212"/>
      <c r="H51" s="212"/>
      <c r="I51" s="212"/>
      <c r="J51" s="292"/>
      <c r="K51" s="295"/>
      <c r="L51" s="212"/>
    </row>
    <row r="52" spans="1:12">
      <c r="A52" s="212"/>
      <c r="B52" s="212"/>
      <c r="C52" s="212"/>
      <c r="D52" s="212"/>
      <c r="E52" s="212"/>
      <c r="F52" s="212"/>
      <c r="G52" s="212"/>
      <c r="H52" s="212"/>
      <c r="I52" s="212"/>
      <c r="J52" s="292"/>
      <c r="K52" s="295"/>
      <c r="L52" s="212"/>
    </row>
    <row r="53" spans="1:12">
      <c r="A53" s="212"/>
      <c r="B53" s="212"/>
      <c r="C53" s="212"/>
      <c r="D53" s="212"/>
      <c r="E53" s="212"/>
      <c r="F53" s="212"/>
      <c r="G53" s="212"/>
      <c r="H53" s="212"/>
      <c r="I53" s="212"/>
      <c r="J53" s="292"/>
      <c r="K53" s="295"/>
      <c r="L53" s="212"/>
    </row>
    <row r="54" spans="1:12">
      <c r="A54" s="212"/>
      <c r="B54" s="212"/>
      <c r="C54" s="212"/>
      <c r="D54" s="212"/>
      <c r="E54" s="212"/>
      <c r="F54" s="212"/>
      <c r="G54" s="212"/>
      <c r="H54" s="212"/>
      <c r="I54" s="212"/>
      <c r="J54" s="292"/>
      <c r="K54" s="295"/>
      <c r="L54" s="212"/>
    </row>
    <row r="55" spans="1:12">
      <c r="A55" s="212"/>
      <c r="B55" s="212"/>
      <c r="C55" s="212"/>
      <c r="D55" s="212"/>
      <c r="E55" s="212"/>
      <c r="F55" s="212"/>
      <c r="G55" s="212"/>
      <c r="H55" s="212"/>
      <c r="I55" s="212"/>
      <c r="J55" s="292"/>
      <c r="K55" s="295"/>
      <c r="L55" s="212"/>
    </row>
    <row r="56" spans="1:12">
      <c r="A56" s="212"/>
      <c r="B56" s="212"/>
      <c r="C56" s="212"/>
      <c r="D56" s="212"/>
      <c r="E56" s="212"/>
      <c r="F56" s="212"/>
      <c r="G56" s="212"/>
      <c r="H56" s="212"/>
      <c r="I56" s="212"/>
      <c r="J56" s="292"/>
      <c r="K56" s="295"/>
      <c r="L56" s="212"/>
    </row>
    <row r="57" spans="1:12">
      <c r="A57" s="212"/>
      <c r="B57" s="212"/>
      <c r="C57" s="212"/>
      <c r="D57" s="212"/>
      <c r="E57" s="212"/>
      <c r="F57" s="212"/>
      <c r="G57" s="212"/>
      <c r="H57" s="212"/>
      <c r="I57" s="212"/>
      <c r="J57" s="292"/>
      <c r="K57" s="295"/>
      <c r="L57" s="212"/>
    </row>
    <row r="58" spans="1:12">
      <c r="A58" s="212"/>
      <c r="B58" s="212"/>
      <c r="C58" s="212"/>
      <c r="D58" s="212"/>
      <c r="E58" s="212"/>
      <c r="F58" s="212"/>
      <c r="G58" s="212"/>
      <c r="H58" s="212"/>
      <c r="I58" s="212"/>
      <c r="J58" s="292"/>
      <c r="K58" s="295"/>
      <c r="L58" s="212"/>
    </row>
    <row r="59" spans="1:12">
      <c r="A59" s="212"/>
      <c r="B59" s="212"/>
      <c r="C59" s="212"/>
      <c r="D59" s="212"/>
      <c r="E59" s="212"/>
      <c r="F59" s="212"/>
      <c r="G59" s="212"/>
      <c r="H59" s="212"/>
      <c r="I59" s="212"/>
      <c r="J59" s="292"/>
      <c r="K59" s="295"/>
      <c r="L59" s="212"/>
    </row>
    <row r="60" spans="1:12">
      <c r="A60" s="212"/>
      <c r="B60" s="212"/>
      <c r="C60" s="212"/>
      <c r="D60" s="212"/>
      <c r="E60" s="212"/>
      <c r="F60" s="212"/>
      <c r="G60" s="212"/>
      <c r="H60" s="212"/>
      <c r="I60" s="212"/>
      <c r="J60" s="292"/>
      <c r="K60" s="295"/>
      <c r="L60" s="212"/>
    </row>
    <row r="61" spans="1:12">
      <c r="A61" s="212"/>
      <c r="B61" s="212"/>
      <c r="C61" s="212"/>
      <c r="D61" s="212"/>
      <c r="E61" s="212"/>
      <c r="F61" s="212"/>
      <c r="G61" s="212"/>
      <c r="H61" s="212"/>
      <c r="I61" s="212"/>
      <c r="J61" s="292"/>
      <c r="K61" s="295"/>
      <c r="L61" s="212"/>
    </row>
    <row r="62" spans="1:12">
      <c r="A62" s="212"/>
      <c r="B62" s="212"/>
      <c r="C62" s="212"/>
      <c r="D62" s="212"/>
      <c r="E62" s="212"/>
      <c r="F62" s="212"/>
      <c r="G62" s="212"/>
      <c r="H62" s="212"/>
      <c r="I62" s="212"/>
      <c r="J62" s="292"/>
      <c r="K62" s="295"/>
      <c r="L62" s="212"/>
    </row>
    <row r="63" spans="1:12">
      <c r="A63" s="212"/>
      <c r="B63" s="212"/>
      <c r="C63" s="212"/>
      <c r="D63" s="212"/>
      <c r="E63" s="212"/>
      <c r="F63" s="212"/>
      <c r="G63" s="212"/>
      <c r="H63" s="212"/>
      <c r="I63" s="212"/>
      <c r="J63" s="292"/>
      <c r="K63" s="295"/>
      <c r="L63" s="212"/>
    </row>
    <row r="64" spans="1:12">
      <c r="A64" s="212"/>
      <c r="B64" s="212"/>
      <c r="C64" s="212"/>
      <c r="D64" s="212"/>
      <c r="E64" s="212"/>
      <c r="F64" s="212"/>
      <c r="G64" s="212"/>
      <c r="H64" s="212"/>
      <c r="I64" s="212"/>
      <c r="J64" s="292"/>
      <c r="K64" s="295"/>
      <c r="L64" s="212"/>
    </row>
    <row r="65" spans="1:12">
      <c r="A65" s="212"/>
      <c r="B65" s="212"/>
      <c r="C65" s="212"/>
      <c r="D65" s="212"/>
      <c r="E65" s="212"/>
      <c r="F65" s="212"/>
      <c r="G65" s="212"/>
      <c r="H65" s="212"/>
      <c r="I65" s="212"/>
      <c r="J65" s="292"/>
      <c r="K65" s="295"/>
      <c r="L65" s="212"/>
    </row>
    <row r="66" spans="1:12">
      <c r="A66" s="212"/>
      <c r="B66" s="212"/>
      <c r="C66" s="212"/>
      <c r="D66" s="212"/>
      <c r="E66" s="212"/>
      <c r="F66" s="212"/>
      <c r="G66" s="212"/>
      <c r="H66" s="212"/>
      <c r="I66" s="212"/>
      <c r="J66" s="292"/>
      <c r="K66" s="295"/>
      <c r="L66" s="212"/>
    </row>
    <row r="67" spans="1:12">
      <c r="A67" s="212"/>
      <c r="B67" s="212"/>
      <c r="C67" s="212"/>
      <c r="D67" s="212"/>
      <c r="E67" s="212"/>
      <c r="F67" s="212"/>
      <c r="G67" s="212"/>
      <c r="H67" s="212"/>
      <c r="I67" s="212"/>
      <c r="J67" s="292"/>
      <c r="K67" s="295"/>
      <c r="L67" s="212"/>
    </row>
    <row r="68" spans="1:12">
      <c r="A68" s="212"/>
      <c r="B68" s="212"/>
      <c r="C68" s="212"/>
      <c r="D68" s="212"/>
      <c r="E68" s="212"/>
      <c r="F68" s="212"/>
      <c r="G68" s="212"/>
      <c r="H68" s="212"/>
      <c r="I68" s="212"/>
      <c r="J68" s="292"/>
      <c r="K68" s="295"/>
      <c r="L68" s="212"/>
    </row>
    <row r="69" spans="1:12">
      <c r="A69" s="212"/>
      <c r="B69" s="212"/>
      <c r="C69" s="212"/>
      <c r="D69" s="212"/>
      <c r="E69" s="212"/>
      <c r="F69" s="212"/>
      <c r="G69" s="212"/>
      <c r="H69" s="212"/>
      <c r="I69" s="212"/>
      <c r="J69" s="292"/>
      <c r="K69" s="295"/>
      <c r="L69" s="212"/>
    </row>
    <row r="70" spans="1:12">
      <c r="A70" s="212"/>
      <c r="B70" s="212"/>
      <c r="C70" s="212"/>
      <c r="D70" s="212"/>
      <c r="E70" s="212"/>
      <c r="F70" s="212"/>
      <c r="G70" s="212"/>
      <c r="H70" s="212"/>
      <c r="I70" s="212"/>
      <c r="J70" s="292"/>
      <c r="K70" s="295"/>
      <c r="L70" s="212"/>
    </row>
    <row r="71" spans="1:12">
      <c r="A71" s="212"/>
      <c r="B71" s="212"/>
      <c r="C71" s="212"/>
      <c r="D71" s="212"/>
      <c r="E71" s="212"/>
      <c r="F71" s="212"/>
      <c r="G71" s="212"/>
      <c r="H71" s="212"/>
      <c r="I71" s="212"/>
      <c r="J71" s="292"/>
      <c r="K71" s="295"/>
      <c r="L71" s="212"/>
    </row>
    <row r="72" spans="1:12">
      <c r="J72" s="296"/>
      <c r="K72" s="297"/>
    </row>
    <row r="73" spans="1:12">
      <c r="J73" s="296"/>
      <c r="K73" s="297"/>
    </row>
    <row r="74" spans="1:12">
      <c r="K74" s="297"/>
    </row>
    <row r="75" spans="1:12">
      <c r="K75" s="297"/>
    </row>
    <row r="76" spans="1:12">
      <c r="K76" s="297"/>
    </row>
    <row r="77" spans="1:12">
      <c r="K77" s="297"/>
    </row>
    <row r="78" spans="1:12">
      <c r="K78" s="297"/>
    </row>
    <row r="79" spans="1:12">
      <c r="K79" s="297"/>
    </row>
    <row r="80" spans="1:12">
      <c r="K80" s="297"/>
    </row>
    <row r="81" spans="11:11">
      <c r="K81" s="297"/>
    </row>
    <row r="82" spans="11:11">
      <c r="K82" s="297"/>
    </row>
    <row r="83" spans="11:11">
      <c r="K83" s="297"/>
    </row>
    <row r="84" spans="11:11">
      <c r="K84" s="297"/>
    </row>
    <row r="85" spans="11:11">
      <c r="K85" s="297"/>
    </row>
    <row r="86" spans="11:11">
      <c r="K86" s="297"/>
    </row>
    <row r="87" spans="11:11">
      <c r="K87" s="297"/>
    </row>
    <row r="88" spans="11:11">
      <c r="K88" s="297"/>
    </row>
    <row r="89" spans="11:11">
      <c r="K89" s="297"/>
    </row>
    <row r="90" spans="11:11">
      <c r="K90" s="297"/>
    </row>
    <row r="91" spans="11:11">
      <c r="K91" s="297"/>
    </row>
  </sheetData>
  <mergeCells count="7">
    <mergeCell ref="A34:C34"/>
    <mergeCell ref="A1:L1"/>
    <mergeCell ref="E11:J11"/>
    <mergeCell ref="E13:J13"/>
    <mergeCell ref="E15:J15"/>
    <mergeCell ref="E17:J17"/>
    <mergeCell ref="E30:G30"/>
  </mergeCells>
  <phoneticPr fontId="11"/>
  <pageMargins left="0.39370078740157483" right="0.19685039370078741" top="0.59055118110236227" bottom="0.39370078740157483" header="0.51181102362204722" footer="0.51181102362204722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09"/>
  <sheetViews>
    <sheetView view="pageBreakPreview" topLeftCell="A22" zoomScale="80" zoomScaleNormal="90" zoomScaleSheetLayoutView="80" workbookViewId="0">
      <selection activeCell="D38" sqref="D38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53.0898437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194" t="s">
        <v>100</v>
      </c>
      <c r="B2" s="194"/>
      <c r="C2" s="194"/>
      <c r="D2" s="194"/>
      <c r="E2" s="194"/>
      <c r="F2" s="194"/>
      <c r="G2" s="194"/>
      <c r="H2" s="194"/>
      <c r="I2" s="63"/>
      <c r="L2" s="64"/>
      <c r="M2" s="64"/>
      <c r="N2" s="64"/>
    </row>
    <row r="3" spans="1:14" ht="15.5" thickBot="1">
      <c r="A3" s="65"/>
      <c r="B3" s="66"/>
      <c r="C3" s="65"/>
      <c r="D3" s="65"/>
      <c r="E3" s="65"/>
      <c r="F3" s="65"/>
      <c r="G3" s="65"/>
      <c r="H3" s="65"/>
      <c r="I3" s="63"/>
      <c r="L3" s="64"/>
      <c r="M3" s="64"/>
      <c r="N3" s="64"/>
    </row>
    <row r="4" spans="1:14" ht="21.75" customHeight="1" thickBot="1">
      <c r="A4" s="67" t="s">
        <v>36</v>
      </c>
      <c r="B4" s="24" t="s">
        <v>98</v>
      </c>
      <c r="C4" s="67" t="s">
        <v>88</v>
      </c>
      <c r="D4" s="23" t="s">
        <v>89</v>
      </c>
      <c r="E4" s="67" t="s">
        <v>90</v>
      </c>
      <c r="F4" s="195" t="s">
        <v>91</v>
      </c>
      <c r="G4" s="196"/>
      <c r="H4" s="68" t="s">
        <v>92</v>
      </c>
      <c r="I4" s="69" t="s">
        <v>93</v>
      </c>
      <c r="J4" s="70" t="s">
        <v>94</v>
      </c>
      <c r="K4" s="71" t="s">
        <v>95</v>
      </c>
      <c r="L4" s="72" t="s">
        <v>110</v>
      </c>
      <c r="M4" s="72" t="s">
        <v>96</v>
      </c>
      <c r="N4" s="73" t="s">
        <v>97</v>
      </c>
    </row>
    <row r="5" spans="1:14">
      <c r="A5" s="74"/>
      <c r="B5" s="75"/>
      <c r="C5" s="76"/>
      <c r="D5" s="77"/>
      <c r="E5" s="76"/>
      <c r="F5" s="76"/>
      <c r="G5" s="78"/>
      <c r="H5" s="78"/>
      <c r="I5" s="79"/>
      <c r="J5" s="80"/>
      <c r="K5" s="80"/>
      <c r="L5" s="80"/>
      <c r="M5" s="80"/>
      <c r="N5" s="81"/>
    </row>
    <row r="6" spans="1:14">
      <c r="A6" s="82"/>
      <c r="B6" s="83" t="s">
        <v>99</v>
      </c>
      <c r="C6" s="76"/>
      <c r="D6" s="84" t="str">
        <f>[1]invoice!B24</f>
        <v>FABRIC &amp; PARTS FOR WEAR &amp; SAMPLE CLOTHES</v>
      </c>
      <c r="E6" s="78"/>
      <c r="F6" s="78"/>
      <c r="G6" s="85" t="str">
        <f>'[2]shipper master'!C48</f>
        <v>F.O.B. TOKYO IN YEN</v>
      </c>
      <c r="H6" s="78"/>
      <c r="I6" s="86"/>
      <c r="J6" s="87"/>
      <c r="K6" s="87"/>
      <c r="L6" s="87"/>
      <c r="M6" s="87"/>
      <c r="N6" s="88"/>
    </row>
    <row r="7" spans="1:14" ht="15.5" thickBot="1">
      <c r="A7" s="89"/>
      <c r="B7" s="90"/>
      <c r="C7" s="91"/>
      <c r="D7" s="92" t="s">
        <v>111</v>
      </c>
      <c r="E7" s="91"/>
      <c r="F7" s="91"/>
      <c r="G7" s="93"/>
      <c r="H7" s="20"/>
      <c r="I7" s="94"/>
      <c r="J7" s="95"/>
      <c r="K7" s="95"/>
      <c r="L7" s="95"/>
      <c r="M7" s="96"/>
      <c r="N7" s="97"/>
    </row>
    <row r="8" spans="1:14" ht="15.5" customHeight="1">
      <c r="A8" s="197" t="s">
        <v>150</v>
      </c>
      <c r="B8" s="29"/>
      <c r="C8" s="29"/>
      <c r="D8" s="318" t="s">
        <v>133</v>
      </c>
      <c r="E8" s="98"/>
      <c r="F8" s="98"/>
      <c r="G8" s="99"/>
      <c r="H8" s="100"/>
      <c r="I8" s="101"/>
      <c r="J8" s="102"/>
      <c r="K8" s="100"/>
      <c r="L8" s="100"/>
      <c r="M8" s="100"/>
      <c r="N8" s="191">
        <v>2</v>
      </c>
    </row>
    <row r="9" spans="1:14">
      <c r="A9" s="198"/>
      <c r="B9" s="30" t="s">
        <v>127</v>
      </c>
      <c r="C9" s="103" t="s">
        <v>131</v>
      </c>
      <c r="D9" s="31" t="s">
        <v>121</v>
      </c>
      <c r="E9" s="104">
        <v>24</v>
      </c>
      <c r="F9" s="105" t="s">
        <v>86</v>
      </c>
      <c r="G9" s="106">
        <v>1200</v>
      </c>
      <c r="H9" s="107">
        <f>E9*G9</f>
        <v>28800</v>
      </c>
      <c r="I9" s="108"/>
      <c r="J9" s="109"/>
      <c r="K9" s="78"/>
      <c r="L9" s="110"/>
      <c r="M9" s="78"/>
      <c r="N9" s="192"/>
    </row>
    <row r="10" spans="1:14" ht="16.5">
      <c r="A10" s="198"/>
      <c r="B10" s="21" t="s">
        <v>121</v>
      </c>
      <c r="C10" s="103" t="s">
        <v>132</v>
      </c>
      <c r="D10" s="31" t="s">
        <v>129</v>
      </c>
      <c r="E10" s="104">
        <v>13</v>
      </c>
      <c r="F10" s="105" t="s">
        <v>86</v>
      </c>
      <c r="G10" s="106">
        <v>1200</v>
      </c>
      <c r="H10" s="107">
        <f t="shared" ref="H10" si="0">E10*G10</f>
        <v>15600</v>
      </c>
      <c r="I10" s="112" t="s">
        <v>134</v>
      </c>
      <c r="J10" s="113" t="s">
        <v>175</v>
      </c>
      <c r="K10" s="78"/>
      <c r="L10" s="78"/>
      <c r="M10" s="78"/>
      <c r="N10" s="192"/>
    </row>
    <row r="11" spans="1:14" ht="16.5">
      <c r="A11" s="198"/>
      <c r="B11" s="33" t="s">
        <v>128</v>
      </c>
      <c r="C11" s="103"/>
      <c r="D11" s="32" t="s">
        <v>130</v>
      </c>
      <c r="E11" s="104"/>
      <c r="F11" s="105"/>
      <c r="G11" s="106"/>
      <c r="H11" s="107"/>
      <c r="I11" s="16"/>
      <c r="J11" s="114"/>
      <c r="K11" s="78"/>
      <c r="L11" s="78"/>
      <c r="M11" s="78"/>
      <c r="N11" s="192"/>
    </row>
    <row r="12" spans="1:14" ht="15.5" thickBot="1">
      <c r="A12" s="199"/>
      <c r="B12" s="35" t="s">
        <v>120</v>
      </c>
      <c r="C12" s="115"/>
      <c r="D12" s="34"/>
      <c r="E12" s="116"/>
      <c r="F12" s="116"/>
      <c r="G12" s="117"/>
      <c r="H12" s="118"/>
      <c r="I12" s="119"/>
      <c r="J12" s="120"/>
      <c r="K12" s="19"/>
      <c r="L12" s="19"/>
      <c r="M12" s="19"/>
      <c r="N12" s="193"/>
    </row>
    <row r="13" spans="1:14" ht="15.5" thickBot="1">
      <c r="A13" s="39"/>
      <c r="B13" s="37"/>
      <c r="C13" s="122"/>
      <c r="D13" s="36"/>
      <c r="E13" s="123"/>
      <c r="F13" s="123"/>
      <c r="G13" s="124"/>
      <c r="H13" s="125"/>
      <c r="I13" s="16"/>
      <c r="J13" s="126"/>
      <c r="K13" s="16"/>
      <c r="L13" s="16"/>
      <c r="M13" s="16"/>
      <c r="N13" s="111"/>
    </row>
    <row r="14" spans="1:14" ht="15.5" customHeight="1">
      <c r="A14" s="197" t="s">
        <v>151</v>
      </c>
      <c r="B14" s="29"/>
      <c r="C14" s="29"/>
      <c r="D14" s="318" t="s">
        <v>133</v>
      </c>
      <c r="E14" s="98"/>
      <c r="F14" s="98"/>
      <c r="G14" s="99"/>
      <c r="H14" s="100"/>
      <c r="I14" s="101"/>
      <c r="J14" s="102"/>
      <c r="K14" s="100"/>
      <c r="L14" s="100"/>
      <c r="M14" s="100"/>
      <c r="N14" s="191">
        <v>3</v>
      </c>
    </row>
    <row r="15" spans="1:14">
      <c r="A15" s="198"/>
      <c r="B15" s="30" t="s">
        <v>135</v>
      </c>
      <c r="C15" s="103" t="s">
        <v>124</v>
      </c>
      <c r="D15" s="31" t="s">
        <v>121</v>
      </c>
      <c r="E15" s="104">
        <v>87.5</v>
      </c>
      <c r="F15" s="105" t="s">
        <v>86</v>
      </c>
      <c r="G15" s="106">
        <v>1150</v>
      </c>
      <c r="H15" s="107">
        <f>E15*G15</f>
        <v>100625</v>
      </c>
      <c r="I15" s="108"/>
      <c r="J15" s="109"/>
      <c r="K15" s="78"/>
      <c r="L15" s="110"/>
      <c r="M15" s="78"/>
      <c r="N15" s="192"/>
    </row>
    <row r="16" spans="1:14">
      <c r="A16" s="198"/>
      <c r="B16" s="21" t="s">
        <v>121</v>
      </c>
      <c r="C16" s="103" t="s">
        <v>138</v>
      </c>
      <c r="D16" s="31" t="s">
        <v>163</v>
      </c>
      <c r="E16" s="104">
        <v>41.2</v>
      </c>
      <c r="F16" s="105" t="s">
        <v>86</v>
      </c>
      <c r="G16" s="106">
        <v>1150</v>
      </c>
      <c r="H16" s="157">
        <f>E16*G16</f>
        <v>47380</v>
      </c>
      <c r="I16" s="112" t="s">
        <v>165</v>
      </c>
      <c r="J16" s="113" t="s">
        <v>176</v>
      </c>
      <c r="K16" s="78"/>
      <c r="L16" s="78"/>
      <c r="M16" s="78"/>
      <c r="N16" s="192"/>
    </row>
    <row r="17" spans="1:14" ht="16.5">
      <c r="A17" s="198"/>
      <c r="B17" s="33" t="s">
        <v>136</v>
      </c>
      <c r="C17" s="103"/>
      <c r="D17" s="32" t="s">
        <v>137</v>
      </c>
      <c r="E17" s="104"/>
      <c r="F17" s="105"/>
      <c r="G17" s="106"/>
      <c r="H17" s="107"/>
      <c r="I17" s="16"/>
      <c r="J17" s="114"/>
      <c r="K17" s="78"/>
      <c r="L17" s="78"/>
      <c r="M17" s="78"/>
      <c r="N17" s="192"/>
    </row>
    <row r="18" spans="1:14" ht="15.5" thickBot="1">
      <c r="A18" s="199"/>
      <c r="B18" s="35" t="s">
        <v>120</v>
      </c>
      <c r="C18" s="115"/>
      <c r="D18" s="34"/>
      <c r="E18" s="116"/>
      <c r="F18" s="116"/>
      <c r="G18" s="117"/>
      <c r="H18" s="118"/>
      <c r="I18" s="119"/>
      <c r="J18" s="120"/>
      <c r="K18" s="19"/>
      <c r="L18" s="19"/>
      <c r="M18" s="19"/>
      <c r="N18" s="193"/>
    </row>
    <row r="19" spans="1:14" ht="15.5" thickBot="1">
      <c r="A19" s="39"/>
      <c r="B19" s="37"/>
      <c r="C19" s="122"/>
      <c r="D19" s="36"/>
      <c r="E19" s="123"/>
      <c r="F19" s="123"/>
      <c r="G19" s="124"/>
      <c r="H19" s="125"/>
      <c r="I19" s="16"/>
      <c r="J19" s="126"/>
      <c r="K19" s="16"/>
      <c r="L19" s="16"/>
      <c r="M19" s="16"/>
      <c r="N19" s="111"/>
    </row>
    <row r="20" spans="1:14" ht="15.5" customHeight="1">
      <c r="A20" s="197" t="s">
        <v>198</v>
      </c>
      <c r="B20" s="29"/>
      <c r="C20" s="29"/>
      <c r="D20" s="318" t="s">
        <v>190</v>
      </c>
      <c r="E20" s="98"/>
      <c r="F20" s="98"/>
      <c r="G20" s="99"/>
      <c r="H20" s="100"/>
      <c r="I20" s="101"/>
      <c r="J20" s="102"/>
      <c r="K20" s="100"/>
      <c r="L20" s="100"/>
      <c r="M20" s="100"/>
      <c r="N20" s="191">
        <v>2</v>
      </c>
    </row>
    <row r="21" spans="1:14">
      <c r="A21" s="198"/>
      <c r="B21" s="30" t="s">
        <v>166</v>
      </c>
      <c r="C21" s="103" t="s">
        <v>169</v>
      </c>
      <c r="D21" s="31" t="s">
        <v>102</v>
      </c>
      <c r="E21" s="104">
        <v>34</v>
      </c>
      <c r="F21" s="105" t="s">
        <v>86</v>
      </c>
      <c r="G21" s="106">
        <v>990</v>
      </c>
      <c r="H21" s="107">
        <f>E21*G21</f>
        <v>33660</v>
      </c>
      <c r="I21" s="108"/>
      <c r="J21" s="109"/>
      <c r="K21" s="78"/>
      <c r="L21" s="110"/>
      <c r="M21" s="78"/>
      <c r="N21" s="192"/>
    </row>
    <row r="22" spans="1:14">
      <c r="A22" s="198"/>
      <c r="B22" s="21" t="s">
        <v>167</v>
      </c>
      <c r="C22" s="103" t="s">
        <v>170</v>
      </c>
      <c r="D22" s="31" t="s">
        <v>171</v>
      </c>
      <c r="E22" s="104">
        <v>34</v>
      </c>
      <c r="F22" s="105" t="s">
        <v>86</v>
      </c>
      <c r="G22" s="106">
        <v>990</v>
      </c>
      <c r="H22" s="200">
        <f>E22*G22</f>
        <v>33660</v>
      </c>
      <c r="I22" s="112" t="s">
        <v>173</v>
      </c>
      <c r="J22" s="113" t="s">
        <v>175</v>
      </c>
      <c r="K22" s="78"/>
      <c r="L22" s="78"/>
      <c r="M22" s="78"/>
      <c r="N22" s="192"/>
    </row>
    <row r="23" spans="1:14" ht="16.5">
      <c r="A23" s="198"/>
      <c r="B23" s="33" t="s">
        <v>178</v>
      </c>
      <c r="C23" s="103"/>
      <c r="D23" s="32" t="s">
        <v>172</v>
      </c>
      <c r="E23" s="104"/>
      <c r="F23" s="105"/>
      <c r="G23" s="106"/>
      <c r="H23" s="107"/>
      <c r="I23" s="112" t="s">
        <v>174</v>
      </c>
      <c r="J23" s="114"/>
      <c r="K23" s="78"/>
      <c r="L23" s="78"/>
      <c r="M23" s="78"/>
      <c r="N23" s="192"/>
    </row>
    <row r="24" spans="1:14" ht="15.5" thickBot="1">
      <c r="A24" s="199"/>
      <c r="B24" s="35" t="s">
        <v>168</v>
      </c>
      <c r="C24" s="115"/>
      <c r="D24" s="34"/>
      <c r="E24" s="116"/>
      <c r="F24" s="116"/>
      <c r="G24" s="117"/>
      <c r="H24" s="118"/>
      <c r="I24" s="119"/>
      <c r="J24" s="120"/>
      <c r="K24" s="19"/>
      <c r="L24" s="19"/>
      <c r="M24" s="19"/>
      <c r="N24" s="193"/>
    </row>
    <row r="25" spans="1:14" ht="15.5" thickBot="1">
      <c r="A25" s="39"/>
      <c r="B25" s="37"/>
      <c r="C25" s="122"/>
      <c r="D25" s="36"/>
      <c r="E25" s="123"/>
      <c r="F25" s="123"/>
      <c r="G25" s="124"/>
      <c r="H25" s="125"/>
      <c r="I25" s="16"/>
      <c r="J25" s="126"/>
      <c r="K25" s="16"/>
      <c r="L25" s="16"/>
      <c r="M25" s="16"/>
      <c r="N25" s="111"/>
    </row>
    <row r="26" spans="1:14" ht="15.5" customHeight="1">
      <c r="A26" s="197" t="s">
        <v>199</v>
      </c>
      <c r="B26" s="29"/>
      <c r="C26" s="29"/>
      <c r="D26" s="318" t="s">
        <v>182</v>
      </c>
      <c r="E26" s="98"/>
      <c r="F26" s="98"/>
      <c r="G26" s="99"/>
      <c r="H26" s="100"/>
      <c r="I26" s="101"/>
      <c r="J26" s="102"/>
      <c r="K26" s="100"/>
      <c r="L26" s="100"/>
      <c r="M26" s="100"/>
      <c r="N26" s="191">
        <v>4</v>
      </c>
    </row>
    <row r="27" spans="1:14">
      <c r="A27" s="198"/>
      <c r="B27" s="30" t="s">
        <v>177</v>
      </c>
      <c r="C27" s="103" t="s">
        <v>180</v>
      </c>
      <c r="D27" s="31" t="s">
        <v>102</v>
      </c>
      <c r="E27" s="104">
        <v>104</v>
      </c>
      <c r="F27" s="105" t="s">
        <v>86</v>
      </c>
      <c r="G27" s="106">
        <v>1130</v>
      </c>
      <c r="H27" s="107">
        <f>E27*G27</f>
        <v>117520</v>
      </c>
      <c r="I27" s="108"/>
      <c r="J27" s="109"/>
      <c r="K27" s="78"/>
      <c r="L27" s="110"/>
      <c r="M27" s="78"/>
      <c r="N27" s="192"/>
    </row>
    <row r="28" spans="1:14">
      <c r="A28" s="198"/>
      <c r="B28" s="21" t="s">
        <v>167</v>
      </c>
      <c r="C28" s="103" t="s">
        <v>181</v>
      </c>
      <c r="D28" s="31" t="s">
        <v>183</v>
      </c>
      <c r="E28" s="104">
        <v>100</v>
      </c>
      <c r="F28" s="105" t="s">
        <v>86</v>
      </c>
      <c r="G28" s="106">
        <v>1130</v>
      </c>
      <c r="H28" s="200">
        <f>E28*G28</f>
        <v>113000</v>
      </c>
      <c r="I28" s="112" t="s">
        <v>185</v>
      </c>
      <c r="J28" s="113" t="s">
        <v>175</v>
      </c>
      <c r="K28" s="78"/>
      <c r="L28" s="78"/>
      <c r="M28" s="78"/>
      <c r="N28" s="192"/>
    </row>
    <row r="29" spans="1:14" ht="16.5">
      <c r="A29" s="198"/>
      <c r="B29" s="33" t="s">
        <v>179</v>
      </c>
      <c r="C29" s="103"/>
      <c r="D29" s="32" t="s">
        <v>184</v>
      </c>
      <c r="E29" s="104"/>
      <c r="F29" s="105"/>
      <c r="G29" s="106"/>
      <c r="H29" s="107"/>
      <c r="I29" s="112"/>
      <c r="J29" s="114"/>
      <c r="K29" s="78"/>
      <c r="L29" s="78"/>
      <c r="M29" s="78"/>
      <c r="N29" s="192"/>
    </row>
    <row r="30" spans="1:14" ht="15.5" thickBot="1">
      <c r="A30" s="199"/>
      <c r="B30" s="35" t="s">
        <v>120</v>
      </c>
      <c r="C30" s="115"/>
      <c r="D30" s="34"/>
      <c r="E30" s="116"/>
      <c r="F30" s="116"/>
      <c r="G30" s="117"/>
      <c r="H30" s="118"/>
      <c r="I30" s="119"/>
      <c r="J30" s="120"/>
      <c r="K30" s="19"/>
      <c r="L30" s="19"/>
      <c r="M30" s="19"/>
      <c r="N30" s="193"/>
    </row>
    <row r="31" spans="1:14" ht="15.5" thickBot="1">
      <c r="A31" s="39"/>
      <c r="B31" s="37"/>
      <c r="C31" s="122"/>
      <c r="D31" s="36"/>
      <c r="E31" s="123"/>
      <c r="F31" s="123"/>
      <c r="G31" s="124"/>
      <c r="H31" s="125"/>
      <c r="I31" s="16"/>
      <c r="J31" s="126"/>
      <c r="K31" s="16"/>
      <c r="L31" s="16"/>
      <c r="M31" s="16"/>
      <c r="N31" s="111"/>
    </row>
    <row r="32" spans="1:14" ht="15.5" customHeight="1">
      <c r="A32" s="197" t="s">
        <v>200</v>
      </c>
      <c r="B32" s="29"/>
      <c r="C32" s="29"/>
      <c r="D32" s="318" t="s">
        <v>191</v>
      </c>
      <c r="E32" s="98"/>
      <c r="F32" s="98"/>
      <c r="G32" s="99"/>
      <c r="H32" s="100"/>
      <c r="I32" s="101"/>
      <c r="J32" s="102"/>
      <c r="K32" s="100"/>
      <c r="L32" s="100"/>
      <c r="M32" s="100"/>
      <c r="N32" s="191">
        <v>6</v>
      </c>
    </row>
    <row r="33" spans="1:14">
      <c r="A33" s="198"/>
      <c r="B33" s="30" t="s">
        <v>186</v>
      </c>
      <c r="C33" s="103" t="s">
        <v>192</v>
      </c>
      <c r="D33" s="31" t="s">
        <v>102</v>
      </c>
      <c r="E33" s="104">
        <v>143.5</v>
      </c>
      <c r="F33" s="105" t="s">
        <v>86</v>
      </c>
      <c r="G33" s="106">
        <v>2390</v>
      </c>
      <c r="H33" s="107">
        <f>E33*G33</f>
        <v>342965</v>
      </c>
      <c r="I33" s="108"/>
      <c r="J33" s="109"/>
      <c r="K33" s="78"/>
      <c r="L33" s="110"/>
      <c r="M33" s="78"/>
      <c r="N33" s="192"/>
    </row>
    <row r="34" spans="1:14">
      <c r="A34" s="198"/>
      <c r="B34" s="21" t="s">
        <v>167</v>
      </c>
      <c r="C34" s="103" t="s">
        <v>193</v>
      </c>
      <c r="D34" s="31" t="s">
        <v>189</v>
      </c>
      <c r="E34" s="104">
        <v>150.30000000000001</v>
      </c>
      <c r="F34" s="105" t="s">
        <v>86</v>
      </c>
      <c r="G34" s="106">
        <v>2390</v>
      </c>
      <c r="H34" s="200">
        <f>E34*G34</f>
        <v>359217</v>
      </c>
      <c r="I34" s="112" t="s">
        <v>194</v>
      </c>
      <c r="J34" s="113" t="s">
        <v>195</v>
      </c>
      <c r="K34" s="78"/>
      <c r="L34" s="78"/>
      <c r="M34" s="78"/>
      <c r="N34" s="192"/>
    </row>
    <row r="35" spans="1:14" ht="16.5">
      <c r="A35" s="198"/>
      <c r="B35" s="33" t="s">
        <v>187</v>
      </c>
      <c r="C35" s="103"/>
      <c r="D35" s="32" t="s">
        <v>188</v>
      </c>
      <c r="E35" s="104"/>
      <c r="F35" s="105"/>
      <c r="G35" s="106"/>
      <c r="H35" s="107"/>
      <c r="I35" s="112"/>
      <c r="J35" s="114"/>
      <c r="K35" s="78"/>
      <c r="L35" s="78"/>
      <c r="M35" s="78"/>
      <c r="N35" s="192"/>
    </row>
    <row r="36" spans="1:14" ht="15.5" thickBot="1">
      <c r="A36" s="199"/>
      <c r="B36" s="35" t="s">
        <v>120</v>
      </c>
      <c r="C36" s="115"/>
      <c r="D36" s="34"/>
      <c r="E36" s="116"/>
      <c r="F36" s="116"/>
      <c r="G36" s="117"/>
      <c r="H36" s="118"/>
      <c r="I36" s="119"/>
      <c r="J36" s="120"/>
      <c r="K36" s="19"/>
      <c r="L36" s="19"/>
      <c r="M36" s="19"/>
      <c r="N36" s="193"/>
    </row>
    <row r="37" spans="1:14" ht="15.5" thickBot="1">
      <c r="A37" s="39"/>
      <c r="B37" s="37"/>
      <c r="C37" s="122"/>
      <c r="D37" s="36"/>
      <c r="E37" s="123"/>
      <c r="F37" s="123"/>
      <c r="G37" s="124"/>
      <c r="H37" s="125"/>
      <c r="I37" s="16"/>
      <c r="J37" s="126"/>
      <c r="K37" s="16"/>
      <c r="L37" s="16"/>
      <c r="M37" s="16"/>
      <c r="N37" s="111"/>
    </row>
    <row r="38" spans="1:14" ht="15.5" customHeight="1">
      <c r="A38" s="188" t="s">
        <v>201</v>
      </c>
      <c r="B38" s="29"/>
      <c r="C38" s="29"/>
      <c r="D38" s="318" t="s">
        <v>133</v>
      </c>
      <c r="E38" s="98"/>
      <c r="F38" s="98"/>
      <c r="G38" s="99"/>
      <c r="H38" s="100"/>
      <c r="I38" s="101"/>
      <c r="J38" s="102"/>
      <c r="K38" s="100"/>
      <c r="L38" s="100"/>
      <c r="M38" s="100"/>
      <c r="N38" s="191">
        <v>1</v>
      </c>
    </row>
    <row r="39" spans="1:14">
      <c r="A39" s="189"/>
      <c r="B39" s="158" t="s">
        <v>144</v>
      </c>
      <c r="C39" s="159" t="s">
        <v>139</v>
      </c>
      <c r="D39" s="58" t="s">
        <v>145</v>
      </c>
      <c r="E39" s="160">
        <v>35</v>
      </c>
      <c r="F39" s="127" t="s">
        <v>87</v>
      </c>
      <c r="G39" s="162">
        <v>205</v>
      </c>
      <c r="H39" s="171">
        <f t="shared" ref="H39" si="1">E39*G39</f>
        <v>7175</v>
      </c>
      <c r="I39" s="16"/>
      <c r="J39" s="109"/>
      <c r="K39" s="78"/>
      <c r="L39" s="110"/>
      <c r="M39" s="78"/>
      <c r="N39" s="192"/>
    </row>
    <row r="40" spans="1:14">
      <c r="A40" s="189"/>
      <c r="B40" s="158"/>
      <c r="C40" s="159"/>
      <c r="D40" s="58" t="s">
        <v>146</v>
      </c>
      <c r="E40" s="160"/>
      <c r="F40" s="127"/>
      <c r="G40" s="162"/>
      <c r="H40" s="171"/>
      <c r="I40" s="16" t="s">
        <v>196</v>
      </c>
      <c r="J40" s="113" t="s">
        <v>197</v>
      </c>
      <c r="K40" s="78"/>
      <c r="L40" s="78"/>
      <c r="M40" s="78"/>
      <c r="N40" s="192"/>
    </row>
    <row r="41" spans="1:14">
      <c r="A41" s="189"/>
      <c r="B41" s="158" t="s">
        <v>144</v>
      </c>
      <c r="C41" s="159" t="s">
        <v>140</v>
      </c>
      <c r="D41" s="58" t="s">
        <v>159</v>
      </c>
      <c r="E41" s="160">
        <v>17</v>
      </c>
      <c r="F41" s="127" t="s">
        <v>87</v>
      </c>
      <c r="G41" s="162">
        <v>205</v>
      </c>
      <c r="H41" s="171">
        <f t="shared" ref="H41" si="2">E41*G41</f>
        <v>3485</v>
      </c>
      <c r="I41" s="16"/>
      <c r="J41" s="114"/>
      <c r="K41" s="78"/>
      <c r="L41" s="78"/>
      <c r="M41" s="78"/>
      <c r="N41" s="192"/>
    </row>
    <row r="42" spans="1:14">
      <c r="A42" s="189"/>
      <c r="B42" s="158"/>
      <c r="C42" s="159"/>
      <c r="D42" s="58" t="s">
        <v>147</v>
      </c>
      <c r="E42" s="160"/>
      <c r="F42" s="127"/>
      <c r="G42" s="162"/>
      <c r="H42" s="171"/>
      <c r="I42" s="16"/>
      <c r="J42" s="114"/>
      <c r="K42" s="78"/>
      <c r="L42" s="78"/>
      <c r="M42" s="78"/>
      <c r="N42" s="192"/>
    </row>
    <row r="43" spans="1:14">
      <c r="A43" s="189"/>
      <c r="B43" s="158"/>
      <c r="C43" s="159"/>
      <c r="D43" s="58"/>
      <c r="E43" s="160"/>
      <c r="F43" s="161"/>
      <c r="G43" s="162"/>
      <c r="H43" s="171"/>
      <c r="I43" s="16"/>
      <c r="J43" s="114"/>
      <c r="K43" s="78"/>
      <c r="L43" s="78"/>
      <c r="M43" s="78"/>
      <c r="N43" s="192"/>
    </row>
    <row r="44" spans="1:14">
      <c r="A44" s="189"/>
      <c r="B44" s="158" t="s">
        <v>141</v>
      </c>
      <c r="C44" s="159" t="s">
        <v>142</v>
      </c>
      <c r="D44" s="58" t="s">
        <v>148</v>
      </c>
      <c r="E44" s="160">
        <v>200</v>
      </c>
      <c r="F44" s="127" t="s">
        <v>87</v>
      </c>
      <c r="G44" s="162">
        <v>15</v>
      </c>
      <c r="H44" s="171">
        <f t="shared" ref="H44:H45" si="3">E44*G44</f>
        <v>3000</v>
      </c>
      <c r="I44" s="16"/>
      <c r="J44" s="109"/>
      <c r="K44" s="78"/>
      <c r="L44" s="110"/>
      <c r="M44" s="78"/>
      <c r="N44" s="192"/>
    </row>
    <row r="45" spans="1:14" ht="15.5" thickBot="1">
      <c r="A45" s="190"/>
      <c r="B45" s="165" t="s">
        <v>143</v>
      </c>
      <c r="C45" s="166"/>
      <c r="D45" s="60" t="s">
        <v>149</v>
      </c>
      <c r="E45" s="167">
        <v>200</v>
      </c>
      <c r="F45" s="135" t="s">
        <v>87</v>
      </c>
      <c r="G45" s="168">
        <v>4</v>
      </c>
      <c r="H45" s="172">
        <f t="shared" si="3"/>
        <v>800</v>
      </c>
      <c r="I45" s="119"/>
      <c r="J45" s="169"/>
      <c r="K45" s="19"/>
      <c r="L45" s="19"/>
      <c r="M45" s="19"/>
      <c r="N45" s="193"/>
    </row>
    <row r="46" spans="1:14" ht="15.5" thickBot="1">
      <c r="A46" s="163"/>
      <c r="B46" s="174"/>
      <c r="C46" s="175"/>
      <c r="D46" s="57"/>
      <c r="E46" s="176"/>
      <c r="F46" s="177"/>
      <c r="G46" s="178"/>
      <c r="H46" s="179"/>
      <c r="I46" s="16"/>
      <c r="J46" s="129"/>
      <c r="K46" s="16"/>
      <c r="L46" s="16"/>
      <c r="M46" s="16"/>
      <c r="N46" s="164"/>
    </row>
    <row r="47" spans="1:14">
      <c r="A47" s="197" t="s">
        <v>202</v>
      </c>
      <c r="B47" s="180"/>
      <c r="C47" s="181"/>
      <c r="D47" s="318" t="s">
        <v>133</v>
      </c>
      <c r="E47" s="182"/>
      <c r="F47" s="183"/>
      <c r="G47" s="184"/>
      <c r="H47" s="185"/>
      <c r="I47" s="101"/>
      <c r="J47" s="102"/>
      <c r="K47" s="100"/>
      <c r="L47" s="100"/>
      <c r="M47" s="100"/>
      <c r="N47" s="191">
        <v>1</v>
      </c>
    </row>
    <row r="48" spans="1:14">
      <c r="A48" s="198"/>
      <c r="B48" s="186" t="s">
        <v>122</v>
      </c>
      <c r="C48" s="130"/>
      <c r="D48" s="61" t="s">
        <v>152</v>
      </c>
      <c r="E48" s="131">
        <v>3</v>
      </c>
      <c r="F48" s="127" t="s">
        <v>107</v>
      </c>
      <c r="G48" s="132">
        <v>100</v>
      </c>
      <c r="H48" s="132">
        <f t="shared" ref="H48" si="4">E48*G48</f>
        <v>300</v>
      </c>
      <c r="I48" s="108" t="s">
        <v>160</v>
      </c>
      <c r="J48" s="109" t="s">
        <v>158</v>
      </c>
      <c r="K48" s="78"/>
      <c r="L48" s="110"/>
      <c r="M48" s="78"/>
      <c r="N48" s="192"/>
    </row>
    <row r="49" spans="1:14">
      <c r="A49" s="198"/>
      <c r="B49" s="186" t="s">
        <v>154</v>
      </c>
      <c r="C49" s="130" t="s">
        <v>126</v>
      </c>
      <c r="D49" s="61" t="s">
        <v>153</v>
      </c>
      <c r="E49" s="131">
        <v>1</v>
      </c>
      <c r="F49" s="127" t="s">
        <v>87</v>
      </c>
      <c r="G49" s="132">
        <v>3000</v>
      </c>
      <c r="H49" s="132">
        <v>4000</v>
      </c>
      <c r="I49" s="16"/>
      <c r="J49" s="113"/>
      <c r="K49" s="78"/>
      <c r="L49" s="78"/>
      <c r="M49" s="78"/>
      <c r="N49" s="192"/>
    </row>
    <row r="50" spans="1:14" ht="16.5">
      <c r="A50" s="198"/>
      <c r="B50" s="187" t="s">
        <v>156</v>
      </c>
      <c r="C50" s="103" t="s">
        <v>155</v>
      </c>
      <c r="D50" s="130" t="s">
        <v>157</v>
      </c>
      <c r="E50" s="128">
        <v>90</v>
      </c>
      <c r="F50" s="127" t="s">
        <v>86</v>
      </c>
      <c r="G50" s="170">
        <v>145</v>
      </c>
      <c r="H50" s="132">
        <v>4000</v>
      </c>
      <c r="I50" s="16"/>
      <c r="J50" s="114"/>
      <c r="K50" s="78"/>
      <c r="L50" s="78"/>
      <c r="M50" s="78"/>
      <c r="N50" s="192"/>
    </row>
    <row r="51" spans="1:14" ht="15.5" thickBot="1">
      <c r="A51" s="199"/>
      <c r="B51" s="133"/>
      <c r="C51" s="115"/>
      <c r="D51" s="133" t="s">
        <v>123</v>
      </c>
      <c r="E51" s="116"/>
      <c r="F51" s="116"/>
      <c r="G51" s="117"/>
      <c r="H51" s="118"/>
      <c r="I51" s="119"/>
      <c r="J51" s="120"/>
      <c r="K51" s="19"/>
      <c r="L51" s="19"/>
      <c r="M51" s="19"/>
      <c r="N51" s="193"/>
    </row>
    <row r="52" spans="1:14">
      <c r="A52" s="173"/>
      <c r="B52" s="134"/>
      <c r="C52" s="122"/>
      <c r="D52" s="36"/>
      <c r="E52" s="123"/>
      <c r="F52" s="123"/>
      <c r="G52" s="124"/>
      <c r="H52" s="125"/>
      <c r="I52" s="112"/>
      <c r="J52" s="126"/>
      <c r="K52" s="16"/>
      <c r="L52" s="16"/>
      <c r="M52" s="16"/>
      <c r="N52" s="111"/>
    </row>
    <row r="53" spans="1:14" ht="15.5" thickBot="1">
      <c r="A53" s="136"/>
      <c r="B53" s="137"/>
      <c r="C53" s="138"/>
      <c r="D53" s="139"/>
      <c r="E53" s="140"/>
      <c r="F53" s="119"/>
      <c r="G53" s="141"/>
      <c r="H53" s="142"/>
      <c r="I53" s="143"/>
      <c r="J53" s="144"/>
      <c r="K53" s="119"/>
      <c r="L53" s="119"/>
      <c r="M53" s="119"/>
      <c r="N53" s="121"/>
    </row>
    <row r="54" spans="1:14">
      <c r="A54" s="145"/>
      <c r="B54" s="146"/>
      <c r="C54" s="319" t="s">
        <v>203</v>
      </c>
      <c r="D54" s="147"/>
      <c r="E54" s="148">
        <f>SUMIF($F$8:$F$51,"M.",$E$8:$E$51)</f>
        <v>821.5</v>
      </c>
      <c r="F54" s="105" t="s">
        <v>86</v>
      </c>
      <c r="G54" s="149"/>
      <c r="H54" s="38">
        <f>SUMIF($F$8:$F$51,"M.",$H$8:$H$51)</f>
        <v>1196427</v>
      </c>
      <c r="I54" s="149"/>
      <c r="J54" s="150"/>
      <c r="K54" s="151"/>
      <c r="L54" s="151"/>
      <c r="M54" s="151"/>
      <c r="N54" s="152"/>
    </row>
    <row r="55" spans="1:14">
      <c r="A55" s="78"/>
      <c r="B55" s="21"/>
      <c r="C55" s="78"/>
      <c r="D55" s="153"/>
      <c r="E55" s="148">
        <f>SUMIF($F$8:$F$51,"PCS.",$E$8:$E$51)</f>
        <v>453</v>
      </c>
      <c r="F55" s="127" t="s">
        <v>87</v>
      </c>
      <c r="G55" s="132"/>
      <c r="H55" s="38">
        <f>SUMIF($F$8:$F$51,"PCS.",$H$8:$H$51)</f>
        <v>18460</v>
      </c>
      <c r="I55" s="78"/>
      <c r="J55" s="154"/>
      <c r="K55" s="78"/>
      <c r="L55" s="78"/>
      <c r="M55" s="78"/>
      <c r="N55" s="155"/>
    </row>
    <row r="56" spans="1:14">
      <c r="A56" s="78"/>
      <c r="B56" s="21"/>
      <c r="C56" s="78"/>
      <c r="D56" s="153"/>
      <c r="E56" s="148">
        <f>SUMIF($F$8:$F$51,"SET.",$E$8:$E$51)</f>
        <v>3</v>
      </c>
      <c r="F56" s="127" t="s">
        <v>107</v>
      </c>
      <c r="G56" s="78"/>
      <c r="H56" s="38">
        <f>SUMIF($F$8:$F$51,"SET.",$H$8:$H$51)</f>
        <v>300</v>
      </c>
      <c r="I56" s="78"/>
      <c r="J56" s="154"/>
      <c r="K56" s="78"/>
      <c r="L56" s="78"/>
      <c r="M56" s="78"/>
      <c r="N56" s="155"/>
    </row>
    <row r="57" spans="1:14">
      <c r="A57" s="78"/>
      <c r="B57" s="21"/>
      <c r="C57" s="78"/>
      <c r="D57" s="156"/>
      <c r="E57" s="154"/>
      <c r="F57" s="127"/>
      <c r="G57" s="132"/>
      <c r="H57" s="132">
        <f>SUM(H54:H56)</f>
        <v>1215187</v>
      </c>
      <c r="I57" s="78"/>
      <c r="J57" s="154"/>
      <c r="K57" s="78"/>
      <c r="L57" s="78"/>
      <c r="M57" s="78"/>
      <c r="N57" s="155"/>
    </row>
    <row r="61" spans="1:14">
      <c r="C61" s="3"/>
    </row>
    <row r="62" spans="1:14">
      <c r="C62" s="3"/>
    </row>
    <row r="109" spans="1:1">
      <c r="A109" s="7" t="s">
        <v>101</v>
      </c>
    </row>
  </sheetData>
  <mergeCells count="16">
    <mergeCell ref="A47:A51"/>
    <mergeCell ref="A38:A45"/>
    <mergeCell ref="N38:N45"/>
    <mergeCell ref="N47:N51"/>
    <mergeCell ref="A2:H2"/>
    <mergeCell ref="F4:G4"/>
    <mergeCell ref="A8:A12"/>
    <mergeCell ref="N8:N12"/>
    <mergeCell ref="A14:A18"/>
    <mergeCell ref="N14:N18"/>
    <mergeCell ref="A20:A24"/>
    <mergeCell ref="N20:N24"/>
    <mergeCell ref="A26:A30"/>
    <mergeCell ref="N26:N30"/>
    <mergeCell ref="A32:A36"/>
    <mergeCell ref="N32:N36"/>
  </mergeCells>
  <phoneticPr fontId="11"/>
  <pageMargins left="0.51181102362204722" right="0" top="0.74803149606299213" bottom="0.74803149606299213" header="0.31496062992125984" footer="0.31496062992125984"/>
  <pageSetup paperSize="9" scale="52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9198-6F6B-43C7-AEBB-0DC4F067ACFD}">
  <sheetPr>
    <tabColor rgb="FFFF0000"/>
    <pageSetUpPr fitToPage="1"/>
  </sheetPr>
  <dimension ref="A1:I10"/>
  <sheetViews>
    <sheetView view="pageBreakPreview" zoomScale="40" zoomScaleNormal="90" zoomScaleSheetLayoutView="40" workbookViewId="0">
      <selection activeCell="F4" sqref="F4"/>
    </sheetView>
  </sheetViews>
  <sheetFormatPr defaultRowHeight="31.5"/>
  <cols>
    <col min="1" max="1" width="14.453125" customWidth="1"/>
    <col min="2" max="2" width="40.90625" style="40" customWidth="1"/>
    <col min="3" max="3" width="41.36328125" style="41" customWidth="1"/>
    <col min="4" max="4" width="86.08984375" style="41" customWidth="1"/>
    <col min="5" max="5" width="42.08984375" style="41" customWidth="1"/>
    <col min="6" max="6" width="38.1796875" style="43" customWidth="1"/>
    <col min="7" max="7" width="50.6328125" style="43" customWidth="1"/>
    <col min="8" max="8" width="34.90625" style="44" customWidth="1"/>
    <col min="9" max="9" width="34.90625" style="45" customWidth="1"/>
    <col min="10" max="16" width="34.90625" customWidth="1"/>
  </cols>
  <sheetData>
    <row r="1" spans="1:9">
      <c r="D1" s="42" t="s">
        <v>112</v>
      </c>
    </row>
    <row r="2" spans="1:9" s="50" customFormat="1" ht="88.4" customHeight="1" thickBot="1">
      <c r="A2" s="46"/>
      <c r="B2" s="47" t="s">
        <v>113</v>
      </c>
      <c r="C2" s="48" t="s">
        <v>114</v>
      </c>
      <c r="D2" s="48"/>
      <c r="E2" s="48" t="s">
        <v>115</v>
      </c>
      <c r="F2" s="49" t="s">
        <v>116</v>
      </c>
      <c r="G2" s="49" t="s">
        <v>117</v>
      </c>
      <c r="H2" s="48" t="s">
        <v>118</v>
      </c>
      <c r="I2" s="49" t="s">
        <v>119</v>
      </c>
    </row>
    <row r="3" spans="1:9" ht="194.9" customHeight="1" thickBot="1">
      <c r="A3" s="51"/>
      <c r="B3" s="52" t="s">
        <v>161</v>
      </c>
      <c r="C3" s="53" t="s">
        <v>126</v>
      </c>
      <c r="D3" s="54" t="s">
        <v>162</v>
      </c>
      <c r="E3" s="59" t="s">
        <v>125</v>
      </c>
      <c r="F3" s="55" t="s">
        <v>102</v>
      </c>
      <c r="G3" s="55"/>
      <c r="H3" s="55" t="s">
        <v>164</v>
      </c>
      <c r="I3" s="56">
        <v>7</v>
      </c>
    </row>
    <row r="4" spans="1:9" ht="194.9" customHeight="1" thickBot="1">
      <c r="A4" s="51"/>
      <c r="B4" s="52"/>
      <c r="C4" s="53"/>
      <c r="D4" s="54"/>
      <c r="E4" s="59"/>
      <c r="F4" s="55"/>
      <c r="G4" s="55"/>
      <c r="H4" s="55"/>
      <c r="I4" s="56"/>
    </row>
    <row r="5" spans="1:9" ht="194.9" customHeight="1" thickBot="1">
      <c r="A5" s="51"/>
      <c r="B5" s="52"/>
      <c r="C5" s="53"/>
      <c r="D5" s="54"/>
      <c r="E5" s="59"/>
      <c r="F5" s="55"/>
      <c r="G5" s="55"/>
      <c r="H5" s="55"/>
      <c r="I5" s="56"/>
    </row>
    <row r="6" spans="1:9" ht="194.9" customHeight="1" thickBot="1">
      <c r="A6" s="51"/>
      <c r="B6" s="52"/>
      <c r="C6" s="53"/>
      <c r="D6" s="54"/>
      <c r="E6" s="59"/>
      <c r="F6" s="55"/>
      <c r="G6" s="55"/>
      <c r="H6" s="55"/>
      <c r="I6" s="56"/>
    </row>
    <row r="7" spans="1:9" ht="194.9" customHeight="1" thickBot="1">
      <c r="A7" s="51"/>
      <c r="B7" s="52"/>
      <c r="C7" s="53"/>
      <c r="D7" s="54"/>
      <c r="E7" s="59"/>
      <c r="F7" s="55"/>
      <c r="G7" s="55"/>
      <c r="H7" s="55"/>
      <c r="I7" s="56"/>
    </row>
    <row r="8" spans="1:9" ht="194.9" customHeight="1">
      <c r="A8" s="51"/>
      <c r="B8" s="52"/>
      <c r="C8" s="53"/>
      <c r="D8" s="54"/>
      <c r="E8" s="59"/>
      <c r="F8" s="55"/>
      <c r="G8" s="55"/>
      <c r="H8" s="55"/>
      <c r="I8" s="56"/>
    </row>
    <row r="9" spans="1:9" ht="134.15" customHeight="1"/>
    <row r="10" spans="1:9" ht="134.15" customHeight="1"/>
  </sheetData>
  <phoneticPr fontId="11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22"/>
  <sheetViews>
    <sheetView view="pageBreakPreview" topLeftCell="A19" zoomScale="80" zoomScaleNormal="70" zoomScaleSheetLayoutView="80" workbookViewId="0">
      <selection activeCell="C48" sqref="C48:C49"/>
    </sheetView>
  </sheetViews>
  <sheetFormatPr defaultRowHeight="15"/>
  <cols>
    <col min="1" max="1" width="7.90625" customWidth="1"/>
    <col min="2" max="2" width="38.08984375" style="298" customWidth="1"/>
    <col min="3" max="3" width="81.6328125" customWidth="1"/>
    <col min="4" max="4" width="23.6328125" customWidth="1"/>
  </cols>
  <sheetData>
    <row r="1" spans="1:4" ht="17.399999999999999" customHeight="1">
      <c r="A1" s="261"/>
    </row>
    <row r="2" spans="1:4" ht="15" customHeight="1">
      <c r="A2" s="299" t="s">
        <v>237</v>
      </c>
      <c r="B2" s="299"/>
      <c r="C2" s="300"/>
    </row>
    <row r="3" spans="1:4" ht="15.65" customHeight="1" thickBot="1">
      <c r="A3" s="301"/>
      <c r="B3" s="302"/>
      <c r="C3" s="301"/>
    </row>
    <row r="4" spans="1:4" ht="21.75" customHeight="1" thickBot="1">
      <c r="A4" s="303" t="s">
        <v>36</v>
      </c>
      <c r="B4" s="24" t="s">
        <v>98</v>
      </c>
      <c r="C4" s="23" t="s">
        <v>89</v>
      </c>
      <c r="D4" s="304" t="s">
        <v>238</v>
      </c>
    </row>
    <row r="5" spans="1:4" ht="16.25" customHeight="1">
      <c r="A5" s="197" t="s">
        <v>150</v>
      </c>
      <c r="B5" s="29"/>
      <c r="C5" s="318" t="s">
        <v>133</v>
      </c>
      <c r="D5" s="308"/>
    </row>
    <row r="6" spans="1:4" ht="15" customHeight="1">
      <c r="A6" s="198"/>
      <c r="B6" s="30" t="s">
        <v>127</v>
      </c>
      <c r="C6" s="31" t="s">
        <v>121</v>
      </c>
      <c r="D6" s="309" t="s">
        <v>239</v>
      </c>
    </row>
    <row r="7" spans="1:4" ht="15" customHeight="1">
      <c r="A7" s="198"/>
      <c r="B7" s="21" t="s">
        <v>121</v>
      </c>
      <c r="C7" s="31" t="s">
        <v>129</v>
      </c>
      <c r="D7" s="310" t="s">
        <v>66</v>
      </c>
    </row>
    <row r="8" spans="1:4" ht="15" customHeight="1">
      <c r="A8" s="198"/>
      <c r="B8" s="33" t="s">
        <v>128</v>
      </c>
      <c r="C8" s="32" t="s">
        <v>130</v>
      </c>
      <c r="D8" s="310"/>
    </row>
    <row r="9" spans="1:4" ht="15" customHeight="1" thickBot="1">
      <c r="A9" s="199"/>
      <c r="B9" s="35" t="s">
        <v>120</v>
      </c>
      <c r="C9" s="34"/>
      <c r="D9" s="311"/>
    </row>
    <row r="10" spans="1:4" ht="15" customHeight="1" thickBot="1">
      <c r="A10" s="312"/>
      <c r="B10" s="312"/>
      <c r="C10" s="312"/>
      <c r="D10" s="312"/>
    </row>
    <row r="11" spans="1:4" ht="21.75" customHeight="1" thickBot="1">
      <c r="A11" s="303" t="s">
        <v>36</v>
      </c>
      <c r="B11" s="24" t="s">
        <v>98</v>
      </c>
      <c r="C11" s="23" t="s">
        <v>89</v>
      </c>
      <c r="D11" s="304" t="s">
        <v>238</v>
      </c>
    </row>
    <row r="12" spans="1:4" ht="16.25" customHeight="1">
      <c r="A12" s="197" t="s">
        <v>151</v>
      </c>
      <c r="B12" s="29"/>
      <c r="C12" s="318" t="s">
        <v>133</v>
      </c>
      <c r="D12" s="308"/>
    </row>
    <row r="13" spans="1:4" ht="15" customHeight="1">
      <c r="A13" s="198"/>
      <c r="B13" s="30" t="s">
        <v>135</v>
      </c>
      <c r="C13" s="31" t="s">
        <v>121</v>
      </c>
      <c r="D13" s="309" t="s">
        <v>239</v>
      </c>
    </row>
    <row r="14" spans="1:4" ht="15" customHeight="1">
      <c r="A14" s="198"/>
      <c r="B14" s="21" t="s">
        <v>121</v>
      </c>
      <c r="C14" s="31" t="s">
        <v>163</v>
      </c>
      <c r="D14" s="310" t="s">
        <v>66</v>
      </c>
    </row>
    <row r="15" spans="1:4" ht="15" customHeight="1">
      <c r="A15" s="198"/>
      <c r="B15" s="33" t="s">
        <v>136</v>
      </c>
      <c r="C15" s="32" t="s">
        <v>137</v>
      </c>
      <c r="D15" s="310"/>
    </row>
    <row r="16" spans="1:4" ht="15" customHeight="1" thickBot="1">
      <c r="A16" s="199"/>
      <c r="B16" s="35" t="s">
        <v>120</v>
      </c>
      <c r="C16" s="34"/>
      <c r="D16" s="311"/>
    </row>
    <row r="17" spans="1:4" ht="21.65" customHeight="1" thickBot="1">
      <c r="A17" s="312"/>
      <c r="B17" s="312"/>
      <c r="C17" s="312"/>
      <c r="D17" s="312"/>
    </row>
    <row r="18" spans="1:4" ht="21.75" customHeight="1" thickBot="1">
      <c r="A18" s="303" t="s">
        <v>36</v>
      </c>
      <c r="B18" s="24" t="s">
        <v>98</v>
      </c>
      <c r="C18" s="23" t="s">
        <v>89</v>
      </c>
      <c r="D18" s="304" t="s">
        <v>238</v>
      </c>
    </row>
    <row r="19" spans="1:4" ht="16.25" customHeight="1">
      <c r="A19" s="197" t="s">
        <v>198</v>
      </c>
      <c r="B19" s="29"/>
      <c r="C19" s="318" t="s">
        <v>190</v>
      </c>
      <c r="D19" s="308"/>
    </row>
    <row r="20" spans="1:4" ht="15" customHeight="1">
      <c r="A20" s="198"/>
      <c r="B20" s="30" t="s">
        <v>166</v>
      </c>
      <c r="C20" s="31" t="s">
        <v>102</v>
      </c>
      <c r="D20" s="309" t="s">
        <v>239</v>
      </c>
    </row>
    <row r="21" spans="1:4" ht="15" customHeight="1">
      <c r="A21" s="198"/>
      <c r="B21" s="21" t="s">
        <v>167</v>
      </c>
      <c r="C21" s="31" t="s">
        <v>171</v>
      </c>
      <c r="D21" s="310" t="s">
        <v>66</v>
      </c>
    </row>
    <row r="22" spans="1:4" ht="15" customHeight="1">
      <c r="A22" s="198"/>
      <c r="B22" s="33" t="s">
        <v>178</v>
      </c>
      <c r="C22" s="32" t="s">
        <v>172</v>
      </c>
      <c r="D22" s="310"/>
    </row>
    <row r="23" spans="1:4" ht="15" customHeight="1" thickBot="1">
      <c r="A23" s="199"/>
      <c r="B23" s="35" t="s">
        <v>168</v>
      </c>
      <c r="C23" s="34"/>
      <c r="D23" s="311"/>
    </row>
    <row r="24" spans="1:4" ht="15" customHeight="1" thickBot="1">
      <c r="A24" s="312"/>
      <c r="B24" s="312"/>
      <c r="C24" s="312"/>
      <c r="D24" s="312"/>
    </row>
    <row r="25" spans="1:4" ht="21.75" customHeight="1" thickBot="1">
      <c r="A25" s="303" t="s">
        <v>36</v>
      </c>
      <c r="B25" s="24" t="s">
        <v>98</v>
      </c>
      <c r="C25" s="23" t="s">
        <v>89</v>
      </c>
      <c r="D25" s="304" t="s">
        <v>238</v>
      </c>
    </row>
    <row r="26" spans="1:4" ht="16.25" customHeight="1">
      <c r="A26" s="197" t="s">
        <v>199</v>
      </c>
      <c r="B26" s="29"/>
      <c r="C26" s="318" t="s">
        <v>182</v>
      </c>
      <c r="D26" s="308"/>
    </row>
    <row r="27" spans="1:4" ht="15" customHeight="1">
      <c r="A27" s="198"/>
      <c r="B27" s="30" t="s">
        <v>177</v>
      </c>
      <c r="C27" s="31" t="s">
        <v>102</v>
      </c>
      <c r="D27" s="309" t="s">
        <v>239</v>
      </c>
    </row>
    <row r="28" spans="1:4" ht="15" customHeight="1">
      <c r="A28" s="198"/>
      <c r="B28" s="21" t="s">
        <v>167</v>
      </c>
      <c r="C28" s="31" t="s">
        <v>183</v>
      </c>
      <c r="D28" s="310" t="s">
        <v>66</v>
      </c>
    </row>
    <row r="29" spans="1:4" ht="15" customHeight="1">
      <c r="A29" s="198"/>
      <c r="B29" s="33" t="s">
        <v>179</v>
      </c>
      <c r="C29" s="32" t="s">
        <v>184</v>
      </c>
      <c r="D29" s="310"/>
    </row>
    <row r="30" spans="1:4" ht="15" customHeight="1" thickBot="1">
      <c r="A30" s="199"/>
      <c r="B30" s="35" t="s">
        <v>120</v>
      </c>
      <c r="C30" s="34"/>
      <c r="D30" s="311"/>
    </row>
    <row r="31" spans="1:4" ht="16.25" customHeight="1" thickBot="1">
      <c r="A31" s="312"/>
      <c r="B31" s="312"/>
      <c r="C31" s="312"/>
      <c r="D31" s="312"/>
    </row>
    <row r="32" spans="1:4" ht="21.75" customHeight="1" thickBot="1">
      <c r="A32" s="303" t="s">
        <v>36</v>
      </c>
      <c r="B32" s="24" t="s">
        <v>98</v>
      </c>
      <c r="C32" s="23" t="s">
        <v>89</v>
      </c>
      <c r="D32" s="304" t="s">
        <v>238</v>
      </c>
    </row>
    <row r="33" spans="1:4" ht="16.25" customHeight="1">
      <c r="A33" s="197" t="s">
        <v>200</v>
      </c>
      <c r="B33" s="29"/>
      <c r="C33" s="318" t="s">
        <v>191</v>
      </c>
      <c r="D33" s="308"/>
    </row>
    <row r="34" spans="1:4" ht="15" customHeight="1">
      <c r="A34" s="198"/>
      <c r="B34" s="30" t="s">
        <v>186</v>
      </c>
      <c r="C34" s="31" t="s">
        <v>102</v>
      </c>
      <c r="D34" s="309" t="s">
        <v>239</v>
      </c>
    </row>
    <row r="35" spans="1:4" ht="15" customHeight="1">
      <c r="A35" s="198"/>
      <c r="B35" s="21" t="s">
        <v>167</v>
      </c>
      <c r="C35" s="31" t="s">
        <v>189</v>
      </c>
      <c r="D35" s="310" t="s">
        <v>66</v>
      </c>
    </row>
    <row r="36" spans="1:4" ht="15" customHeight="1">
      <c r="A36" s="198"/>
      <c r="B36" s="33" t="s">
        <v>187</v>
      </c>
      <c r="C36" s="32" t="s">
        <v>188</v>
      </c>
      <c r="D36" s="310"/>
    </row>
    <row r="37" spans="1:4" ht="15" customHeight="1" thickBot="1">
      <c r="A37" s="199"/>
      <c r="B37" s="35" t="s">
        <v>120</v>
      </c>
      <c r="C37" s="34"/>
      <c r="D37" s="311"/>
    </row>
    <row r="38" spans="1:4" ht="15" customHeight="1" thickBot="1">
      <c r="A38" s="312"/>
      <c r="B38" s="312"/>
      <c r="C38" s="312"/>
      <c r="D38" s="312"/>
    </row>
    <row r="39" spans="1:4" ht="21.75" customHeight="1" thickBot="1">
      <c r="A39" s="303" t="s">
        <v>36</v>
      </c>
      <c r="B39" s="24" t="s">
        <v>98</v>
      </c>
      <c r="C39" s="23" t="s">
        <v>89</v>
      </c>
      <c r="D39" s="304" t="s">
        <v>238</v>
      </c>
    </row>
    <row r="40" spans="1:4" ht="16.25" customHeight="1">
      <c r="A40" s="188" t="s">
        <v>201</v>
      </c>
      <c r="B40" s="29"/>
      <c r="C40" s="318" t="s">
        <v>133</v>
      </c>
      <c r="D40" s="305"/>
    </row>
    <row r="41" spans="1:4" ht="15" customHeight="1">
      <c r="A41" s="189"/>
      <c r="B41" s="158" t="s">
        <v>144</v>
      </c>
      <c r="C41" s="58" t="s">
        <v>145</v>
      </c>
      <c r="D41" s="306" t="s">
        <v>239</v>
      </c>
    </row>
    <row r="42" spans="1:4" ht="15" customHeight="1">
      <c r="A42" s="189"/>
      <c r="B42" s="158"/>
      <c r="C42" s="58" t="s">
        <v>146</v>
      </c>
      <c r="D42" s="306" t="s">
        <v>66</v>
      </c>
    </row>
    <row r="43" spans="1:4" ht="15" customHeight="1">
      <c r="A43" s="189"/>
      <c r="B43" s="158" t="s">
        <v>144</v>
      </c>
      <c r="C43" s="58" t="s">
        <v>159</v>
      </c>
      <c r="D43" s="306"/>
    </row>
    <row r="44" spans="1:4" ht="15" customHeight="1">
      <c r="A44" s="189"/>
      <c r="B44" s="158"/>
      <c r="C44" s="58" t="s">
        <v>147</v>
      </c>
      <c r="D44" s="307"/>
    </row>
    <row r="45" spans="1:4" ht="15" customHeight="1">
      <c r="A45" s="189"/>
      <c r="B45" s="158"/>
      <c r="C45" s="58"/>
      <c r="D45" s="316"/>
    </row>
    <row r="46" spans="1:4" ht="15" customHeight="1">
      <c r="A46" s="189"/>
      <c r="B46" s="158" t="s">
        <v>141</v>
      </c>
      <c r="C46" s="58" t="s">
        <v>148</v>
      </c>
      <c r="D46" s="316"/>
    </row>
    <row r="47" spans="1:4" ht="15" customHeight="1" thickBot="1">
      <c r="A47" s="190"/>
      <c r="B47" s="165" t="s">
        <v>143</v>
      </c>
      <c r="C47" s="60" t="s">
        <v>149</v>
      </c>
      <c r="D47" s="317"/>
    </row>
    <row r="48" spans="1:4" ht="16.25" customHeight="1" thickBot="1">
      <c r="A48" s="312"/>
      <c r="B48" s="312"/>
      <c r="C48" s="312"/>
      <c r="D48" s="312"/>
    </row>
    <row r="49" spans="1:4" ht="21.75" customHeight="1" thickBot="1">
      <c r="A49" s="303" t="s">
        <v>36</v>
      </c>
      <c r="B49" s="24" t="s">
        <v>98</v>
      </c>
      <c r="C49" s="23" t="s">
        <v>89</v>
      </c>
      <c r="D49" s="304" t="s">
        <v>238</v>
      </c>
    </row>
    <row r="50" spans="1:4" ht="16.25" customHeight="1">
      <c r="A50" s="197" t="s">
        <v>202</v>
      </c>
      <c r="B50" s="180"/>
      <c r="C50" s="318" t="s">
        <v>133</v>
      </c>
      <c r="D50" s="308"/>
    </row>
    <row r="51" spans="1:4" ht="15" customHeight="1">
      <c r="A51" s="198"/>
      <c r="B51" s="186" t="s">
        <v>122</v>
      </c>
      <c r="C51" s="61" t="s">
        <v>152</v>
      </c>
      <c r="D51" s="309" t="s">
        <v>239</v>
      </c>
    </row>
    <row r="52" spans="1:4" ht="15" customHeight="1">
      <c r="A52" s="198"/>
      <c r="B52" s="186" t="s">
        <v>154</v>
      </c>
      <c r="C52" s="61" t="s">
        <v>153</v>
      </c>
      <c r="D52" s="310" t="s">
        <v>66</v>
      </c>
    </row>
    <row r="53" spans="1:4" ht="15" customHeight="1">
      <c r="A53" s="198"/>
      <c r="B53" s="187" t="s">
        <v>156</v>
      </c>
      <c r="C53" s="130" t="s">
        <v>157</v>
      </c>
      <c r="D53" s="310"/>
    </row>
    <row r="54" spans="1:4" ht="15" customHeight="1" thickBot="1">
      <c r="A54" s="199"/>
      <c r="B54" s="133"/>
      <c r="C54" s="133" t="s">
        <v>123</v>
      </c>
      <c r="D54" s="311"/>
    </row>
    <row r="55" spans="1:4" ht="21.65" customHeight="1">
      <c r="A55" s="312"/>
      <c r="B55" s="312"/>
      <c r="C55" s="312"/>
      <c r="D55" s="312"/>
    </row>
    <row r="56" spans="1:4" ht="15" customHeight="1">
      <c r="A56" s="312"/>
      <c r="B56" s="312"/>
      <c r="C56" s="312"/>
      <c r="D56" s="312"/>
    </row>
    <row r="57" spans="1:4" ht="16.25" customHeight="1">
      <c r="A57" s="312"/>
      <c r="B57" s="312"/>
      <c r="C57" s="312"/>
      <c r="D57" s="312"/>
    </row>
    <row r="58" spans="1:4" ht="15" customHeight="1">
      <c r="A58" s="312"/>
      <c r="B58" s="312"/>
      <c r="C58" s="312"/>
      <c r="D58" s="312"/>
    </row>
    <row r="59" spans="1:4" ht="15" customHeight="1">
      <c r="A59" s="312"/>
      <c r="B59" s="312"/>
      <c r="C59" s="312"/>
      <c r="D59" s="312"/>
    </row>
    <row r="60" spans="1:4" ht="15" customHeight="1">
      <c r="A60" s="312"/>
      <c r="B60" s="312"/>
      <c r="C60" s="312"/>
      <c r="D60" s="312"/>
    </row>
    <row r="61" spans="1:4" ht="15" customHeight="1">
      <c r="A61" s="312"/>
      <c r="B61" s="312"/>
      <c r="C61" s="312"/>
      <c r="D61" s="312"/>
    </row>
    <row r="62" spans="1:4" ht="21.65" customHeight="1">
      <c r="A62" s="312"/>
      <c r="B62" s="312"/>
      <c r="C62" s="312"/>
      <c r="D62" s="312"/>
    </row>
    <row r="63" spans="1:4" ht="15" customHeight="1">
      <c r="A63" s="312"/>
      <c r="B63" s="312"/>
      <c r="C63" s="312"/>
      <c r="D63" s="312"/>
    </row>
    <row r="64" spans="1:4" ht="16.25" customHeight="1">
      <c r="A64" s="312"/>
      <c r="B64" s="312"/>
      <c r="C64" s="312"/>
      <c r="D64" s="312"/>
    </row>
    <row r="65" spans="1:4" ht="15" customHeight="1">
      <c r="A65" s="312"/>
      <c r="B65" s="312"/>
      <c r="C65" s="312"/>
      <c r="D65" s="312"/>
    </row>
    <row r="66" spans="1:4" ht="15" customHeight="1">
      <c r="A66" s="312"/>
      <c r="B66" s="312"/>
      <c r="C66" s="312"/>
      <c r="D66" s="312"/>
    </row>
    <row r="67" spans="1:4" ht="15" customHeight="1">
      <c r="A67" s="312"/>
      <c r="B67" s="312"/>
      <c r="C67" s="312"/>
      <c r="D67" s="312"/>
    </row>
    <row r="68" spans="1:4" ht="15" customHeight="1">
      <c r="A68" s="312"/>
      <c r="B68" s="312"/>
      <c r="C68" s="312"/>
      <c r="D68" s="312"/>
    </row>
    <row r="69" spans="1:4" ht="21.65" customHeight="1">
      <c r="A69" s="312"/>
      <c r="B69" s="312"/>
      <c r="C69" s="312"/>
      <c r="D69" s="312"/>
    </row>
    <row r="70" spans="1:4" ht="15" customHeight="1">
      <c r="A70" s="312"/>
      <c r="B70" s="312"/>
      <c r="C70" s="312"/>
      <c r="D70" s="312"/>
    </row>
    <row r="71" spans="1:4" ht="16.25" customHeight="1">
      <c r="A71" s="312"/>
      <c r="B71" s="312"/>
      <c r="C71" s="312"/>
      <c r="D71" s="312"/>
    </row>
    <row r="72" spans="1:4" ht="15" customHeight="1">
      <c r="A72" s="312"/>
      <c r="B72" s="312"/>
      <c r="C72" s="312"/>
      <c r="D72" s="312"/>
    </row>
    <row r="73" spans="1:4" ht="15" customHeight="1">
      <c r="A73" s="312"/>
      <c r="B73" s="312"/>
      <c r="C73" s="312"/>
      <c r="D73" s="312"/>
    </row>
    <row r="74" spans="1:4" ht="15" customHeight="1">
      <c r="A74" s="312"/>
      <c r="B74" s="312"/>
      <c r="C74" s="312"/>
      <c r="D74" s="312"/>
    </row>
    <row r="75" spans="1:4" ht="15" customHeight="1">
      <c r="A75" s="312"/>
      <c r="B75" s="312"/>
      <c r="C75" s="312"/>
      <c r="D75" s="312"/>
    </row>
    <row r="76" spans="1:4" ht="16.25" customHeight="1">
      <c r="A76" s="312"/>
      <c r="B76" s="312"/>
      <c r="C76" s="312"/>
      <c r="D76" s="312"/>
    </row>
    <row r="77" spans="1:4" ht="16.25" customHeight="1">
      <c r="A77" s="312"/>
      <c r="B77" s="312"/>
      <c r="C77" s="312"/>
      <c r="D77" s="312"/>
    </row>
    <row r="78" spans="1:4" ht="15" customHeight="1">
      <c r="A78" s="312"/>
      <c r="B78" s="312"/>
      <c r="C78" s="312"/>
      <c r="D78" s="312"/>
    </row>
    <row r="79" spans="1:4" ht="15" customHeight="1">
      <c r="A79" s="312"/>
      <c r="B79" s="312"/>
      <c r="C79" s="312"/>
      <c r="D79" s="312"/>
    </row>
    <row r="80" spans="1:4" ht="24" customHeight="1">
      <c r="A80" s="312"/>
      <c r="B80" s="312"/>
      <c r="C80" s="312"/>
      <c r="D80" s="312"/>
    </row>
    <row r="81" spans="1:4" ht="21.65" customHeight="1">
      <c r="A81" s="312"/>
      <c r="B81" s="312"/>
      <c r="C81" s="312"/>
      <c r="D81" s="312"/>
    </row>
    <row r="82" spans="1:4" ht="16.25" customHeight="1">
      <c r="A82" s="312"/>
      <c r="B82" s="312"/>
      <c r="C82" s="312"/>
      <c r="D82" s="312"/>
    </row>
    <row r="83" spans="1:4" ht="15" customHeight="1">
      <c r="A83" s="312"/>
      <c r="B83" s="312"/>
      <c r="C83" s="312"/>
      <c r="D83" s="312"/>
    </row>
    <row r="84" spans="1:4" ht="15.65" customHeight="1">
      <c r="A84" s="312"/>
      <c r="B84" s="312"/>
      <c r="C84" s="312"/>
      <c r="D84" s="312"/>
    </row>
    <row r="85" spans="1:4" ht="21.75" customHeight="1">
      <c r="A85" s="312"/>
      <c r="B85" s="312"/>
      <c r="C85" s="312"/>
      <c r="D85" s="312"/>
    </row>
    <row r="86" spans="1:4" ht="15" customHeight="1">
      <c r="A86" s="312"/>
      <c r="B86" s="312"/>
      <c r="C86" s="312"/>
      <c r="D86" s="312"/>
    </row>
    <row r="87" spans="1:4" ht="17.399999999999999" customHeight="1">
      <c r="A87" s="312"/>
      <c r="B87" s="312"/>
      <c r="C87" s="312"/>
      <c r="D87" s="312"/>
    </row>
    <row r="88" spans="1:4" ht="17" customHeight="1">
      <c r="A88" s="312"/>
      <c r="B88" s="312"/>
      <c r="C88" s="312"/>
      <c r="D88" s="312"/>
    </row>
    <row r="89" spans="1:4" ht="21.65" customHeight="1">
      <c r="A89" s="312"/>
      <c r="B89" s="312"/>
      <c r="C89" s="312"/>
      <c r="D89" s="312"/>
    </row>
    <row r="90" spans="1:4" ht="15" customHeight="1">
      <c r="A90" s="312"/>
      <c r="B90" s="312"/>
      <c r="C90" s="312"/>
      <c r="D90" s="312"/>
    </row>
    <row r="91" spans="1:4" ht="15" customHeight="1">
      <c r="A91" s="312"/>
      <c r="B91" s="312"/>
      <c r="C91" s="312"/>
      <c r="D91" s="312"/>
    </row>
    <row r="92" spans="1:4" ht="15" customHeight="1">
      <c r="A92" s="312"/>
      <c r="B92" s="312"/>
      <c r="C92" s="312"/>
      <c r="D92" s="312"/>
    </row>
    <row r="93" spans="1:4" ht="15" customHeight="1">
      <c r="A93" s="312"/>
      <c r="B93" s="312"/>
      <c r="C93" s="312"/>
      <c r="D93" s="312"/>
    </row>
    <row r="94" spans="1:4" ht="15" customHeight="1">
      <c r="A94" s="312"/>
      <c r="B94" s="312"/>
      <c r="C94" s="312"/>
      <c r="D94" s="312"/>
    </row>
    <row r="95" spans="1:4" ht="15" customHeight="1">
      <c r="A95" s="312"/>
      <c r="B95" s="312"/>
      <c r="C95" s="312"/>
      <c r="D95" s="312"/>
    </row>
    <row r="96" spans="1:4" ht="15.65" customHeight="1">
      <c r="A96" s="312"/>
      <c r="B96" s="312"/>
      <c r="C96" s="312"/>
      <c r="D96" s="312"/>
    </row>
    <row r="97" spans="1:4" ht="15" customHeight="1">
      <c r="A97" s="312"/>
      <c r="B97" s="312"/>
      <c r="C97" s="312"/>
      <c r="D97" s="312"/>
    </row>
    <row r="98" spans="1:4" ht="15" customHeight="1">
      <c r="A98" s="312"/>
      <c r="B98" s="312"/>
      <c r="C98" s="312"/>
      <c r="D98" s="312"/>
    </row>
    <row r="99" spans="1:4" ht="15" customHeight="1">
      <c r="A99" s="312"/>
      <c r="B99" s="312"/>
      <c r="C99" s="312"/>
      <c r="D99" s="312"/>
    </row>
    <row r="100" spans="1:4" ht="15" customHeight="1">
      <c r="A100" s="312"/>
      <c r="B100" s="312"/>
      <c r="C100" s="312"/>
      <c r="D100" s="312"/>
    </row>
    <row r="101" spans="1:4" ht="15" customHeight="1">
      <c r="A101" s="312"/>
      <c r="B101" s="312"/>
      <c r="C101" s="312"/>
      <c r="D101" s="312"/>
    </row>
    <row r="102" spans="1:4" ht="15" customHeight="1">
      <c r="A102" s="312"/>
      <c r="B102" s="312"/>
      <c r="C102" s="312"/>
      <c r="D102" s="312"/>
    </row>
    <row r="103" spans="1:4" s="313" customFormat="1" ht="15" customHeight="1">
      <c r="A103" s="312"/>
      <c r="B103" s="312"/>
      <c r="C103" s="312"/>
      <c r="D103" s="312"/>
    </row>
    <row r="104" spans="1:4" s="313" customFormat="1" ht="15" customHeight="1">
      <c r="A104" s="312"/>
      <c r="B104" s="312"/>
      <c r="C104" s="312"/>
      <c r="D104" s="312"/>
    </row>
    <row r="105" spans="1:4" ht="15" customHeight="1">
      <c r="A105" s="312"/>
      <c r="B105" s="312"/>
      <c r="C105" s="312"/>
      <c r="D105" s="312"/>
    </row>
    <row r="106" spans="1:4" ht="14" customHeight="1">
      <c r="A106" s="312"/>
      <c r="B106" s="312"/>
      <c r="C106" s="312"/>
      <c r="D106" s="312"/>
    </row>
    <row r="107" spans="1:4" ht="15" customHeight="1">
      <c r="A107" s="312"/>
      <c r="B107" s="312"/>
      <c r="C107" s="312"/>
      <c r="D107" s="312"/>
    </row>
    <row r="108" spans="1:4" ht="15" customHeight="1">
      <c r="A108" s="312"/>
      <c r="B108" s="312"/>
      <c r="C108" s="312"/>
      <c r="D108" s="312"/>
    </row>
    <row r="109" spans="1:4" ht="15" customHeight="1">
      <c r="A109" s="312"/>
      <c r="B109" s="312"/>
      <c r="C109" s="312"/>
      <c r="D109" s="312"/>
    </row>
    <row r="110" spans="1:4" ht="15" customHeight="1">
      <c r="A110" s="312"/>
      <c r="B110" s="312"/>
      <c r="C110" s="312"/>
      <c r="D110" s="312"/>
    </row>
    <row r="111" spans="1:4" ht="15" customHeight="1">
      <c r="A111" s="312"/>
      <c r="B111" s="312"/>
      <c r="C111" s="312"/>
      <c r="D111" s="312"/>
    </row>
    <row r="112" spans="1:4" ht="15" customHeight="1">
      <c r="A112" s="312"/>
      <c r="B112" s="312"/>
      <c r="C112" s="312"/>
      <c r="D112" s="312"/>
    </row>
    <row r="113" spans="1:4" ht="12.65" customHeight="1">
      <c r="A113" s="312"/>
      <c r="B113" s="312"/>
      <c r="C113" s="312"/>
      <c r="D113" s="312"/>
    </row>
    <row r="114" spans="1:4" ht="15.65" customHeight="1">
      <c r="A114" s="312"/>
      <c r="B114" s="312"/>
      <c r="C114" s="312"/>
      <c r="D114" s="312"/>
    </row>
    <row r="115" spans="1:4" ht="41" customHeight="1">
      <c r="A115" s="312"/>
      <c r="B115" s="312"/>
      <c r="C115" s="312"/>
      <c r="D115" s="312"/>
    </row>
    <row r="116" spans="1:4" ht="21.75" customHeight="1">
      <c r="A116" s="312"/>
      <c r="B116" s="312"/>
      <c r="C116" s="312"/>
      <c r="D116" s="312"/>
    </row>
    <row r="117" spans="1:4" ht="15" customHeight="1" thickBot="1">
      <c r="A117" s="314"/>
      <c r="B117" s="314"/>
      <c r="C117" s="314"/>
      <c r="D117" s="314"/>
    </row>
    <row r="118" spans="1:4" ht="10.25" customHeight="1">
      <c r="A118" s="284"/>
      <c r="B118" s="284"/>
      <c r="C118" s="315"/>
      <c r="D118" s="284"/>
    </row>
    <row r="119" spans="1:4">
      <c r="A119" s="284"/>
      <c r="B119" s="284"/>
      <c r="C119" s="284"/>
      <c r="D119" s="284"/>
    </row>
    <row r="120" spans="1:4">
      <c r="A120" s="284"/>
      <c r="B120" s="284"/>
      <c r="C120" s="284"/>
      <c r="D120" s="284"/>
    </row>
    <row r="121" spans="1:4">
      <c r="A121" s="284"/>
      <c r="B121" s="284"/>
      <c r="C121" s="284"/>
      <c r="D121" s="284"/>
    </row>
    <row r="122" spans="1:4">
      <c r="A122" s="284"/>
      <c r="B122" s="284"/>
      <c r="C122" s="284"/>
      <c r="D122" s="284"/>
    </row>
  </sheetData>
  <mergeCells count="8">
    <mergeCell ref="A33:A37"/>
    <mergeCell ref="A40:A47"/>
    <mergeCell ref="A50:A54"/>
    <mergeCell ref="A2:B2"/>
    <mergeCell ref="A5:A9"/>
    <mergeCell ref="A12:A16"/>
    <mergeCell ref="A19:A23"/>
    <mergeCell ref="A26:A30"/>
  </mergeCells>
  <phoneticPr fontId="11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1" manualBreakCount="1">
    <brk id="8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2024-05-23T00:30:04Z</cp:lastPrinted>
  <dcterms:created xsi:type="dcterms:W3CDTF">2002-07-31T13:14:08Z</dcterms:created>
  <dcterms:modified xsi:type="dcterms:W3CDTF">2024-10-29T11:06:49Z</dcterms:modified>
</cp:coreProperties>
</file>