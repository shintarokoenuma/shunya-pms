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7043F16A-37B3-44FF-A2DD-4B5D1D875B02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LABEL!$A$1:$D$43</definedName>
    <definedName name="_xlnm.Print_Area" localSheetId="3">'NARITA '!$A$3:$N$55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H40" i="60" l="1"/>
  <c r="F9" i="65"/>
  <c r="E54" i="60"/>
  <c r="K28" i="65" s="1"/>
  <c r="E53" i="60"/>
  <c r="K27" i="65" s="1"/>
  <c r="E52" i="60"/>
  <c r="D30" i="65" s="1"/>
  <c r="K26" i="65" l="1"/>
  <c r="H24" i="60"/>
  <c r="H21" i="60"/>
  <c r="H20" i="60"/>
  <c r="H17" i="60"/>
  <c r="H10" i="60"/>
  <c r="F30" i="65" l="1"/>
  <c r="K30" i="65"/>
  <c r="H46" i="60" l="1"/>
  <c r="H14" i="60" l="1"/>
  <c r="F11" i="65" l="1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28" i="60" l="1"/>
  <c r="H54" i="60" l="1"/>
  <c r="M28" i="65" s="1"/>
  <c r="H34" i="60"/>
  <c r="H18" i="60" l="1"/>
  <c r="H53" i="60" s="1"/>
  <c r="M27" i="65" s="1"/>
  <c r="H9" i="60" l="1"/>
  <c r="H52" i="60" s="1"/>
  <c r="M26" i="65" l="1"/>
  <c r="M30" i="65" s="1"/>
  <c r="H55" i="60"/>
  <c r="G6" i="60"/>
  <c r="D6" i="60"/>
  <c r="C45" i="17" l="1"/>
  <c r="A2" i="17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<sst xmlns="http://schemas.openxmlformats.org/spreadsheetml/2006/main" count="318" uniqueCount="221">
  <si>
    <t>SHIPPER NAME</t>
    <phoneticPr fontId="7" type="noConversion"/>
  </si>
  <si>
    <t>S/CODE</t>
    <phoneticPr fontId="7" type="noConversion"/>
  </si>
  <si>
    <t>SHIPPER ADDRESS 2</t>
    <phoneticPr fontId="12"/>
  </si>
  <si>
    <t>SHIPPER ADDRESS 1</t>
    <phoneticPr fontId="12"/>
  </si>
  <si>
    <t>SHIPPER ADDRESS 3</t>
    <phoneticPr fontId="12"/>
  </si>
  <si>
    <t xml:space="preserve">SHIPPER </t>
    <phoneticPr fontId="12"/>
  </si>
  <si>
    <t>TEL</t>
    <phoneticPr fontId="12"/>
  </si>
  <si>
    <t>FAX</t>
    <phoneticPr fontId="12"/>
  </si>
  <si>
    <t>ATTN OR VAT NO.</t>
    <phoneticPr fontId="12"/>
  </si>
  <si>
    <t>TEL/FAX</t>
    <phoneticPr fontId="12"/>
  </si>
  <si>
    <t>ATTN</t>
    <phoneticPr fontId="12"/>
  </si>
  <si>
    <t>CONSIGNEE :</t>
    <phoneticPr fontId="12"/>
  </si>
  <si>
    <t>CONSIGNEE ADDRESS1</t>
    <phoneticPr fontId="12"/>
  </si>
  <si>
    <t>CONSIGNEE ADDRESS2</t>
    <phoneticPr fontId="12"/>
  </si>
  <si>
    <t>CONSIGNEE ADDRESS3</t>
    <phoneticPr fontId="12"/>
  </si>
  <si>
    <t>TEL</t>
    <phoneticPr fontId="12"/>
  </si>
  <si>
    <t>FAX</t>
    <phoneticPr fontId="12"/>
  </si>
  <si>
    <t>PAYMENT 1</t>
    <phoneticPr fontId="12"/>
  </si>
  <si>
    <t>PAYMENT 2</t>
    <phoneticPr fontId="12"/>
  </si>
  <si>
    <t>SHIPPER PER</t>
    <phoneticPr fontId="12"/>
  </si>
  <si>
    <t>INVOICE DATE</t>
    <phoneticPr fontId="12"/>
  </si>
  <si>
    <t>INVOICE NO.</t>
    <phoneticPr fontId="12"/>
  </si>
  <si>
    <t>CONTRACT NO.</t>
    <phoneticPr fontId="12"/>
  </si>
  <si>
    <t>CONTRACT DATE</t>
    <phoneticPr fontId="12"/>
  </si>
  <si>
    <t>ORDER DATE</t>
    <phoneticPr fontId="12"/>
  </si>
  <si>
    <t>ORDER NO.</t>
    <phoneticPr fontId="12"/>
  </si>
  <si>
    <t>L/C DATE</t>
    <phoneticPr fontId="12"/>
  </si>
  <si>
    <t>FROM</t>
    <phoneticPr fontId="12"/>
  </si>
  <si>
    <t xml:space="preserve"> TOKYO, JAPAN</t>
    <phoneticPr fontId="12"/>
  </si>
  <si>
    <t>TO</t>
    <phoneticPr fontId="12"/>
  </si>
  <si>
    <t>VIA</t>
    <phoneticPr fontId="12"/>
  </si>
  <si>
    <t>SHIPPING TERMS</t>
    <phoneticPr fontId="12"/>
  </si>
  <si>
    <t>TITTLE 1</t>
    <phoneticPr fontId="12"/>
  </si>
  <si>
    <t>TITTLE 2</t>
    <phoneticPr fontId="12"/>
  </si>
  <si>
    <t>ATTACHE</t>
    <phoneticPr fontId="12"/>
  </si>
  <si>
    <t>- DETAILS AS PER ATTACHED SHEET -</t>
    <phoneticPr fontId="12"/>
  </si>
  <si>
    <t>C/NO.</t>
    <phoneticPr fontId="12"/>
  </si>
  <si>
    <t>STYLE NO.</t>
    <phoneticPr fontId="12"/>
  </si>
  <si>
    <t>DESCRIPTION</t>
    <phoneticPr fontId="12"/>
  </si>
  <si>
    <t>Q'TY CODE</t>
    <phoneticPr fontId="12"/>
  </si>
  <si>
    <t>QUANTITY</t>
    <phoneticPr fontId="12"/>
  </si>
  <si>
    <t>UNIT PRICE</t>
    <phoneticPr fontId="12"/>
  </si>
  <si>
    <t>AMOUNT</t>
    <phoneticPr fontId="12"/>
  </si>
  <si>
    <t>DISCOUNT</t>
    <phoneticPr fontId="12"/>
  </si>
  <si>
    <t>CASE MARK1</t>
    <phoneticPr fontId="12"/>
  </si>
  <si>
    <t>CASE MARK2</t>
    <phoneticPr fontId="12"/>
  </si>
  <si>
    <t>CASE MARK3</t>
    <phoneticPr fontId="12"/>
  </si>
  <si>
    <t>CASE MARK4</t>
    <phoneticPr fontId="12"/>
  </si>
  <si>
    <t>CASE MARK5</t>
    <phoneticPr fontId="12"/>
  </si>
  <si>
    <t>CASE MARK6</t>
    <phoneticPr fontId="12"/>
  </si>
  <si>
    <t>TOTAL</t>
    <phoneticPr fontId="12"/>
  </si>
  <si>
    <t>MANUFACTURED BY</t>
    <phoneticPr fontId="12"/>
  </si>
  <si>
    <t>ORIGIN</t>
    <phoneticPr fontId="12"/>
  </si>
  <si>
    <t>COUNTRY OF ORIGIN : JAPAN</t>
    <phoneticPr fontId="12"/>
  </si>
  <si>
    <t>OUR BANK</t>
    <phoneticPr fontId="12"/>
  </si>
  <si>
    <t>ETD TYO</t>
    <phoneticPr fontId="12"/>
  </si>
  <si>
    <t>DELIVERY SCHEDULES</t>
    <phoneticPr fontId="12"/>
  </si>
  <si>
    <t>INSURANCE</t>
    <phoneticPr fontId="12"/>
  </si>
  <si>
    <t>REMARK 1</t>
    <phoneticPr fontId="12"/>
  </si>
  <si>
    <t>AIR FREIGHT</t>
    <phoneticPr fontId="12"/>
  </si>
  <si>
    <t>YOUR (OUR) FORWARDER</t>
    <phoneticPr fontId="12"/>
  </si>
  <si>
    <t>CUSTOMS AGENT</t>
    <phoneticPr fontId="12"/>
  </si>
  <si>
    <t>FORWARDER</t>
    <phoneticPr fontId="12"/>
  </si>
  <si>
    <t>C/O ISSUED DATE</t>
    <phoneticPr fontId="12"/>
  </si>
  <si>
    <t>COUNTRY</t>
    <phoneticPr fontId="12"/>
  </si>
  <si>
    <t>F.O.B. TOKYO IN YEN</t>
    <phoneticPr fontId="12"/>
  </si>
  <si>
    <t xml:space="preserve"> SHUNYA CO., LTD.</t>
    <phoneticPr fontId="12"/>
  </si>
  <si>
    <t xml:space="preserve"> KENSHIN BLDG., 1F, 1-22-10 DOUGENZAKA,</t>
    <phoneticPr fontId="12"/>
  </si>
  <si>
    <t xml:space="preserve"> SHIBUYA-KU 150-0043</t>
    <phoneticPr fontId="12"/>
  </si>
  <si>
    <t xml:space="preserve"> TEL : +81(0)3-5459-1177</t>
    <phoneticPr fontId="12"/>
  </si>
  <si>
    <t xml:space="preserve"> - SAME AS BUYER -</t>
    <phoneticPr fontId="12"/>
  </si>
  <si>
    <t xml:space="preserve"> HOCHIMINH-CITY, VIETNAM</t>
    <phoneticPr fontId="12"/>
  </si>
  <si>
    <t>VIETNAM</t>
    <phoneticPr fontId="12"/>
  </si>
  <si>
    <t>PREPAID</t>
    <phoneticPr fontId="12"/>
  </si>
  <si>
    <t>COVERED BY SHIPPER</t>
    <phoneticPr fontId="12"/>
  </si>
  <si>
    <t>MEITETSU WORLD TRANSPORT (MR. NAMIKI)</t>
    <phoneticPr fontId="12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</si>
  <si>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2"/>
  </si>
  <si>
    <t>BUYER</t>
    <phoneticPr fontId="12"/>
  </si>
  <si>
    <t>BUYER ADDRESS1</t>
    <phoneticPr fontId="12"/>
  </si>
  <si>
    <t>BUYER ADDRESS2</t>
    <phoneticPr fontId="12"/>
  </si>
  <si>
    <t>BUYER ADDRESS3</t>
    <phoneticPr fontId="12"/>
  </si>
  <si>
    <t xml:space="preserve"> AIRCRAFT</t>
    <phoneticPr fontId="12"/>
  </si>
  <si>
    <t>持ち帰り条件</t>
    <rPh sb="0" eb="1">
      <t>モ</t>
    </rPh>
    <rPh sb="2" eb="3">
      <t>カエ</t>
    </rPh>
    <rPh sb="4" eb="6">
      <t>ジョウケン</t>
    </rPh>
    <phoneticPr fontId="12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</si>
  <si>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2"/>
  </si>
  <si>
    <t xml:space="preserve">  AFTER MANUFACTURED AT VIET NAM "</t>
    <phoneticPr fontId="12"/>
  </si>
  <si>
    <t xml:space="preserve"> NO COMMERCIAL</t>
    <phoneticPr fontId="11"/>
  </si>
  <si>
    <t>PCS.</t>
    <phoneticPr fontId="12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</si>
  <si>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</si>
  <si>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</si>
  <si>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</si>
  <si>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</si>
  <si>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</si>
  <si>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</si>
  <si>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</si>
  <si>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</si>
  <si>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</si>
  <si>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</si>
  <si>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2"/>
  </si>
  <si>
    <t>(H.S. CODE)</t>
    <phoneticPr fontId="12"/>
  </si>
  <si>
    <t>- ATTACHED SHEET -</t>
    <phoneticPr fontId="12"/>
  </si>
  <si>
    <t xml:space="preserve"> </t>
    <phoneticPr fontId="12"/>
  </si>
  <si>
    <t>WOVEN FABRIC</t>
    <phoneticPr fontId="12"/>
  </si>
  <si>
    <t>VIVAN GARMENTS VIET NAM COMPANY LIMITED</t>
    <phoneticPr fontId="12"/>
  </si>
  <si>
    <t>Hamlet 3 , Long Hau Commune , Can Giuoc District,</t>
    <phoneticPr fontId="12"/>
  </si>
  <si>
    <t xml:space="preserve"> Long An Province , VietNam</t>
    <phoneticPr fontId="12"/>
  </si>
  <si>
    <t xml:space="preserve"> TEL : :   ( 084 ) 097 22 00 798  ATTN : MR. TUAN</t>
    <phoneticPr fontId="12"/>
  </si>
  <si>
    <t>FABRIC &amp; PARTS FOR WEAR &amp; SAMPLE CLOTHES</t>
    <phoneticPr fontId="12"/>
  </si>
  <si>
    <t xml:space="preserve"> TEL : ( 084 ) 097 22 00 798  ATTN : MR. TUAN</t>
    <phoneticPr fontId="12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</si>
  <si>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2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</si>
  <si>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2"/>
  </si>
  <si>
    <t>POLYESTER100%</t>
    <phoneticPr fontId="12"/>
  </si>
  <si>
    <t xml:space="preserve"> C/NO.</t>
    <phoneticPr fontId="12"/>
  </si>
  <si>
    <t>INVOICE</t>
    <phoneticPr fontId="12"/>
  </si>
  <si>
    <t>IMPORTER</t>
    <phoneticPr fontId="11"/>
  </si>
  <si>
    <t>INVOICE NO.</t>
    <phoneticPr fontId="11"/>
  </si>
  <si>
    <t>CASE MARK</t>
    <phoneticPr fontId="11"/>
  </si>
  <si>
    <t>INVOICE DATE</t>
    <phoneticPr fontId="11"/>
  </si>
  <si>
    <t>CONTRACT NO.</t>
    <phoneticPr fontId="11"/>
  </si>
  <si>
    <t>CONSIGNEE</t>
    <phoneticPr fontId="11"/>
  </si>
  <si>
    <t xml:space="preserve">ORDER NO. </t>
    <phoneticPr fontId="11"/>
  </si>
  <si>
    <t>MADE  IN JAPAN</t>
    <phoneticPr fontId="12"/>
  </si>
  <si>
    <t>L/C NO.</t>
    <phoneticPr fontId="11"/>
  </si>
  <si>
    <t>PAYMENT METHOD</t>
    <phoneticPr fontId="11"/>
  </si>
  <si>
    <t>SHIPPED PER</t>
    <phoneticPr fontId="11"/>
  </si>
  <si>
    <t>FROM</t>
    <phoneticPr fontId="11"/>
  </si>
  <si>
    <t>TO</t>
    <phoneticPr fontId="11"/>
  </si>
  <si>
    <t xml:space="preserve"> </t>
    <phoneticPr fontId="11"/>
  </si>
  <si>
    <t>VIA</t>
    <phoneticPr fontId="11"/>
  </si>
  <si>
    <t>C/NO.</t>
    <phoneticPr fontId="11"/>
  </si>
  <si>
    <t>ART NO.</t>
    <phoneticPr fontId="12"/>
  </si>
  <si>
    <t xml:space="preserve">  DESCRIPTION  OF  GOODS</t>
    <phoneticPr fontId="11"/>
  </si>
  <si>
    <t>COLOR</t>
    <phoneticPr fontId="12"/>
  </si>
  <si>
    <t>SIZE</t>
    <phoneticPr fontId="12"/>
  </si>
  <si>
    <t>Q'TY</t>
    <phoneticPr fontId="11"/>
  </si>
  <si>
    <t>U/PRICE</t>
    <phoneticPr fontId="11"/>
  </si>
  <si>
    <t>AMOUNT</t>
    <phoneticPr fontId="11"/>
  </si>
  <si>
    <t>" NO COMMER VALUE</t>
    <phoneticPr fontId="12"/>
  </si>
  <si>
    <t>" NO COMMERCIAL VALUE</t>
    <phoneticPr fontId="12"/>
  </si>
  <si>
    <t xml:space="preserve">  VALUE FOR CUSTOMS PURPOSE ONLY "</t>
    <phoneticPr fontId="12"/>
  </si>
  <si>
    <t xml:space="preserve"> VALUE FOR CUSTOMS PURPOSE ONLY "</t>
    <phoneticPr fontId="12"/>
  </si>
  <si>
    <t>TOTAL CARTONS :</t>
    <phoneticPr fontId="12"/>
  </si>
  <si>
    <t>TOTAL GROSS WEIGHT :</t>
    <phoneticPr fontId="12"/>
  </si>
  <si>
    <t>KGS</t>
    <phoneticPr fontId="12"/>
  </si>
  <si>
    <t>LABEL SHEET -</t>
    <phoneticPr fontId="12"/>
  </si>
  <si>
    <t>原産国</t>
    <rPh sb="0" eb="3">
      <t>ゲンサンコク</t>
    </rPh>
    <phoneticPr fontId="12"/>
  </si>
  <si>
    <t>MADE IN JAPAN</t>
    <phoneticPr fontId="12"/>
  </si>
  <si>
    <t>D17 Street , Sai Gon South Residential Area</t>
    <phoneticPr fontId="12"/>
  </si>
  <si>
    <t>KG.</t>
    <phoneticPr fontId="12"/>
  </si>
  <si>
    <t>TOTAL :</t>
  </si>
  <si>
    <t>C/#MIX</t>
    <phoneticPr fontId="12"/>
  </si>
  <si>
    <t>PCS.</t>
  </si>
  <si>
    <t>1-6</t>
    <phoneticPr fontId="12"/>
  </si>
  <si>
    <t>COTTON 100%</t>
    <phoneticPr fontId="12"/>
  </si>
  <si>
    <t>8-11</t>
    <phoneticPr fontId="12"/>
  </si>
  <si>
    <t>KG.</t>
  </si>
  <si>
    <t>P-90</t>
  </si>
  <si>
    <t>＃OW-16ｍ　＃BK-16ｍ</t>
  </si>
  <si>
    <t>UNICORN775</t>
  </si>
  <si>
    <t>15ｍｍ　＃42-68　＃09-68</t>
  </si>
  <si>
    <t>COTTON 100% PIECE-DYED SLEEK</t>
  </si>
  <si>
    <t>WOVEN FABRIC</t>
  </si>
  <si>
    <t>M.</t>
    <phoneticPr fontId="12"/>
  </si>
  <si>
    <t>綾織　ツイル　後染め</t>
    <rPh sb="0" eb="2">
      <t>アヤオリ</t>
    </rPh>
    <phoneticPr fontId="12"/>
  </si>
  <si>
    <t>短繊維、プリント加工なし</t>
    <rPh sb="0" eb="1">
      <t>タン</t>
    </rPh>
    <rPh sb="1" eb="3">
      <t>センイ</t>
    </rPh>
    <rPh sb="8" eb="9">
      <t>ナ</t>
    </rPh>
    <phoneticPr fontId="12"/>
  </si>
  <si>
    <t>c/#30</t>
    <phoneticPr fontId="12"/>
  </si>
  <si>
    <t>c/#36</t>
    <phoneticPr fontId="12"/>
  </si>
  <si>
    <r>
      <t>WOOL90%</t>
    </r>
    <r>
      <rPr>
        <b/>
        <sz val="10"/>
        <color theme="1"/>
        <rFont val="Yu Gothic"/>
        <family val="2"/>
        <charset val="128"/>
      </rPr>
      <t>、NYLON10%</t>
    </r>
    <phoneticPr fontId="12"/>
  </si>
  <si>
    <r>
      <t>WIDTH:150CM (225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2"/>
  </si>
  <si>
    <r>
      <t>INTERLINING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POLYESTER100%</t>
    </r>
    <phoneticPr fontId="12"/>
  </si>
  <si>
    <t>PLASTIC BUTTONS</t>
    <phoneticPr fontId="12"/>
  </si>
  <si>
    <r>
      <t>18mm</t>
    </r>
    <r>
      <rPr>
        <b/>
        <sz val="10"/>
        <color theme="1"/>
        <rFont val="ＭＳ ゴシック"/>
        <family val="3"/>
        <charset val="128"/>
      </rPr>
      <t>　＃</t>
    </r>
    <r>
      <rPr>
        <b/>
        <sz val="10"/>
        <color theme="1"/>
        <rFont val="Century Gothic"/>
        <family val="2"/>
      </rPr>
      <t>42-17</t>
    </r>
    <r>
      <rPr>
        <b/>
        <sz val="10"/>
        <color theme="1"/>
        <rFont val="ＭＳ ゴシック"/>
        <family val="3"/>
        <charset val="128"/>
      </rPr>
      <t>　＃</t>
    </r>
    <r>
      <rPr>
        <b/>
        <sz val="10"/>
        <color theme="1"/>
        <rFont val="Century Gothic"/>
        <family val="2"/>
      </rPr>
      <t>09-17</t>
    </r>
    <phoneticPr fontId="12"/>
  </si>
  <si>
    <t>c/#172</t>
    <phoneticPr fontId="12"/>
  </si>
  <si>
    <t>c/#13</t>
    <phoneticPr fontId="12"/>
  </si>
  <si>
    <t>平織　後染め</t>
    <rPh sb="0" eb="2">
      <t>ヒラオリ</t>
    </rPh>
    <phoneticPr fontId="12"/>
  </si>
  <si>
    <r>
      <t>WIDTH:122CM (132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2"/>
  </si>
  <si>
    <r>
      <rPr>
        <b/>
        <sz val="10"/>
        <color theme="1"/>
        <rFont val="ＭＳ ゴシック"/>
        <family val="3"/>
        <charset val="128"/>
      </rPr>
      <t>＃</t>
    </r>
    <r>
      <rPr>
        <b/>
        <sz val="10"/>
        <color theme="1"/>
        <rFont val="Century Gothic"/>
        <family val="2"/>
      </rPr>
      <t>10-8m</t>
    </r>
    <r>
      <rPr>
        <b/>
        <sz val="10"/>
        <color theme="1"/>
        <rFont val="ＭＳ ゴシック"/>
        <family val="3"/>
        <charset val="128"/>
      </rPr>
      <t>　＃</t>
    </r>
    <r>
      <rPr>
        <b/>
        <sz val="10"/>
        <color theme="1"/>
        <rFont val="Century Gothic"/>
        <family val="2"/>
      </rPr>
      <t>1-2-8m</t>
    </r>
    <phoneticPr fontId="12"/>
  </si>
  <si>
    <t>NO.22070292</t>
    <phoneticPr fontId="12"/>
  </si>
  <si>
    <t>12/27着</t>
    <rPh sb="5" eb="6">
      <t>チャク</t>
    </rPh>
    <phoneticPr fontId="12"/>
  </si>
  <si>
    <t>1-4</t>
    <phoneticPr fontId="12"/>
  </si>
  <si>
    <t>used denim cloth</t>
    <phoneticPr fontId="12"/>
  </si>
  <si>
    <t>C/#BLUE</t>
    <phoneticPr fontId="12"/>
  </si>
  <si>
    <t>古着　プリントなし</t>
    <rPh sb="0" eb="1">
      <t>フルギ</t>
    </rPh>
    <phoneticPr fontId="12"/>
  </si>
  <si>
    <t>STYLE: AND-675100/AND-475102</t>
    <phoneticPr fontId="12"/>
  </si>
  <si>
    <t>NO.22070291</t>
    <phoneticPr fontId="12"/>
  </si>
  <si>
    <t>5-11</t>
    <phoneticPr fontId="12"/>
  </si>
  <si>
    <t>STYLE: 25S-JK02(24SY-23)</t>
    <phoneticPr fontId="12"/>
  </si>
  <si>
    <t>men's crew neck used knit wear</t>
    <phoneticPr fontId="12"/>
  </si>
  <si>
    <t>cashmere 100%</t>
    <phoneticPr fontId="12"/>
  </si>
  <si>
    <t>made in japan</t>
    <phoneticPr fontId="12"/>
  </si>
  <si>
    <t>STYLE:23sy-AC04/05/06</t>
    <phoneticPr fontId="12"/>
  </si>
  <si>
    <t>USED NECKTIE SILK CLOTH</t>
    <phoneticPr fontId="12"/>
  </si>
  <si>
    <t>ジャガード織</t>
    <phoneticPr fontId="12"/>
  </si>
  <si>
    <t>長繊維</t>
    <rPh sb="0" eb="2">
      <t>チョウセンイ</t>
    </rPh>
    <phoneticPr fontId="12"/>
  </si>
  <si>
    <t>STYLE:23sy-AC02</t>
    <phoneticPr fontId="12"/>
  </si>
  <si>
    <t>12-13</t>
    <phoneticPr fontId="12"/>
  </si>
  <si>
    <t>佐川：4578-1390-8742</t>
    <rPh sb="0" eb="2">
      <t>サガワ</t>
    </rPh>
    <phoneticPr fontId="12"/>
  </si>
  <si>
    <t>1/8着予定</t>
    <rPh sb="3" eb="4">
      <t>チャク</t>
    </rPh>
    <rPh sb="4" eb="6">
      <t>ヨテイ</t>
    </rPh>
    <phoneticPr fontId="12"/>
  </si>
  <si>
    <t>M.</t>
  </si>
  <si>
    <t>13CARTONS</t>
    <phoneticPr fontId="12"/>
  </si>
  <si>
    <t>長繊維</t>
    <rPh sb="0" eb="2">
      <t>センイ</t>
    </rPh>
    <phoneticPr fontId="12"/>
  </si>
  <si>
    <r>
      <rPr>
        <b/>
        <sz val="10"/>
        <color theme="1"/>
        <rFont val="ＭＳ ゴシック"/>
        <family val="3"/>
        <charset val="128"/>
      </rPr>
      <t>＃</t>
    </r>
    <r>
      <rPr>
        <b/>
        <sz val="10"/>
        <color theme="1"/>
        <rFont val="Century Gothic"/>
        <family val="2"/>
      </rPr>
      <t>OW-16m</t>
    </r>
    <r>
      <rPr>
        <b/>
        <sz val="10"/>
        <color theme="1"/>
        <rFont val="ＭＳ ゴシック"/>
        <family val="3"/>
        <charset val="128"/>
      </rPr>
      <t>　＃</t>
    </r>
    <r>
      <rPr>
        <b/>
        <sz val="10"/>
        <color theme="1"/>
        <rFont val="Century Gothic"/>
        <family val="2"/>
      </rPr>
      <t>BK-16</t>
    </r>
    <r>
      <rPr>
        <b/>
        <sz val="10"/>
        <color theme="1"/>
        <rFont val="ＭＳ ゴシック"/>
        <family val="3"/>
        <charset val="128"/>
      </rPr>
      <t>ｍ</t>
    </r>
    <phoneticPr fontId="12"/>
  </si>
  <si>
    <t xml:space="preserve"> C/NO. 1-13</t>
    <phoneticPr fontId="12"/>
  </si>
  <si>
    <t xml:space="preserve"> SY-6200107-VT-DD-01</t>
    <phoneticPr fontId="12"/>
  </si>
  <si>
    <t>Jan, 07 2025</t>
    <phoneticPr fontId="12"/>
  </si>
  <si>
    <t>110M. 170PCS. 165.7KG.</t>
    <phoneticPr fontId="12"/>
  </si>
  <si>
    <t>13PACKAGES</t>
    <phoneticPr fontId="12"/>
  </si>
  <si>
    <t>ITEM</t>
    <phoneticPr fontId="12"/>
  </si>
  <si>
    <t>NAME</t>
    <phoneticPr fontId="12"/>
  </si>
  <si>
    <t>color</t>
    <phoneticPr fontId="12"/>
  </si>
  <si>
    <t>lady's or men's</t>
    <phoneticPr fontId="12"/>
  </si>
  <si>
    <t>WOVEN or  KNIT</t>
    <phoneticPr fontId="12"/>
  </si>
  <si>
    <t>picture</t>
    <phoneticPr fontId="12"/>
  </si>
  <si>
    <t>Composition</t>
    <phoneticPr fontId="12"/>
  </si>
  <si>
    <t>packingNo.</t>
    <phoneticPr fontId="12"/>
  </si>
  <si>
    <t>men's</t>
    <phoneticPr fontId="12"/>
  </si>
  <si>
    <t>KNIT FABRIC</t>
    <phoneticPr fontId="12"/>
  </si>
  <si>
    <t>men's crew neck used knit wear</t>
  </si>
  <si>
    <t>cashmere 100%</t>
  </si>
  <si>
    <r>
      <t>WOVEN FABRIC</t>
    </r>
    <r>
      <rPr>
        <b/>
        <sz val="10"/>
        <rFont val="Yu Gothic"/>
        <family val="2"/>
        <charset val="128"/>
      </rPr>
      <t>　</t>
    </r>
    <r>
      <rPr>
        <b/>
        <sz val="10"/>
        <color theme="9" tint="-0.249977111117893"/>
        <rFont val="Century Gothic"/>
        <family val="2"/>
      </rPr>
      <t>made in france</t>
    </r>
    <phoneticPr fontId="12"/>
  </si>
  <si>
    <r>
      <t>used denim cloth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9" tint="-0.249977111117893"/>
        <rFont val="Century Gothic"/>
        <family val="2"/>
      </rPr>
      <t>made in japan</t>
    </r>
    <phoneticPr fontId="12"/>
  </si>
  <si>
    <t>made in china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</si>
</sst>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26" formatCode="\$#,##0.00_);[Red]\(\$#,##0.00\)"/>
    <numFmt numFmtId="176" formatCode="_(* #,##0_);_(* \(#,##0\);_(* &quot;-&quot;_);_(@_)"/>
    <numFmt numFmtId="177" formatCode="0_);[Red]\(0\)"/>
    <numFmt numFmtId="178" formatCode="&quot;¥&quot;#,##0_);\(&quot;¥&quot;#,##0\)"/>
    <numFmt numFmtId="179" formatCode="&quot;¥&quot;#,##0_);[Red]\(&quot;¥&quot;#,##0\)"/>
    <numFmt numFmtId="180" formatCode="#,##0.0"/>
    <numFmt numFmtId="181" formatCode="#,##0.0_);\(#,##0.0\)"/>
    <numFmt numFmtId="182" formatCode="_(* #,##0.0_);_(* \(#,##0.0\);_(* &quot;-&quot;_);_(@_)"/>
    <numFmt numFmtId="183" formatCode="[$€-410]\ #,##0.00_);[Red]\([$€-410]\ #,##0.00\)"/>
    <numFmt numFmtId="184" formatCode="[$€-410]\ #,##0.00;\-[$€-410]\ #,##0.00"/>
  </numFmts>
  <fonts count="6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color rgb="FFFF0000"/>
      <name val="Yu Gothic"/>
      <family val="2"/>
      <charset val="128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0"/>
      <color theme="1"/>
      <name val="ＭＳ ゴシック"/>
      <family val="3"/>
      <charset val="128"/>
    </font>
    <font>
      <b/>
      <sz val="10"/>
      <color theme="1"/>
      <name val="Century Gothic"/>
      <family val="3"/>
      <charset val="128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sz val="24"/>
      <name val="ＭＳ Ｐゴシック"/>
      <family val="2"/>
      <charset val="128"/>
    </font>
    <font>
      <b/>
      <sz val="10"/>
      <color theme="9" tint="-0.249977111117893"/>
      <name val="Century Gothic"/>
      <family val="2"/>
    </font>
    <font>
      <b/>
      <sz val="10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</cellStyleXfs>
  <cellXfs count="377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0" fillId="2" borderId="0" xfId="0" applyFont="1" applyFill="1" applyAlignment="1">
      <alignment horizontal="left" vertical="center"/>
    </xf>
    <xf numFmtId="0" fontId="22" fillId="0" borderId="0" xfId="0" applyFont="1" applyAlignment="1">
      <alignment vertical="center" shrinkToFit="1"/>
    </xf>
    <xf numFmtId="49" fontId="10" fillId="0" borderId="0" xfId="0" applyNumberFormat="1" applyFont="1" applyAlignment="1">
      <alignment vertical="center" shrinkToFit="1"/>
    </xf>
    <xf numFmtId="0" fontId="16" fillId="0" borderId="0" xfId="1" applyNumberFormat="1" applyFont="1" applyFill="1" applyBorder="1" applyAlignment="1" applyProtection="1"/>
    <xf numFmtId="26" fontId="10" fillId="0" borderId="0" xfId="0" applyNumberFormat="1" applyFont="1" applyAlignment="1">
      <alignment horizontal="left" vertical="center" shrinkToFit="1"/>
    </xf>
    <xf numFmtId="179" fontId="10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24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left" vertical="center"/>
    </xf>
    <xf numFmtId="49" fontId="10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vertical="center" shrinkToFit="1"/>
    </xf>
    <xf numFmtId="178" fontId="19" fillId="3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vertical="center" wrapText="1"/>
    </xf>
    <xf numFmtId="180" fontId="22" fillId="0" borderId="10" xfId="0" applyNumberFormat="1" applyFont="1" applyBorder="1" applyAlignment="1">
      <alignment vertical="center" shrinkToFit="1"/>
    </xf>
    <xf numFmtId="49" fontId="30" fillId="0" borderId="10" xfId="0" quotePrefix="1" applyNumberFormat="1" applyFont="1" applyBorder="1" applyAlignment="1">
      <alignment horizontal="left" vertical="center"/>
    </xf>
    <xf numFmtId="180" fontId="22" fillId="0" borderId="11" xfId="0" applyNumberFormat="1" applyFont="1" applyBorder="1" applyAlignment="1">
      <alignment vertical="center" shrinkToFit="1"/>
    </xf>
    <xf numFmtId="49" fontId="27" fillId="0" borderId="11" xfId="0" quotePrefix="1" applyNumberFormat="1" applyFont="1" applyBorder="1" applyAlignment="1">
      <alignment horizontal="left" vertical="center"/>
    </xf>
    <xf numFmtId="180" fontId="22" fillId="0" borderId="4" xfId="0" applyNumberFormat="1" applyFont="1" applyBorder="1" applyAlignment="1">
      <alignment vertical="center" shrinkToFit="1"/>
    </xf>
    <xf numFmtId="49" fontId="27" fillId="0" borderId="7" xfId="0" quotePrefix="1" applyNumberFormat="1" applyFont="1" applyBorder="1" applyAlignment="1">
      <alignment horizontal="left" vertical="center"/>
    </xf>
    <xf numFmtId="176" fontId="10" fillId="0" borderId="8" xfId="2" applyFont="1" applyFill="1" applyBorder="1" applyAlignment="1">
      <alignment horizontal="center" vertical="center"/>
    </xf>
    <xf numFmtId="49" fontId="23" fillId="0" borderId="29" xfId="0" applyNumberFormat="1" applyFont="1" applyBorder="1" applyAlignment="1">
      <alignment horizontal="center" vertical="center"/>
    </xf>
    <xf numFmtId="0" fontId="10" fillId="3" borderId="10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49" fontId="14" fillId="0" borderId="10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25" fillId="0" borderId="10" xfId="0" applyFont="1" applyBorder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49" fontId="23" fillId="0" borderId="10" xfId="0" applyNumberFormat="1" applyFont="1" applyBorder="1" applyAlignment="1">
      <alignment horizontal="left" vertical="center"/>
    </xf>
    <xf numFmtId="0" fontId="14" fillId="0" borderId="10" xfId="0" applyFont="1" applyBorder="1">
      <alignment vertical="center"/>
    </xf>
    <xf numFmtId="26" fontId="14" fillId="0" borderId="10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26" fontId="14" fillId="0" borderId="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9" fontId="22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/>
    </xf>
    <xf numFmtId="179" fontId="22" fillId="0" borderId="10" xfId="0" applyNumberFormat="1" applyFont="1" applyBorder="1" applyAlignment="1">
      <alignment horizontal="right" vertical="center"/>
    </xf>
    <xf numFmtId="178" fontId="10" fillId="0" borderId="10" xfId="0" applyNumberFormat="1" applyFont="1" applyBorder="1" applyAlignment="1">
      <alignment horizontal="right" vertical="center"/>
    </xf>
    <xf numFmtId="0" fontId="28" fillId="0" borderId="4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180" fontId="22" fillId="0" borderId="11" xfId="0" applyNumberFormat="1" applyFont="1" applyBorder="1" applyAlignment="1">
      <alignment horizontal="center" vertical="center" shrinkToFit="1"/>
    </xf>
    <xf numFmtId="179" fontId="22" fillId="0" borderId="11" xfId="0" applyNumberFormat="1" applyFont="1" applyBorder="1" applyAlignment="1">
      <alignment horizontal="right" vertical="center"/>
    </xf>
    <xf numFmtId="178" fontId="10" fillId="0" borderId="11" xfId="0" applyNumberFormat="1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180" fontId="22" fillId="0" borderId="4" xfId="0" applyNumberFormat="1" applyFont="1" applyBorder="1" applyAlignment="1">
      <alignment horizontal="center" vertical="center" shrinkToFit="1"/>
    </xf>
    <xf numFmtId="179" fontId="22" fillId="0" borderId="4" xfId="0" applyNumberFormat="1" applyFont="1" applyBorder="1" applyAlignment="1">
      <alignment horizontal="right" vertical="center"/>
    </xf>
    <xf numFmtId="178" fontId="10" fillId="0" borderId="4" xfId="0" applyNumberFormat="1" applyFont="1" applyBorder="1" applyAlignment="1">
      <alignment horizontal="right" vertical="center"/>
    </xf>
    <xf numFmtId="0" fontId="31" fillId="0" borderId="4" xfId="0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180" fontId="10" fillId="0" borderId="12" xfId="0" applyNumberFormat="1" applyFont="1" applyBorder="1" applyAlignment="1">
      <alignment vertical="center" shrinkToFit="1"/>
    </xf>
    <xf numFmtId="180" fontId="10" fillId="0" borderId="12" xfId="0" applyNumberFormat="1" applyFont="1" applyBorder="1" applyAlignment="1">
      <alignment horizontal="center" vertical="center" shrinkToFit="1"/>
    </xf>
    <xf numFmtId="178" fontId="10" fillId="0" borderId="12" xfId="0" applyNumberFormat="1" applyFont="1" applyBorder="1" applyAlignment="1">
      <alignment horizontal="center" vertical="center" shrinkToFit="1"/>
    </xf>
    <xf numFmtId="178" fontId="10" fillId="0" borderId="1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49" fontId="10" fillId="0" borderId="8" xfId="0" applyNumberFormat="1" applyFont="1" applyBorder="1" applyAlignment="1">
      <alignment horizontal="left" vertical="center"/>
    </xf>
    <xf numFmtId="0" fontId="10" fillId="0" borderId="8" xfId="0" applyFont="1" applyBorder="1">
      <alignment vertical="center"/>
    </xf>
    <xf numFmtId="181" fontId="10" fillId="0" borderId="8" xfId="2" applyNumberFormat="1" applyFont="1" applyFill="1" applyBorder="1" applyAlignment="1">
      <alignment horizontal="center" vertical="center"/>
    </xf>
    <xf numFmtId="178" fontId="10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10" xfId="0" applyFont="1" applyBorder="1" applyAlignment="1">
      <alignment vertical="center" shrinkToFit="1"/>
    </xf>
    <xf numFmtId="49" fontId="10" fillId="0" borderId="10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178" fontId="10" fillId="3" borderId="10" xfId="0" applyNumberFormat="1" applyFont="1" applyFill="1" applyBorder="1" applyAlignment="1">
      <alignment horizontal="right" vertical="center" shrinkToFit="1"/>
    </xf>
    <xf numFmtId="178" fontId="10" fillId="3" borderId="11" xfId="0" applyNumberFormat="1" applyFont="1" applyFill="1" applyBorder="1" applyAlignment="1">
      <alignment horizontal="right" vertical="center" shrinkToFit="1"/>
    </xf>
    <xf numFmtId="178" fontId="10" fillId="3" borderId="10" xfId="0" applyNumberFormat="1" applyFont="1" applyFill="1" applyBorder="1" applyAlignment="1">
      <alignment horizontal="right" vertical="center"/>
    </xf>
    <xf numFmtId="178" fontId="10" fillId="3" borderId="11" xfId="0" applyNumberFormat="1" applyFont="1" applyFill="1" applyBorder="1" applyAlignment="1">
      <alignment horizontal="right" vertical="center"/>
    </xf>
    <xf numFmtId="179" fontId="10" fillId="0" borderId="10" xfId="0" applyNumberFormat="1" applyFont="1" applyBorder="1" applyAlignment="1">
      <alignment horizontal="right" vertical="center"/>
    </xf>
    <xf numFmtId="0" fontId="33" fillId="0" borderId="0" xfId="0" applyFont="1">
      <alignment vertical="center"/>
    </xf>
    <xf numFmtId="0" fontId="33" fillId="0" borderId="37" xfId="0" applyFont="1" applyBorder="1">
      <alignment vertical="center"/>
    </xf>
    <xf numFmtId="0" fontId="33" fillId="0" borderId="0" xfId="0" applyFont="1" applyAlignment="1">
      <alignment horizontal="left" vertical="center"/>
    </xf>
    <xf numFmtId="0" fontId="33" fillId="0" borderId="38" xfId="0" applyFont="1" applyBorder="1">
      <alignment vertical="center"/>
    </xf>
    <xf numFmtId="0" fontId="33" fillId="0" borderId="39" xfId="0" applyFont="1" applyBorder="1">
      <alignment vertical="center"/>
    </xf>
    <xf numFmtId="0" fontId="34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10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42" fillId="0" borderId="0" xfId="0" applyFont="1">
      <alignment vertical="center"/>
    </xf>
    <xf numFmtId="0" fontId="40" fillId="0" borderId="2" xfId="0" applyFont="1" applyBorder="1">
      <alignment vertical="center"/>
    </xf>
    <xf numFmtId="0" fontId="42" fillId="0" borderId="3" xfId="0" applyFont="1" applyBorder="1">
      <alignment vertical="center"/>
    </xf>
    <xf numFmtId="0" fontId="42" fillId="0" borderId="2" xfId="0" applyFont="1" applyBorder="1">
      <alignment vertical="center"/>
    </xf>
    <xf numFmtId="0" fontId="10" fillId="0" borderId="40" xfId="0" applyFont="1" applyBorder="1" applyAlignment="1">
      <alignment horizontal="left" vertical="center"/>
    </xf>
    <xf numFmtId="0" fontId="10" fillId="0" borderId="41" xfId="0" applyFont="1" applyBorder="1">
      <alignment vertical="center"/>
    </xf>
    <xf numFmtId="0" fontId="40" fillId="0" borderId="42" xfId="0" applyFont="1" applyBorder="1">
      <alignment vertical="center"/>
    </xf>
    <xf numFmtId="0" fontId="42" fillId="0" borderId="42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49" fontId="10" fillId="0" borderId="41" xfId="0" applyNumberFormat="1" applyFont="1" applyBorder="1">
      <alignment vertical="center"/>
    </xf>
    <xf numFmtId="49" fontId="10" fillId="0" borderId="43" xfId="0" applyNumberFormat="1" applyFont="1" applyBorder="1">
      <alignment vertical="center"/>
    </xf>
    <xf numFmtId="0" fontId="40" fillId="0" borderId="44" xfId="0" applyFont="1" applyBorder="1">
      <alignment vertical="center"/>
    </xf>
    <xf numFmtId="0" fontId="23" fillId="5" borderId="42" xfId="0" applyFont="1" applyFill="1" applyBorder="1" applyAlignment="1">
      <alignment horizontal="left" vertical="center"/>
    </xf>
    <xf numFmtId="0" fontId="42" fillId="0" borderId="42" xfId="0" applyFont="1" applyBorder="1">
      <alignment vertical="center"/>
    </xf>
    <xf numFmtId="0" fontId="10" fillId="0" borderId="7" xfId="0" applyFont="1" applyBorder="1">
      <alignment vertical="center"/>
    </xf>
    <xf numFmtId="0" fontId="40" fillId="0" borderId="41" xfId="0" applyFont="1" applyBorder="1">
      <alignment vertical="center"/>
    </xf>
    <xf numFmtId="0" fontId="40" fillId="0" borderId="40" xfId="0" applyFont="1" applyBorder="1">
      <alignment vertic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3" fillId="0" borderId="0" xfId="0" applyFont="1">
      <alignment vertical="center"/>
    </xf>
    <xf numFmtId="0" fontId="44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5" fillId="0" borderId="45" xfId="0" applyFont="1" applyBorder="1" applyAlignment="1">
      <alignment horizontal="center" vertical="center"/>
    </xf>
    <xf numFmtId="0" fontId="15" fillId="0" borderId="45" xfId="0" applyFont="1" applyBorder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45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6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26" fontId="14" fillId="0" borderId="42" xfId="0" applyNumberFormat="1" applyFont="1" applyBorder="1" applyAlignment="1">
      <alignment horizontal="left" vertical="center"/>
    </xf>
    <xf numFmtId="0" fontId="10" fillId="0" borderId="42" xfId="0" applyFont="1" applyBorder="1">
      <alignment vertical="center"/>
    </xf>
    <xf numFmtId="26" fontId="14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/>
    </xf>
    <xf numFmtId="49" fontId="10" fillId="0" borderId="0" xfId="0" applyNumberFormat="1" applyFont="1">
      <alignment vertical="center"/>
    </xf>
    <xf numFmtId="181" fontId="22" fillId="0" borderId="4" xfId="2" applyNumberFormat="1" applyFont="1" applyFill="1" applyBorder="1" applyAlignment="1">
      <alignment horizontal="right" vertical="center"/>
    </xf>
    <xf numFmtId="1" fontId="22" fillId="0" borderId="4" xfId="2" applyNumberFormat="1" applyFont="1" applyFill="1" applyBorder="1" applyAlignment="1">
      <alignment horizontal="left" vertical="center"/>
    </xf>
    <xf numFmtId="178" fontId="22" fillId="0" borderId="42" xfId="2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22" fillId="0" borderId="4" xfId="2" applyNumberFormat="1" applyFont="1" applyFill="1" applyBorder="1" applyAlignment="1">
      <alignment horizontal="right" vertical="center"/>
    </xf>
    <xf numFmtId="178" fontId="22" fillId="3" borderId="42" xfId="2" applyNumberFormat="1" applyFont="1" applyFill="1" applyBorder="1" applyAlignment="1">
      <alignment horizontal="right" vertical="center"/>
    </xf>
    <xf numFmtId="0" fontId="10" fillId="0" borderId="47" xfId="0" applyFont="1" applyBorder="1" applyAlignment="1">
      <alignment horizontal="left" vertical="center"/>
    </xf>
    <xf numFmtId="182" fontId="10" fillId="0" borderId="47" xfId="2" applyNumberFormat="1" applyFont="1" applyFill="1" applyBorder="1" applyAlignment="1">
      <alignment horizontal="left" vertical="center" indent="1"/>
    </xf>
    <xf numFmtId="183" fontId="22" fillId="0" borderId="47" xfId="0" applyNumberFormat="1" applyFont="1" applyBorder="1" applyAlignment="1">
      <alignment horizontal="left" vertical="center"/>
    </xf>
    <xf numFmtId="179" fontId="22" fillId="0" borderId="47" xfId="0" applyNumberFormat="1" applyFont="1" applyBorder="1" applyAlignment="1">
      <alignment horizontal="right" vertical="center"/>
    </xf>
    <xf numFmtId="0" fontId="10" fillId="0" borderId="0" xfId="0" quotePrefix="1" applyFont="1">
      <alignment vertical="center"/>
    </xf>
    <xf numFmtId="0" fontId="10" fillId="0" borderId="0" xfId="0" quotePrefix="1" applyFont="1" applyAlignment="1">
      <alignment horizontal="left" vertical="center"/>
    </xf>
    <xf numFmtId="26" fontId="10" fillId="0" borderId="0" xfId="0" applyNumberFormat="1" applyFont="1">
      <alignment vertical="center"/>
    </xf>
    <xf numFmtId="4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84" fontId="10" fillId="0" borderId="0" xfId="0" applyNumberFormat="1" applyFont="1">
      <alignment vertical="center"/>
    </xf>
    <xf numFmtId="0" fontId="44" fillId="0" borderId="0" xfId="0" applyFont="1">
      <alignment vertical="center"/>
    </xf>
    <xf numFmtId="49" fontId="23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49" fontId="23" fillId="5" borderId="0" xfId="0" applyNumberFormat="1" applyFont="1" applyFill="1" applyAlignment="1">
      <alignment horizontal="left" vertical="center"/>
    </xf>
    <xf numFmtId="49" fontId="2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49" fontId="40" fillId="0" borderId="0" xfId="0" applyNumberFormat="1" applyFont="1" applyAlignment="1">
      <alignment horizontal="right"/>
    </xf>
    <xf numFmtId="0" fontId="46" fillId="0" borderId="0" xfId="0" applyFont="1">
      <alignment vertical="center"/>
    </xf>
    <xf numFmtId="0" fontId="40" fillId="0" borderId="0" xfId="0" applyFont="1" applyAlignment="1">
      <alignment horizontal="center"/>
    </xf>
    <xf numFmtId="0" fontId="46" fillId="0" borderId="41" xfId="0" applyFont="1" applyBorder="1" applyAlignment="1">
      <alignment horizontal="left"/>
    </xf>
    <xf numFmtId="49" fontId="40" fillId="0" borderId="41" xfId="0" applyNumberFormat="1" applyFont="1" applyBorder="1" applyAlignment="1">
      <alignment horizontal="right"/>
    </xf>
    <xf numFmtId="49" fontId="40" fillId="0" borderId="0" xfId="0" applyNumberFormat="1" applyFont="1">
      <alignment vertical="center"/>
    </xf>
    <xf numFmtId="0" fontId="39" fillId="0" borderId="0" xfId="0" applyFont="1" applyAlignment="1">
      <alignment horizontal="center"/>
    </xf>
    <xf numFmtId="49" fontId="39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7" fillId="0" borderId="0" xfId="0" applyNumberFormat="1" applyFont="1">
      <alignment vertical="center"/>
    </xf>
    <xf numFmtId="49" fontId="47" fillId="0" borderId="1" xfId="0" applyNumberFormat="1" applyFont="1" applyBorder="1" applyAlignment="1">
      <alignment horizontal="center" vertical="center"/>
    </xf>
    <xf numFmtId="49" fontId="47" fillId="0" borderId="1" xfId="0" applyNumberFormat="1" applyFont="1" applyBorder="1" applyAlignment="1">
      <alignment horizontal="left" vertical="center"/>
    </xf>
    <xf numFmtId="0" fontId="15" fillId="0" borderId="2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3" fillId="0" borderId="16" xfId="0" applyNumberFormat="1" applyFont="1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15" fillId="0" borderId="0" xfId="0" applyFont="1">
      <alignment vertical="center"/>
    </xf>
    <xf numFmtId="0" fontId="0" fillId="0" borderId="41" xfId="0" applyBorder="1">
      <alignment vertical="center"/>
    </xf>
    <xf numFmtId="0" fontId="15" fillId="0" borderId="1" xfId="0" applyFont="1" applyBorder="1">
      <alignment vertical="center"/>
    </xf>
    <xf numFmtId="49" fontId="48" fillId="0" borderId="0" xfId="0" applyNumberFormat="1" applyFont="1">
      <alignment vertical="center"/>
    </xf>
    <xf numFmtId="0" fontId="15" fillId="0" borderId="52" xfId="0" applyFont="1" applyBorder="1">
      <alignment vertical="center"/>
    </xf>
    <xf numFmtId="0" fontId="15" fillId="0" borderId="53" xfId="0" applyFont="1" applyBorder="1">
      <alignment vertical="center"/>
    </xf>
    <xf numFmtId="0" fontId="23" fillId="5" borderId="5" xfId="0" applyFont="1" applyFill="1" applyBorder="1" applyAlignment="1">
      <alignment horizontal="left" vertical="center"/>
    </xf>
    <xf numFmtId="0" fontId="23" fillId="5" borderId="8" xfId="0" applyFont="1" applyFill="1" applyBorder="1" applyAlignment="1">
      <alignment horizontal="left" vertical="center"/>
    </xf>
    <xf numFmtId="49" fontId="23" fillId="3" borderId="29" xfId="0" applyNumberFormat="1" applyFont="1" applyFill="1" applyBorder="1" applyAlignment="1">
      <alignment horizontal="center" vertical="center"/>
    </xf>
    <xf numFmtId="3" fontId="10" fillId="3" borderId="10" xfId="0" applyNumberFormat="1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82" fontId="10" fillId="0" borderId="47" xfId="2" applyNumberFormat="1" applyFont="1" applyFill="1" applyBorder="1" applyAlignment="1">
      <alignment vertical="center"/>
    </xf>
    <xf numFmtId="0" fontId="22" fillId="0" borderId="47" xfId="0" applyFont="1" applyBorder="1" applyAlignment="1">
      <alignment horizontal="right" vertical="center"/>
    </xf>
    <xf numFmtId="0" fontId="10" fillId="0" borderId="47" xfId="0" applyFont="1" applyBorder="1">
      <alignment vertical="center"/>
    </xf>
    <xf numFmtId="0" fontId="29" fillId="0" borderId="54" xfId="0" applyFont="1" applyBorder="1" applyAlignment="1">
      <alignment horizontal="left" vertical="center"/>
    </xf>
    <xf numFmtId="49" fontId="22" fillId="0" borderId="56" xfId="0" applyNumberFormat="1" applyFont="1" applyBorder="1" applyAlignment="1">
      <alignment horizontal="left" vertical="center"/>
    </xf>
    <xf numFmtId="49" fontId="22" fillId="0" borderId="56" xfId="0" quotePrefix="1" applyNumberFormat="1" applyFont="1" applyBorder="1" applyAlignment="1">
      <alignment horizontal="left" vertical="center"/>
    </xf>
    <xf numFmtId="49" fontId="30" fillId="0" borderId="56" xfId="0" quotePrefix="1" applyNumberFormat="1" applyFont="1" applyBorder="1" applyAlignment="1">
      <alignment horizontal="left" vertical="center"/>
    </xf>
    <xf numFmtId="1" fontId="10" fillId="0" borderId="12" xfId="0" applyNumberFormat="1" applyFont="1" applyBorder="1" applyAlignment="1">
      <alignment horizontal="center" vertical="center"/>
    </xf>
    <xf numFmtId="49" fontId="22" fillId="0" borderId="10" xfId="0" quotePrefix="1" applyNumberFormat="1" applyFont="1" applyBorder="1" applyAlignment="1">
      <alignment horizontal="left" vertical="center"/>
    </xf>
    <xf numFmtId="49" fontId="22" fillId="0" borderId="5" xfId="0" applyNumberFormat="1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0" fontId="0" fillId="0" borderId="51" xfId="0" applyBorder="1">
      <alignment vertical="center"/>
    </xf>
    <xf numFmtId="182" fontId="10" fillId="0" borderId="47" xfId="2" applyNumberFormat="1" applyFont="1" applyFill="1" applyBorder="1" applyAlignment="1">
      <alignment horizontal="right" vertical="center"/>
    </xf>
    <xf numFmtId="180" fontId="22" fillId="0" borderId="10" xfId="0" applyNumberFormat="1" applyFont="1" applyBorder="1" applyAlignment="1">
      <alignment horizontal="center" vertical="center" shrinkToFit="1"/>
    </xf>
    <xf numFmtId="0" fontId="29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79" fontId="22" fillId="0" borderId="8" xfId="0" applyNumberFormat="1" applyFont="1" applyBorder="1" applyAlignment="1">
      <alignment horizontal="right" vertical="center"/>
    </xf>
    <xf numFmtId="178" fontId="10" fillId="0" borderId="8" xfId="0" applyNumberFormat="1" applyFont="1" applyBorder="1" applyAlignment="1">
      <alignment horizontal="right" vertical="center"/>
    </xf>
    <xf numFmtId="0" fontId="22" fillId="3" borderId="10" xfId="0" applyFont="1" applyFill="1" applyBorder="1" applyAlignment="1">
      <alignment horizontal="left" vertical="center"/>
    </xf>
    <xf numFmtId="49" fontId="22" fillId="0" borderId="8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/>
    </xf>
    <xf numFmtId="179" fontId="22" fillId="0" borderId="5" xfId="0" applyNumberFormat="1" applyFont="1" applyBorder="1" applyAlignment="1">
      <alignment horizontal="right" vertical="center"/>
    </xf>
    <xf numFmtId="178" fontId="10" fillId="0" borderId="5" xfId="0" applyNumberFormat="1" applyFont="1" applyBorder="1" applyAlignment="1">
      <alignment horizontal="right" vertical="center"/>
    </xf>
    <xf numFmtId="49" fontId="22" fillId="0" borderId="6" xfId="0" quotePrefix="1" applyNumberFormat="1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180" fontId="22" fillId="0" borderId="6" xfId="0" applyNumberFormat="1" applyFont="1" applyBorder="1" applyAlignment="1">
      <alignment vertical="center" shrinkToFit="1"/>
    </xf>
    <xf numFmtId="180" fontId="22" fillId="0" borderId="6" xfId="0" applyNumberFormat="1" applyFont="1" applyBorder="1" applyAlignment="1">
      <alignment horizontal="center" vertical="center" shrinkToFit="1"/>
    </xf>
    <xf numFmtId="179" fontId="22" fillId="0" borderId="6" xfId="0" applyNumberFormat="1" applyFont="1" applyBorder="1" applyAlignment="1">
      <alignment horizontal="right" vertical="center"/>
    </xf>
    <xf numFmtId="178" fontId="10" fillId="0" borderId="6" xfId="0" applyNumberFormat="1" applyFont="1" applyBorder="1" applyAlignment="1">
      <alignment horizontal="right" vertical="center"/>
    </xf>
    <xf numFmtId="49" fontId="22" fillId="0" borderId="4" xfId="0" applyNumberFormat="1" applyFont="1" applyBorder="1" applyAlignment="1">
      <alignment horizontal="left" vertical="center"/>
    </xf>
    <xf numFmtId="0" fontId="22" fillId="0" borderId="4" xfId="0" applyFont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180" fontId="55" fillId="0" borderId="11" xfId="0" applyNumberFormat="1" applyFont="1" applyBorder="1" applyAlignment="1">
      <alignment vertical="center" shrinkToFit="1"/>
    </xf>
    <xf numFmtId="0" fontId="29" fillId="0" borderId="20" xfId="0" applyFont="1" applyBorder="1" applyAlignment="1">
      <alignment horizontal="left" vertical="center"/>
    </xf>
    <xf numFmtId="0" fontId="23" fillId="5" borderId="20" xfId="0" applyFont="1" applyFill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179" fontId="22" fillId="0" borderId="20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4" xfId="0" applyFont="1" applyBorder="1">
      <alignment vertical="center"/>
    </xf>
    <xf numFmtId="49" fontId="10" fillId="0" borderId="56" xfId="0" applyNumberFormat="1" applyFont="1" applyBorder="1" applyAlignment="1">
      <alignment horizontal="left" vertical="center"/>
    </xf>
    <xf numFmtId="49" fontId="49" fillId="0" borderId="11" xfId="0" quotePrefix="1" applyNumberFormat="1" applyFont="1" applyBorder="1" applyAlignment="1">
      <alignment horizontal="left" vertical="center"/>
    </xf>
    <xf numFmtId="0" fontId="10" fillId="3" borderId="10" xfId="0" applyFont="1" applyFill="1" applyBorder="1" applyAlignment="1">
      <alignment horizontal="center" vertical="center"/>
    </xf>
    <xf numFmtId="49" fontId="27" fillId="0" borderId="57" xfId="0" quotePrefix="1" applyNumberFormat="1" applyFont="1" applyBorder="1" applyAlignment="1">
      <alignment horizontal="left" vertical="center"/>
    </xf>
    <xf numFmtId="49" fontId="23" fillId="3" borderId="28" xfId="0" applyNumberFormat="1" applyFont="1" applyFill="1" applyBorder="1">
      <alignment vertical="center"/>
    </xf>
    <xf numFmtId="0" fontId="31" fillId="0" borderId="8" xfId="0" applyFont="1" applyBorder="1" applyAlignment="1">
      <alignment horizontal="center" vertical="center"/>
    </xf>
    <xf numFmtId="0" fontId="10" fillId="0" borderId="30" xfId="0" applyFont="1" applyBorder="1">
      <alignment vertical="center"/>
    </xf>
    <xf numFmtId="49" fontId="49" fillId="0" borderId="4" xfId="0" quotePrefix="1" applyNumberFormat="1" applyFont="1" applyBorder="1" applyAlignment="1">
      <alignment horizontal="left" vertical="center"/>
    </xf>
    <xf numFmtId="180" fontId="55" fillId="0" borderId="6" xfId="0" applyNumberFormat="1" applyFont="1" applyBorder="1" applyAlignment="1">
      <alignment vertical="center" shrinkToFit="1"/>
    </xf>
    <xf numFmtId="0" fontId="40" fillId="0" borderId="23" xfId="0" applyFont="1" applyBorder="1">
      <alignment vertical="center"/>
    </xf>
    <xf numFmtId="0" fontId="10" fillId="0" borderId="43" xfId="0" applyFont="1" applyBorder="1">
      <alignment vertical="center"/>
    </xf>
    <xf numFmtId="0" fontId="40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6" fillId="0" borderId="0" xfId="0" applyNumberFormat="1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7" fillId="0" borderId="0" xfId="0" applyFont="1">
      <alignment vertical="center"/>
    </xf>
    <xf numFmtId="0" fontId="57" fillId="0" borderId="0" xfId="0" applyFont="1" applyAlignment="1">
      <alignment vertical="center" wrapText="1"/>
    </xf>
    <xf numFmtId="0" fontId="59" fillId="0" borderId="0" xfId="0" applyFont="1" applyAlignment="1">
      <alignment horizontal="center" vertical="center"/>
    </xf>
    <xf numFmtId="49" fontId="60" fillId="0" borderId="0" xfId="0" applyNumberFormat="1" applyFont="1" applyAlignment="1">
      <alignment horizontal="center" vertical="center"/>
    </xf>
    <xf numFmtId="49" fontId="60" fillId="0" borderId="6" xfId="0" applyNumberFormat="1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3" borderId="58" xfId="0" applyFont="1" applyFill="1" applyBorder="1" applyAlignment="1">
      <alignment horizontal="center" vertical="center"/>
    </xf>
    <xf numFmtId="49" fontId="63" fillId="0" borderId="5" xfId="0" quotePrefix="1" applyNumberFormat="1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 wrapText="1"/>
    </xf>
    <xf numFmtId="0" fontId="63" fillId="0" borderId="5" xfId="0" quotePrefix="1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82" fontId="22" fillId="0" borderId="47" xfId="2" applyNumberFormat="1" applyFont="1" applyFill="1" applyBorder="1" applyAlignment="1">
      <alignment horizontal="center" vertical="center"/>
    </xf>
    <xf numFmtId="49" fontId="23" fillId="6" borderId="28" xfId="0" applyNumberFormat="1" applyFont="1" applyFill="1" applyBorder="1" applyAlignment="1">
      <alignment horizontal="center" vertical="center"/>
    </xf>
    <xf numFmtId="49" fontId="23" fillId="6" borderId="29" xfId="0" applyNumberFormat="1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49" fontId="31" fillId="0" borderId="24" xfId="0" applyNumberFormat="1" applyFont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/>
    </xf>
    <xf numFmtId="49" fontId="31" fillId="0" borderId="12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23" fillId="6" borderId="31" xfId="0" applyNumberFormat="1" applyFont="1" applyFill="1" applyBorder="1" applyAlignment="1">
      <alignment horizontal="center" vertical="center"/>
    </xf>
    <xf numFmtId="49" fontId="23" fillId="7" borderId="28" xfId="0" applyNumberFormat="1" applyFont="1" applyFill="1" applyBorder="1" applyAlignment="1">
      <alignment horizontal="center" vertical="center"/>
    </xf>
    <xf numFmtId="49" fontId="23" fillId="7" borderId="29" xfId="0" applyNumberFormat="1" applyFont="1" applyFill="1" applyBorder="1" applyAlignment="1">
      <alignment horizontal="center" vertical="center"/>
    </xf>
    <xf numFmtId="49" fontId="23" fillId="7" borderId="31" xfId="0" applyNumberFormat="1" applyFont="1" applyFill="1" applyBorder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49" fontId="23" fillId="7" borderId="23" xfId="0" applyNumberFormat="1" applyFont="1" applyFill="1" applyBorder="1" applyAlignment="1">
      <alignment horizontal="center" vertical="center"/>
    </xf>
    <xf numFmtId="49" fontId="23" fillId="7" borderId="7" xfId="0" applyNumberFormat="1" applyFont="1" applyFill="1" applyBorder="1" applyAlignment="1">
      <alignment horizontal="center" vertical="center"/>
    </xf>
    <xf numFmtId="49" fontId="23" fillId="7" borderId="55" xfId="0" applyNumberFormat="1" applyFont="1" applyFill="1" applyBorder="1" applyAlignment="1">
      <alignment horizontal="center" vertical="center"/>
    </xf>
    <xf numFmtId="178" fontId="10" fillId="3" borderId="4" xfId="0" applyNumberFormat="1" applyFont="1" applyFill="1" applyBorder="1" applyAlignment="1">
      <alignment horizontal="right" vertical="center"/>
    </xf>
    <xf numFmtId="0" fontId="29" fillId="5" borderId="54" xfId="0" applyFont="1" applyFill="1" applyBorder="1" applyAlignment="1">
      <alignment horizontal="left" vertical="center"/>
    </xf>
    <xf numFmtId="0" fontId="29" fillId="5" borderId="5" xfId="0" applyFont="1" applyFill="1" applyBorder="1" applyAlignment="1">
      <alignment horizontal="left" vertical="center"/>
    </xf>
    <xf numFmtId="0" fontId="22" fillId="5" borderId="5" xfId="0" applyFont="1" applyFill="1" applyBorder="1" applyAlignment="1">
      <alignment horizontal="center" vertical="center"/>
    </xf>
    <xf numFmtId="179" fontId="22" fillId="5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49" fontId="22" fillId="5" borderId="10" xfId="0" applyNumberFormat="1" applyFont="1" applyFill="1" applyBorder="1" applyAlignment="1">
      <alignment horizontal="left" vertical="center"/>
    </xf>
    <xf numFmtId="0" fontId="22" fillId="5" borderId="10" xfId="0" applyFont="1" applyFill="1" applyBorder="1" applyAlignment="1">
      <alignment horizontal="left" vertical="center"/>
    </xf>
    <xf numFmtId="0" fontId="22" fillId="5" borderId="10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vertical="center"/>
    </xf>
    <xf numFmtId="178" fontId="10" fillId="5" borderId="10" xfId="0" applyNumberFormat="1" applyFont="1" applyFill="1" applyBorder="1" applyAlignment="1">
      <alignment horizontal="right" vertical="center" shrinkToFit="1"/>
    </xf>
    <xf numFmtId="178" fontId="10" fillId="5" borderId="10" xfId="0" applyNumberFormat="1" applyFont="1" applyFill="1" applyBorder="1" applyAlignment="1">
      <alignment horizontal="right" vertical="center"/>
    </xf>
    <xf numFmtId="3" fontId="10" fillId="5" borderId="10" xfId="0" applyNumberFormat="1" applyFont="1" applyFill="1" applyBorder="1" applyAlignment="1">
      <alignment horizontal="center" vertical="center"/>
    </xf>
    <xf numFmtId="49" fontId="65" fillId="5" borderId="10" xfId="0" applyNumberFormat="1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/>
    </xf>
    <xf numFmtId="49" fontId="49" fillId="5" borderId="11" xfId="0" quotePrefix="1" applyNumberFormat="1" applyFont="1" applyFill="1" applyBorder="1" applyAlignment="1">
      <alignment horizontal="left" vertical="center"/>
    </xf>
    <xf numFmtId="0" fontId="22" fillId="5" borderId="11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left" vertical="center"/>
    </xf>
    <xf numFmtId="3" fontId="10" fillId="5" borderId="11" xfId="0" applyNumberFormat="1" applyFont="1" applyFill="1" applyBorder="1" applyAlignment="1">
      <alignment horizontal="center" vertical="center"/>
    </xf>
    <xf numFmtId="1" fontId="10" fillId="5" borderId="12" xfId="0" applyNumberFormat="1" applyFont="1" applyFill="1" applyBorder="1" applyAlignment="1">
      <alignment horizontal="center" vertical="center"/>
    </xf>
    <xf numFmtId="178" fontId="10" fillId="5" borderId="11" xfId="0" applyNumberFormat="1" applyFont="1" applyFill="1" applyBorder="1" applyAlignment="1">
      <alignment horizontal="right" vertical="center" shrinkToFit="1"/>
    </xf>
    <xf numFmtId="178" fontId="10" fillId="5" borderId="11" xfId="0" applyNumberFormat="1" applyFont="1" applyFill="1" applyBorder="1" applyAlignment="1">
      <alignment horizontal="right" vertical="center"/>
    </xf>
    <xf numFmtId="49" fontId="27" fillId="5" borderId="7" xfId="0" quotePrefix="1" applyNumberFormat="1" applyFont="1" applyFill="1" applyBorder="1" applyAlignment="1">
      <alignment horizontal="left" vertical="center"/>
    </xf>
    <xf numFmtId="0" fontId="22" fillId="5" borderId="4" xfId="0" applyFont="1" applyFill="1" applyBorder="1" applyAlignment="1">
      <alignment horizontal="left" vertical="center"/>
    </xf>
    <xf numFmtId="180" fontId="22" fillId="5" borderId="4" xfId="0" applyNumberFormat="1" applyFont="1" applyFill="1" applyBorder="1" applyAlignment="1">
      <alignment vertical="center" shrinkToFit="1"/>
    </xf>
    <xf numFmtId="180" fontId="22" fillId="5" borderId="4" xfId="0" applyNumberFormat="1" applyFont="1" applyFill="1" applyBorder="1" applyAlignment="1">
      <alignment horizontal="center" vertical="center" shrinkToFit="1"/>
    </xf>
    <xf numFmtId="179" fontId="22" fillId="5" borderId="4" xfId="0" applyNumberFormat="1" applyFont="1" applyFill="1" applyBorder="1" applyAlignment="1">
      <alignment horizontal="right" vertical="center"/>
    </xf>
    <xf numFmtId="178" fontId="10" fillId="5" borderId="4" xfId="0" applyNumberFormat="1" applyFont="1" applyFill="1" applyBorder="1" applyAlignment="1">
      <alignment horizontal="right" vertical="center"/>
    </xf>
    <xf numFmtId="49" fontId="27" fillId="3" borderId="7" xfId="0" quotePrefix="1" applyNumberFormat="1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180" fontId="22" fillId="3" borderId="4" xfId="0" applyNumberFormat="1" applyFont="1" applyFill="1" applyBorder="1" applyAlignment="1">
      <alignment vertical="center" shrinkToFit="1"/>
    </xf>
    <xf numFmtId="180" fontId="22" fillId="3" borderId="4" xfId="0" applyNumberFormat="1" applyFont="1" applyFill="1" applyBorder="1" applyAlignment="1">
      <alignment horizontal="center" vertical="center" shrinkToFit="1"/>
    </xf>
    <xf numFmtId="179" fontId="22" fillId="3" borderId="4" xfId="0" applyNumberFormat="1" applyFont="1" applyFill="1" applyBorder="1" applyAlignment="1">
      <alignment horizontal="right" vertical="center"/>
    </xf>
  </cellXfs>
  <cellStyles count="12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117475</xdr:colOff>
      <xdr:row>2</xdr:row>
      <xdr:rowOff>596901</xdr:rowOff>
    </xdr:from>
    <xdr:to>
      <xdr:col>6</xdr:col>
      <xdr:colOff>3355975</xdr:colOff>
      <xdr:row>2</xdr:row>
      <xdr:rowOff>1909535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83EA5892-FCEB-ECCC-3151-B385EEE53D00}"/>
            </a:ext>
          </a:extLst>
        </xdr:cNvPr>
        <xdr:cNvGrpSpPr/>
      </xdr:nvGrpSpPr>
      <xdr:grpSpPr>
        <a:xfrm>
          <a:off x="18519775" y="2120901"/>
          <a:ext cx="3238500" cy="1312634"/>
          <a:chOff x="18615025" y="2120901"/>
          <a:chExt cx="3238500" cy="1312634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E5E2874B-1B88-420D-841B-8B296D2D11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615025" y="2120901"/>
            <a:ext cx="3238500" cy="1312634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139CB03D-645A-4F44-354B-996906759DDF}"/>
              </a:ext>
            </a:extLst>
          </xdr:cNvPr>
          <xdr:cNvSpPr/>
        </xdr:nvSpPr>
        <xdr:spPr bwMode="auto">
          <a:xfrm>
            <a:off x="19570700" y="2552700"/>
            <a:ext cx="114300" cy="196850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workbookViewId="0">
      <selection activeCell="H45" sqref="H45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66</v>
      </c>
    </row>
    <row r="3" spans="1:3">
      <c r="A3" s="7">
        <f>A2+1</f>
        <v>3</v>
      </c>
      <c r="B3" s="4" t="s">
        <v>3</v>
      </c>
      <c r="C3" s="2" t="s">
        <v>67</v>
      </c>
    </row>
    <row r="4" spans="1:3">
      <c r="A4" s="7">
        <f t="shared" ref="A4:A68" si="0">A3+1</f>
        <v>4</v>
      </c>
      <c r="B4" s="4" t="s">
        <v>2</v>
      </c>
      <c r="C4" s="2" t="s">
        <v>68</v>
      </c>
    </row>
    <row r="5" spans="1:3" s="8" customFormat="1">
      <c r="A5" s="7">
        <f t="shared" si="0"/>
        <v>5</v>
      </c>
      <c r="B5" s="4" t="s">
        <v>4</v>
      </c>
      <c r="C5" s="4" t="s">
        <v>69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77</v>
      </c>
      <c r="C9" s="4" t="s">
        <v>102</v>
      </c>
    </row>
    <row r="10" spans="1:3" s="8" customFormat="1">
      <c r="A10" s="7">
        <f t="shared" si="0"/>
        <v>10</v>
      </c>
      <c r="B10" s="9" t="s">
        <v>78</v>
      </c>
      <c r="C10" s="4" t="s">
        <v>146</v>
      </c>
    </row>
    <row r="11" spans="1:3" s="8" customFormat="1">
      <c r="A11" s="7">
        <f t="shared" si="0"/>
        <v>11</v>
      </c>
      <c r="B11" s="9" t="s">
        <v>79</v>
      </c>
      <c r="C11" s="2" t="s">
        <v>103</v>
      </c>
    </row>
    <row r="12" spans="1:3" s="8" customFormat="1">
      <c r="A12" s="7">
        <f t="shared" si="0"/>
        <v>12</v>
      </c>
      <c r="B12" s="9" t="s">
        <v>80</v>
      </c>
      <c r="C12" s="2" t="s">
        <v>104</v>
      </c>
    </row>
    <row r="13" spans="1:3" s="8" customFormat="1">
      <c r="A13" s="7">
        <f t="shared" si="0"/>
        <v>13</v>
      </c>
      <c r="B13" s="9" t="s">
        <v>9</v>
      </c>
      <c r="C13" s="3" t="s">
        <v>107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70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85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81</v>
      </c>
    </row>
    <row r="25" spans="1:3" s="8" customFormat="1">
      <c r="A25" s="7">
        <f t="shared" si="0"/>
        <v>25</v>
      </c>
      <c r="B25" s="9" t="s">
        <v>20</v>
      </c>
      <c r="C25" s="25" t="s">
        <v>203</v>
      </c>
    </row>
    <row r="26" spans="1:3">
      <c r="A26" s="7">
        <f t="shared" si="0"/>
        <v>26</v>
      </c>
      <c r="B26" s="9" t="s">
        <v>21</v>
      </c>
      <c r="C26" s="26" t="s">
        <v>202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SY-6200107-VT-DD-01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71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65</v>
      </c>
    </row>
    <row r="36" spans="1:3">
      <c r="A36" s="7">
        <f t="shared" si="0"/>
        <v>36</v>
      </c>
      <c r="B36" s="9" t="s">
        <v>32</v>
      </c>
      <c r="C36" s="15" t="s">
        <v>106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204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538234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65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SY-6200107-VT-DD-01</v>
      </c>
    </row>
    <row r="50" spans="1:3">
      <c r="A50" s="7">
        <f t="shared" si="0"/>
        <v>50</v>
      </c>
      <c r="B50" s="9" t="s">
        <v>45</v>
      </c>
      <c r="C50" s="4" t="s">
        <v>102</v>
      </c>
    </row>
    <row r="51" spans="1:3">
      <c r="A51" s="7">
        <f t="shared" si="0"/>
        <v>51</v>
      </c>
      <c r="B51" s="9" t="s">
        <v>46</v>
      </c>
      <c r="C51" s="4" t="s">
        <v>146</v>
      </c>
    </row>
    <row r="52" spans="1:3">
      <c r="A52" s="7">
        <f t="shared" si="0"/>
        <v>52</v>
      </c>
      <c r="B52" s="9" t="s">
        <v>47</v>
      </c>
      <c r="C52" s="2" t="s">
        <v>103</v>
      </c>
    </row>
    <row r="53" spans="1:3">
      <c r="A53" s="7">
        <f t="shared" si="0"/>
        <v>53</v>
      </c>
      <c r="B53" s="9" t="s">
        <v>48</v>
      </c>
      <c r="C53" s="2" t="s">
        <v>104</v>
      </c>
    </row>
    <row r="54" spans="1:3">
      <c r="A54" s="7">
        <f t="shared" si="0"/>
        <v>54</v>
      </c>
      <c r="B54" s="9" t="s">
        <v>49</v>
      </c>
      <c r="C54" s="3" t="s">
        <v>105</v>
      </c>
    </row>
    <row r="55" spans="1:3">
      <c r="A55" s="7">
        <f t="shared" si="0"/>
        <v>55</v>
      </c>
      <c r="B55" s="28" t="s">
        <v>50</v>
      </c>
      <c r="C55" s="26" t="s">
        <v>205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53</v>
      </c>
    </row>
    <row r="61" spans="1:3">
      <c r="A61" s="7">
        <f t="shared" si="0"/>
        <v>61</v>
      </c>
      <c r="B61" s="4" t="s">
        <v>54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82</v>
      </c>
      <c r="C63" s="17" t="s">
        <v>83</v>
      </c>
    </row>
    <row r="64" spans="1:3">
      <c r="A64" s="7">
        <f t="shared" si="0"/>
        <v>64</v>
      </c>
      <c r="B64" s="4"/>
      <c r="C64" s="17" t="s">
        <v>84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55</v>
      </c>
      <c r="C67" s="6"/>
    </row>
    <row r="68" spans="1:3">
      <c r="A68" s="7">
        <f t="shared" si="0"/>
        <v>68</v>
      </c>
      <c r="B68" s="9" t="s">
        <v>56</v>
      </c>
      <c r="C68" s="2" t="s">
        <v>76</v>
      </c>
    </row>
    <row r="69" spans="1:3">
      <c r="A69" s="7">
        <f t="shared" ref="A69:A86" si="1">A68+1</f>
        <v>69</v>
      </c>
      <c r="B69" s="4" t="s">
        <v>57</v>
      </c>
      <c r="C69" s="2" t="s">
        <v>74</v>
      </c>
    </row>
    <row r="70" spans="1:3">
      <c r="A70" s="7">
        <f t="shared" si="1"/>
        <v>70</v>
      </c>
      <c r="B70" s="4" t="s">
        <v>58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59</v>
      </c>
      <c r="C75" s="2" t="s">
        <v>73</v>
      </c>
    </row>
    <row r="76" spans="1:3">
      <c r="A76" s="7">
        <f t="shared" si="1"/>
        <v>76</v>
      </c>
      <c r="B76" s="4" t="s">
        <v>60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61</v>
      </c>
      <c r="C78" s="2" t="s">
        <v>75</v>
      </c>
    </row>
    <row r="79" spans="1:3">
      <c r="A79" s="7">
        <f t="shared" si="1"/>
        <v>79</v>
      </c>
      <c r="B79" s="4" t="s">
        <v>62</v>
      </c>
      <c r="C79" s="2" t="s">
        <v>75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63</v>
      </c>
      <c r="C81" s="25" t="s">
        <v>203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64</v>
      </c>
      <c r="C83" s="2" t="s">
        <v>72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2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129" customFormat="1" ht="32.25" customHeight="1">
      <c r="H1" s="130"/>
    </row>
    <row r="2" spans="1:15" s="129" customFormat="1" ht="32.5">
      <c r="A2" s="129" t="str">
        <f>'shipper master'!C26</f>
        <v xml:space="preserve"> SY-6200107-VT-DD-01</v>
      </c>
      <c r="H2" s="130"/>
      <c r="I2" s="129" t="str">
        <f>'shipper master'!C26</f>
        <v xml:space="preserve"> SY-6200107-VT-DD-01</v>
      </c>
    </row>
    <row r="3" spans="1:15" s="129" customFormat="1" ht="32.5">
      <c r="A3" s="129" t="str">
        <f>'[1]shipper master'!C50</f>
        <v xml:space="preserve">VIVAN GARMENTS VIET NAM </v>
      </c>
      <c r="H3" s="130"/>
      <c r="I3" s="129" t="str">
        <f>'[1]shipper master'!C50</f>
        <v xml:space="preserve">VIVAN GARMENTS VIET NAM </v>
      </c>
    </row>
    <row r="4" spans="1:15" s="129" customFormat="1" ht="32.5">
      <c r="A4" s="129" t="str">
        <f>'[1]shipper master'!C51</f>
        <v xml:space="preserve"> COMPANY LIMITED</v>
      </c>
      <c r="H4" s="130"/>
      <c r="I4" s="129" t="str">
        <f>'[1]shipper master'!C51</f>
        <v xml:space="preserve"> COMPANY LIMITED</v>
      </c>
    </row>
    <row r="5" spans="1:15" s="129" customFormat="1" ht="32.5">
      <c r="A5" s="129" t="str">
        <f>'[1]shipper master'!C52</f>
        <v xml:space="preserve"> HOCHIMINH-CITY, VIETNAM</v>
      </c>
      <c r="H5" s="130"/>
      <c r="I5" s="129" t="str">
        <f>'[1]shipper master'!C52</f>
        <v xml:space="preserve"> HOCHIMINH-CITY, VIETNAM</v>
      </c>
    </row>
    <row r="6" spans="1:15" s="129" customFormat="1" ht="32.5">
      <c r="A6" s="129" t="s">
        <v>111</v>
      </c>
      <c r="C6" s="129">
        <v>1</v>
      </c>
      <c r="D6" s="131"/>
      <c r="H6" s="130"/>
      <c r="I6" s="129" t="s">
        <v>111</v>
      </c>
      <c r="K6" s="129">
        <v>2</v>
      </c>
    </row>
    <row r="7" spans="1:15" s="129" customFormat="1" ht="32.25" customHeight="1">
      <c r="A7" s="129" t="str">
        <f>'[1]shipper master'!C54</f>
        <v xml:space="preserve"> MADE IN JAPAN</v>
      </c>
      <c r="H7" s="130"/>
      <c r="I7" s="129" t="str">
        <f>'[1]shipper master'!C54</f>
        <v xml:space="preserve"> MADE IN JAPAN</v>
      </c>
    </row>
    <row r="8" spans="1:15" s="129" customFormat="1" ht="19.5" customHeight="1">
      <c r="H8" s="130"/>
    </row>
    <row r="9" spans="1:15" s="129" customFormat="1" ht="19.5" customHeight="1">
      <c r="H9" s="130"/>
    </row>
    <row r="10" spans="1:15" s="129" customFormat="1" ht="19.5" customHeight="1">
      <c r="A10" s="132"/>
      <c r="B10" s="132"/>
      <c r="C10" s="132"/>
      <c r="D10" s="132"/>
      <c r="E10" s="132"/>
      <c r="F10" s="132"/>
      <c r="G10" s="132"/>
      <c r="H10" s="133"/>
      <c r="I10" s="132"/>
      <c r="J10" s="132"/>
      <c r="K10" s="132"/>
      <c r="L10" s="132"/>
      <c r="M10" s="132"/>
      <c r="N10" s="132"/>
      <c r="O10" s="132"/>
    </row>
    <row r="11" spans="1:15" s="129" customFormat="1" ht="19.5" customHeight="1">
      <c r="H11" s="130"/>
    </row>
    <row r="12" spans="1:15" s="129" customFormat="1" ht="19.5" customHeight="1">
      <c r="H12" s="130"/>
    </row>
    <row r="13" spans="1:15" s="129" customFormat="1" ht="32.5">
      <c r="A13" s="129" t="str">
        <f>'shipper master'!C26</f>
        <v xml:space="preserve"> SY-6200107-VT-DD-01</v>
      </c>
      <c r="H13" s="130"/>
      <c r="I13" s="129" t="str">
        <f>'shipper master'!C26</f>
        <v xml:space="preserve"> SY-6200107-VT-DD-01</v>
      </c>
    </row>
    <row r="14" spans="1:15" s="129" customFormat="1" ht="32.5">
      <c r="A14" s="129" t="str">
        <f>'[1]shipper master'!C50</f>
        <v xml:space="preserve">VIVAN GARMENTS VIET NAM </v>
      </c>
      <c r="H14" s="130"/>
      <c r="I14" s="129" t="str">
        <f>'[1]shipper master'!C50</f>
        <v xml:space="preserve">VIVAN GARMENTS VIET NAM </v>
      </c>
    </row>
    <row r="15" spans="1:15" s="129" customFormat="1" ht="32.5">
      <c r="A15" s="129" t="str">
        <f>'[1]shipper master'!C51</f>
        <v xml:space="preserve"> COMPANY LIMITED</v>
      </c>
      <c r="H15" s="130"/>
      <c r="I15" s="129" t="str">
        <f>'[1]shipper master'!C51</f>
        <v xml:space="preserve"> COMPANY LIMITED</v>
      </c>
    </row>
    <row r="16" spans="1:15" s="129" customFormat="1" ht="32.5">
      <c r="A16" s="129" t="str">
        <f>'[1]shipper master'!C52</f>
        <v xml:space="preserve"> HOCHIMINH-CITY, VIETNAM</v>
      </c>
      <c r="H16" s="130"/>
      <c r="I16" s="129" t="str">
        <f>'[1]shipper master'!C52</f>
        <v xml:space="preserve"> HOCHIMINH-CITY, VIETNAM</v>
      </c>
    </row>
    <row r="17" spans="1:11" s="129" customFormat="1" ht="32.5">
      <c r="A17" s="129" t="s">
        <v>111</v>
      </c>
      <c r="C17" s="129">
        <v>3</v>
      </c>
      <c r="H17" s="130"/>
      <c r="I17" s="129" t="s">
        <v>111</v>
      </c>
      <c r="K17" s="129">
        <v>4</v>
      </c>
    </row>
    <row r="18" spans="1:11" s="129" customFormat="1" ht="32.5">
      <c r="A18" s="129" t="str">
        <f>'[1]shipper master'!C54</f>
        <v xml:space="preserve"> MADE IN JAPAN</v>
      </c>
      <c r="H18" s="130"/>
      <c r="I18" s="129" t="str">
        <f>'[1]shipper master'!C54</f>
        <v xml:space="preserve"> MADE IN JAPAN</v>
      </c>
    </row>
    <row r="19" spans="1:11" s="134" customFormat="1" ht="34">
      <c r="A19" s="129"/>
    </row>
    <row r="20" spans="1:11" s="134" customFormat="1" ht="34"/>
    <row r="21" spans="1:11" s="134" customFormat="1" ht="34"/>
    <row r="22" spans="1:11" s="134" customFormat="1" ht="34"/>
    <row r="23" spans="1:11" s="134" customFormat="1" ht="34"/>
    <row r="24" spans="1:11" s="134" customFormat="1" ht="34"/>
    <row r="25" spans="1:11" s="134" customFormat="1" ht="34"/>
    <row r="26" spans="1:11" s="129" customFormat="1" ht="32.5"/>
    <row r="27" spans="1:11" s="129" customFormat="1" ht="32.5"/>
    <row r="28" spans="1:11" s="129" customFormat="1" ht="32.5"/>
    <row r="29" spans="1:11" s="129" customFormat="1" ht="32.5"/>
    <row r="30" spans="1:11" s="129" customFormat="1" ht="32.5"/>
    <row r="31" spans="1:11" s="129" customFormat="1" ht="32.5"/>
    <row r="32" spans="1:11" s="129" customFormat="1" ht="32.5"/>
    <row r="33" s="129" customFormat="1" ht="32.5"/>
    <row r="34" s="129" customFormat="1" ht="32.5"/>
  </sheetData>
  <phoneticPr fontId="12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16" zoomScale="110" zoomScaleNormal="115" zoomScaleSheetLayoutView="110" workbookViewId="0">
      <selection activeCell="R25" sqref="R25"/>
    </sheetView>
  </sheetViews>
  <sheetFormatPr defaultColWidth="9" defaultRowHeight="16"/>
  <cols>
    <col min="1" max="1" width="8.6328125" style="138" customWidth="1"/>
    <col min="2" max="2" width="11.6328125" style="138" customWidth="1"/>
    <col min="3" max="3" width="4.81640625" style="138" customWidth="1"/>
    <col min="4" max="4" width="23.36328125" style="138" customWidth="1"/>
    <col min="5" max="5" width="6.08984375" style="138" customWidth="1"/>
    <col min="6" max="7" width="3.08984375" style="138" customWidth="1"/>
    <col min="8" max="8" width="2.90625" style="138" customWidth="1"/>
    <col min="9" max="9" width="3.08984375" style="138" hidden="1" customWidth="1"/>
    <col min="10" max="10" width="8.453125" style="138" customWidth="1"/>
    <col min="11" max="11" width="9.90625" style="138" customWidth="1"/>
    <col min="12" max="12" width="13" style="138" customWidth="1"/>
    <col min="13" max="13" width="13.90625" style="138" customWidth="1"/>
    <col min="14" max="16384" width="9" style="138"/>
  </cols>
  <sheetData>
    <row r="1" spans="1:13" s="135" customFormat="1" ht="32.25" customHeight="1">
      <c r="A1" s="313" t="s">
        <v>112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</row>
    <row r="2" spans="1:13" ht="23.25" customHeight="1">
      <c r="A2" s="136" t="str">
        <f>'[2]shipper master'!C2</f>
        <v xml:space="preserve"> SHUNYA CO., LTD.</v>
      </c>
      <c r="B2" s="137"/>
      <c r="C2" s="137"/>
      <c r="D2" s="137"/>
      <c r="E2" s="137"/>
      <c r="L2" s="139"/>
    </row>
    <row r="3" spans="1:13" ht="15.75" customHeight="1">
      <c r="A3" s="3" t="str">
        <f>'[2]shipper master'!C3</f>
        <v xml:space="preserve"> KENSHIN BLDG., 1F, 1-22-10 DOUGENZAKA,</v>
      </c>
      <c r="B3" s="137"/>
      <c r="C3" s="137"/>
      <c r="D3" s="137"/>
      <c r="E3" s="137"/>
      <c r="L3" s="139"/>
    </row>
    <row r="4" spans="1:13" ht="18" customHeight="1">
      <c r="A4" s="3" t="str">
        <f>'[2]shipper master'!C4</f>
        <v xml:space="preserve"> SHIBUYA-KU 150-0043</v>
      </c>
      <c r="B4" s="137"/>
      <c r="C4" s="137"/>
      <c r="D4" s="137"/>
      <c r="E4" s="137"/>
      <c r="F4" s="140"/>
      <c r="G4" s="140"/>
      <c r="H4" s="140"/>
      <c r="I4" s="140"/>
      <c r="J4" s="140"/>
      <c r="L4" s="3">
        <f>'[2]shipper master'!C6</f>
        <v>0</v>
      </c>
    </row>
    <row r="5" spans="1:13" ht="16.5" thickBot="1">
      <c r="A5" s="141" t="str">
        <f>'[2]shipper master'!C5</f>
        <v xml:space="preserve"> TEL : +81(0)3-5459-1177</v>
      </c>
      <c r="B5" s="137"/>
      <c r="C5" s="137"/>
      <c r="D5" s="137"/>
      <c r="L5" s="3">
        <f>'[2]shipper master'!C7</f>
        <v>0</v>
      </c>
      <c r="M5" s="142"/>
    </row>
    <row r="6" spans="1:13" ht="13.4" customHeight="1">
      <c r="A6" s="143" t="s">
        <v>113</v>
      </c>
      <c r="B6" s="144"/>
      <c r="C6" s="144"/>
      <c r="D6" s="144"/>
      <c r="E6" s="144"/>
      <c r="F6" s="145" t="s">
        <v>114</v>
      </c>
      <c r="G6" s="146"/>
      <c r="H6" s="146"/>
      <c r="I6" s="146"/>
      <c r="J6" s="144"/>
      <c r="K6" s="289"/>
      <c r="L6" s="145" t="s">
        <v>115</v>
      </c>
      <c r="M6" s="139"/>
    </row>
    <row r="7" spans="1:13" ht="13.4" customHeight="1">
      <c r="A7" s="3" t="str">
        <f>'[2]shipper master'!C9</f>
        <v>VIVAN GARMENTS VIET NAM COMPANY LIMITED</v>
      </c>
      <c r="B7" s="139"/>
      <c r="C7" s="139"/>
      <c r="D7" s="139"/>
      <c r="E7" s="139"/>
      <c r="F7" s="147" t="str">
        <f>'shipper master'!C26</f>
        <v xml:space="preserve"> SY-6200107-VT-DD-01</v>
      </c>
      <c r="G7" s="148"/>
      <c r="H7" s="148"/>
      <c r="I7" s="148"/>
      <c r="J7" s="148"/>
      <c r="K7" s="290"/>
      <c r="L7" s="149"/>
      <c r="M7" s="139"/>
    </row>
    <row r="8" spans="1:13" ht="13.4" customHeight="1">
      <c r="A8" s="3" t="str">
        <f>'[2]shipper master'!C10</f>
        <v>D17 Street , Sai Gon South Residential Area</v>
      </c>
      <c r="B8" s="139"/>
      <c r="C8" s="139"/>
      <c r="D8" s="139"/>
      <c r="E8" s="139"/>
      <c r="F8" s="150" t="s">
        <v>116</v>
      </c>
      <c r="G8" s="143"/>
      <c r="H8" s="143"/>
      <c r="I8" s="143"/>
      <c r="J8" s="139"/>
      <c r="K8" s="291"/>
      <c r="L8" s="151" t="str">
        <f>'shipper master'!C26</f>
        <v xml:space="preserve"> SY-6200107-VT-DD-01</v>
      </c>
      <c r="M8" s="139"/>
    </row>
    <row r="9" spans="1:13" ht="13.4" customHeight="1">
      <c r="A9" s="3" t="str">
        <f>'[2]shipper master'!C11</f>
        <v>Hamlet 3 , Long Hau Commune , Can Giuoc District,</v>
      </c>
      <c r="B9" s="139"/>
      <c r="C9" s="139"/>
      <c r="D9" s="139"/>
      <c r="E9" s="139"/>
      <c r="F9" s="292" t="str">
        <f>'shipper master'!C25</f>
        <v>Jan, 07 2025</v>
      </c>
      <c r="G9" s="152"/>
      <c r="H9" s="152"/>
      <c r="I9" s="152"/>
      <c r="J9" s="152"/>
      <c r="K9" s="153"/>
      <c r="L9" s="151" t="str">
        <f>'[1]shipper master'!C50</f>
        <v xml:space="preserve">VIVAN GARMENTS VIET NAM </v>
      </c>
      <c r="M9" s="139"/>
    </row>
    <row r="10" spans="1:13" ht="13.4" customHeight="1">
      <c r="A10" s="3" t="str">
        <f>'[2]shipper master'!C12</f>
        <v xml:space="preserve"> Long An Province , VietNam</v>
      </c>
      <c r="B10" s="139"/>
      <c r="C10" s="139"/>
      <c r="D10" s="139"/>
      <c r="E10" s="139"/>
      <c r="F10" s="150" t="s">
        <v>117</v>
      </c>
      <c r="G10" s="143"/>
      <c r="H10" s="143"/>
      <c r="I10" s="143"/>
      <c r="J10" s="139"/>
      <c r="K10" s="291"/>
      <c r="L10" s="151" t="str">
        <f>'[1]shipper master'!C51</f>
        <v xml:space="preserve"> COMPANY LIMITED</v>
      </c>
      <c r="M10" s="139"/>
    </row>
    <row r="11" spans="1:13" ht="13.4" customHeight="1">
      <c r="A11" s="148" t="str">
        <f>'[2]shipper master'!C13</f>
        <v xml:space="preserve"> TEL : ( 084 ) 097 22 00 798  ATTN : MR. TUAN</v>
      </c>
      <c r="B11" s="139"/>
      <c r="C11" s="139"/>
      <c r="D11" s="139"/>
      <c r="E11" s="158"/>
      <c r="F11" s="314" t="str">
        <f>'shipper master'!C26</f>
        <v xml:space="preserve"> SY-6200107-VT-DD-01</v>
      </c>
      <c r="G11" s="315"/>
      <c r="H11" s="315"/>
      <c r="I11" s="315"/>
      <c r="J11" s="315"/>
      <c r="K11" s="316"/>
      <c r="L11" s="151" t="str">
        <f>'[1]shipper master'!C52</f>
        <v xml:space="preserve"> HOCHIMINH-CITY, VIETNAM</v>
      </c>
      <c r="M11" s="139"/>
    </row>
    <row r="12" spans="1:13" ht="13.4" customHeight="1">
      <c r="A12" s="143" t="s">
        <v>118</v>
      </c>
      <c r="B12" s="154"/>
      <c r="C12" s="154"/>
      <c r="D12" s="154"/>
      <c r="E12" s="139"/>
      <c r="F12" s="150" t="s">
        <v>119</v>
      </c>
      <c r="G12" s="143"/>
      <c r="H12" s="143"/>
      <c r="I12" s="143"/>
      <c r="J12" s="139"/>
      <c r="K12" s="139"/>
      <c r="L12" s="155" t="s">
        <v>201</v>
      </c>
      <c r="M12" s="139"/>
    </row>
    <row r="13" spans="1:13" ht="13.4" customHeight="1">
      <c r="A13" s="3" t="str">
        <f>'[2]shipper master'!C15</f>
        <v xml:space="preserve"> - SAME AS BUYER -</v>
      </c>
      <c r="B13" s="139"/>
      <c r="C13" s="139"/>
      <c r="D13" s="139"/>
      <c r="E13" s="139"/>
      <c r="F13" s="314">
        <f>'[2]shipper master'!C30</f>
        <v>0</v>
      </c>
      <c r="G13" s="315"/>
      <c r="H13" s="315"/>
      <c r="I13" s="315"/>
      <c r="J13" s="315"/>
      <c r="K13" s="316"/>
      <c r="L13" s="151" t="s">
        <v>120</v>
      </c>
      <c r="M13" s="139"/>
    </row>
    <row r="14" spans="1:13" ht="13.4" customHeight="1">
      <c r="A14" s="3">
        <f>'[2]shipper master'!C16</f>
        <v>0</v>
      </c>
      <c r="B14" s="139"/>
      <c r="C14" s="139"/>
      <c r="D14" s="139"/>
      <c r="E14" s="139"/>
      <c r="F14" s="156" t="s">
        <v>24</v>
      </c>
      <c r="G14" s="3"/>
      <c r="H14" s="3"/>
      <c r="I14" s="3"/>
      <c r="J14" s="3"/>
      <c r="K14" s="157"/>
      <c r="L14" s="151"/>
      <c r="M14" s="139"/>
    </row>
    <row r="15" spans="1:13" ht="13.4" customHeight="1">
      <c r="A15" s="3">
        <f>'[2]shipper master'!C17</f>
        <v>0</v>
      </c>
      <c r="B15" s="139"/>
      <c r="C15" s="139"/>
      <c r="D15" s="139"/>
      <c r="E15" s="139"/>
      <c r="F15" s="314">
        <f>'[2]shipper master'!C29</f>
        <v>0</v>
      </c>
      <c r="G15" s="315"/>
      <c r="H15" s="315"/>
      <c r="I15" s="315"/>
      <c r="J15" s="315"/>
      <c r="K15" s="316"/>
      <c r="L15" s="149"/>
      <c r="M15" s="139"/>
    </row>
    <row r="16" spans="1:13" ht="13.4" customHeight="1">
      <c r="A16" s="3">
        <f>'[2]shipper master'!C18</f>
        <v>0</v>
      </c>
      <c r="B16" s="139"/>
      <c r="C16" s="139"/>
      <c r="D16" s="139"/>
      <c r="E16" s="139"/>
      <c r="F16" s="150" t="s">
        <v>121</v>
      </c>
      <c r="G16" s="143"/>
      <c r="H16" s="143"/>
      <c r="I16" s="143"/>
      <c r="J16" s="139"/>
      <c r="K16" s="139"/>
      <c r="L16" s="149"/>
      <c r="M16" s="139"/>
    </row>
    <row r="17" spans="1:13" ht="13.4" customHeight="1">
      <c r="A17" s="148">
        <f>'[2]shipper master'!C19</f>
        <v>0</v>
      </c>
      <c r="B17" s="158"/>
      <c r="C17" s="158"/>
      <c r="D17" s="158"/>
      <c r="E17" s="158"/>
      <c r="F17" s="317"/>
      <c r="G17" s="318"/>
      <c r="H17" s="318"/>
      <c r="I17" s="318"/>
      <c r="J17" s="318"/>
      <c r="K17" s="319"/>
      <c r="L17" s="149"/>
      <c r="M17" s="139"/>
    </row>
    <row r="18" spans="1:13" ht="13.4" customHeight="1">
      <c r="A18" s="143" t="s">
        <v>122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49"/>
      <c r="M18" s="139"/>
    </row>
    <row r="19" spans="1:13" ht="13.4" customHeight="1">
      <c r="A19" s="148" t="str">
        <f>'[2]shipper master'!C21</f>
        <v xml:space="preserve"> NO COMMERCIAL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9"/>
      <c r="M19" s="158"/>
    </row>
    <row r="20" spans="1:13" ht="13.4" customHeight="1">
      <c r="A20" s="143" t="s">
        <v>123</v>
      </c>
      <c r="B20" s="139"/>
      <c r="C20" s="139"/>
      <c r="D20" s="160" t="s">
        <v>124</v>
      </c>
      <c r="E20" s="161"/>
      <c r="F20" s="143" t="s">
        <v>125</v>
      </c>
      <c r="G20" s="143"/>
      <c r="H20" s="143"/>
      <c r="I20" s="143"/>
      <c r="J20" s="162" t="s">
        <v>126</v>
      </c>
      <c r="K20" s="163"/>
      <c r="L20" s="143" t="s">
        <v>127</v>
      </c>
      <c r="M20" s="139"/>
    </row>
    <row r="21" spans="1:13" s="1" customFormat="1" ht="13.4" customHeight="1" thickBot="1">
      <c r="A21" s="3" t="str">
        <f>'[2]shipper master'!C24</f>
        <v xml:space="preserve"> AIRCRAFT</v>
      </c>
      <c r="B21" s="141"/>
      <c r="C21" s="3"/>
      <c r="D21" s="164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41"/>
      <c r="K21" s="141"/>
      <c r="L21" s="4"/>
      <c r="M21" s="141"/>
    </row>
    <row r="22" spans="1:13" s="169" customFormat="1" ht="16.399999999999999" customHeight="1">
      <c r="A22" s="165" t="s">
        <v>128</v>
      </c>
      <c r="B22" s="165" t="s">
        <v>129</v>
      </c>
      <c r="C22" s="165"/>
      <c r="D22" s="166" t="s">
        <v>130</v>
      </c>
      <c r="E22" s="165" t="s">
        <v>131</v>
      </c>
      <c r="F22" s="166"/>
      <c r="G22" s="166"/>
      <c r="H22" s="166" t="s">
        <v>132</v>
      </c>
      <c r="I22" s="166"/>
      <c r="J22" s="166"/>
      <c r="K22" s="167" t="s">
        <v>133</v>
      </c>
      <c r="L22" s="165" t="s">
        <v>134</v>
      </c>
      <c r="M22" s="168" t="s">
        <v>135</v>
      </c>
    </row>
    <row r="23" spans="1:13" ht="13.4" customHeight="1">
      <c r="A23" s="170"/>
      <c r="B23" s="171"/>
      <c r="C23" s="171"/>
      <c r="D23" s="139"/>
      <c r="E23" s="171"/>
      <c r="F23" s="139"/>
      <c r="G23" s="139"/>
      <c r="H23" s="139"/>
      <c r="I23" s="139"/>
      <c r="J23" s="139"/>
      <c r="K23" s="172"/>
      <c r="L23" s="139"/>
      <c r="M23" s="149"/>
    </row>
    <row r="24" spans="1:13" s="1" customFormat="1" ht="13.4" customHeight="1">
      <c r="A24" s="173"/>
      <c r="B24" s="174" t="str">
        <f>'[2]shipper master'!C36</f>
        <v>FABRIC &amp; PARTS FOR WEAR &amp; SAMPLE CLOTHES</v>
      </c>
      <c r="C24" s="174"/>
      <c r="D24" s="4"/>
      <c r="E24" s="4"/>
      <c r="F24" s="4"/>
      <c r="G24" s="4"/>
      <c r="H24" s="4"/>
      <c r="I24" s="4"/>
      <c r="J24" s="4"/>
      <c r="K24" s="175"/>
      <c r="L24" s="176" t="str">
        <f>'[2]shipper master'!C48</f>
        <v>F.O.B. TOKYO IN YEN</v>
      </c>
      <c r="M24" s="177"/>
    </row>
    <row r="25" spans="1:13" s="1" customFormat="1" ht="13.4" customHeight="1">
      <c r="A25" s="173"/>
      <c r="B25" s="174"/>
      <c r="C25" s="174"/>
      <c r="D25" s="4"/>
      <c r="E25" s="4"/>
      <c r="F25" s="4"/>
      <c r="G25" s="4"/>
      <c r="H25" s="4"/>
      <c r="I25" s="4"/>
      <c r="J25" s="4"/>
      <c r="K25" s="175"/>
      <c r="L25" s="178"/>
      <c r="M25" s="177"/>
    </row>
    <row r="26" spans="1:13" s="1" customFormat="1" ht="13.4" customHeight="1">
      <c r="A26" s="179"/>
      <c r="B26" s="174">
        <f>'[2]shipper master'!C37</f>
        <v>0</v>
      </c>
      <c r="C26" s="174"/>
      <c r="D26" s="4"/>
      <c r="E26" s="4"/>
      <c r="F26" s="3"/>
      <c r="G26" s="3"/>
      <c r="H26" s="3"/>
      <c r="I26" s="3"/>
      <c r="J26" s="3"/>
      <c r="K26" s="181">
        <f>'NARITA '!E52</f>
        <v>110</v>
      </c>
      <c r="L26" s="182" t="s">
        <v>197</v>
      </c>
      <c r="M26" s="183">
        <f>'NARITA '!H52</f>
        <v>159560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81">
        <f>'NARITA '!E53</f>
        <v>170</v>
      </c>
      <c r="L27" s="182" t="s">
        <v>150</v>
      </c>
      <c r="M27" s="183">
        <f>'NARITA '!H53</f>
        <v>3774</v>
      </c>
    </row>
    <row r="28" spans="1:13" s="1" customFormat="1" ht="13.4" customHeight="1">
      <c r="A28" s="184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85">
        <f>'NARITA '!E54</f>
        <v>165.7</v>
      </c>
      <c r="L28" s="182" t="s">
        <v>154</v>
      </c>
      <c r="M28" s="186">
        <f>'NARITA '!H54</f>
        <v>374900</v>
      </c>
    </row>
    <row r="29" spans="1:13" s="1" customFormat="1" ht="13.4" customHeight="1">
      <c r="A29" s="184"/>
      <c r="B29" s="22"/>
      <c r="C29" s="22"/>
      <c r="D29" s="3"/>
      <c r="E29" s="4"/>
      <c r="F29" s="3"/>
      <c r="G29" s="3"/>
      <c r="H29" s="3"/>
      <c r="I29" s="3"/>
      <c r="J29" s="3"/>
      <c r="K29" s="185"/>
      <c r="L29" s="182"/>
      <c r="M29" s="186"/>
    </row>
    <row r="30" spans="1:13" s="1" customFormat="1" ht="17.25" customHeight="1" thickBot="1">
      <c r="A30" s="187"/>
      <c r="B30" s="188" t="s">
        <v>148</v>
      </c>
      <c r="C30" s="235"/>
      <c r="D30" s="247">
        <f>'NARITA '!E52</f>
        <v>110</v>
      </c>
      <c r="E30" s="235" t="s">
        <v>161</v>
      </c>
      <c r="F30" s="320">
        <f>'NARITA '!E53</f>
        <v>170</v>
      </c>
      <c r="G30" s="320"/>
      <c r="H30" s="320"/>
      <c r="I30" s="189" t="s">
        <v>86</v>
      </c>
      <c r="J30" s="189" t="s">
        <v>86</v>
      </c>
      <c r="K30" s="236">
        <f>'NARITA '!E54</f>
        <v>165.7</v>
      </c>
      <c r="L30" s="237" t="s">
        <v>147</v>
      </c>
      <c r="M30" s="190">
        <f>SUM(M26:M29)</f>
        <v>538234</v>
      </c>
    </row>
    <row r="31" spans="1:13" s="1" customFormat="1" ht="13.4" customHeight="1" thickTop="1">
      <c r="A31" s="191"/>
      <c r="B31" s="192"/>
      <c r="C31" s="192"/>
      <c r="D31" s="3"/>
      <c r="E31" s="193"/>
      <c r="F31" s="3"/>
      <c r="G31" s="193"/>
      <c r="H31" s="3"/>
      <c r="I31" s="3"/>
      <c r="J31" s="3"/>
      <c r="K31" s="184"/>
      <c r="L31" s="194"/>
      <c r="M31" s="191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95"/>
      <c r="L32" s="194"/>
      <c r="M32" s="196"/>
    </row>
    <row r="33" spans="1:13" s="1" customFormat="1" ht="13.4" customHeight="1">
      <c r="A33" s="3" t="str">
        <f>'[2]shipper master'!C63</f>
        <v>" THESE GOODS WILL BE RETURN TO JAPAN</v>
      </c>
      <c r="B33" s="197"/>
      <c r="C33" s="197"/>
      <c r="D33" s="197"/>
      <c r="E33" s="197"/>
      <c r="F33" s="197"/>
      <c r="G33" s="3"/>
      <c r="H33" s="3"/>
      <c r="I33" s="3" t="s">
        <v>136</v>
      </c>
      <c r="J33" s="3"/>
      <c r="K33" s="195" t="s">
        <v>137</v>
      </c>
      <c r="L33" s="194"/>
      <c r="M33" s="3"/>
    </row>
    <row r="34" spans="1:13" s="1" customFormat="1" ht="13.4" customHeight="1">
      <c r="A34" s="312" t="str">
        <f>'[2]shipper master'!C64</f>
        <v xml:space="preserve">  AFTER MANUFACTURED AT VIET NAM "</v>
      </c>
      <c r="B34" s="312"/>
      <c r="C34" s="312"/>
      <c r="D34" s="312"/>
      <c r="E34" s="4"/>
      <c r="F34" s="3"/>
      <c r="G34" s="3"/>
      <c r="H34" s="3"/>
      <c r="I34" s="3" t="s">
        <v>138</v>
      </c>
      <c r="J34" s="3"/>
      <c r="K34" s="195" t="s">
        <v>139</v>
      </c>
      <c r="L34" s="194"/>
      <c r="M34" s="196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84"/>
      <c r="L35" s="194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84"/>
      <c r="L36" s="194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84"/>
      <c r="L37" s="194"/>
      <c r="M37" s="3"/>
    </row>
    <row r="38" spans="1:13" s="1" customFormat="1" ht="13.4" customHeight="1">
      <c r="A38" s="198" t="s">
        <v>140</v>
      </c>
      <c r="B38" s="199"/>
      <c r="C38" s="199"/>
      <c r="D38" s="200" t="s">
        <v>198</v>
      </c>
      <c r="E38" s="4"/>
      <c r="F38" s="3"/>
      <c r="G38" s="3"/>
      <c r="H38" s="3"/>
      <c r="I38" s="3"/>
      <c r="J38" s="3"/>
      <c r="K38" s="184"/>
      <c r="L38" s="194"/>
      <c r="M38" s="3"/>
    </row>
    <row r="39" spans="1:13" s="1" customFormat="1" ht="13.4" customHeight="1">
      <c r="A39" s="198" t="s">
        <v>141</v>
      </c>
      <c r="B39" s="199"/>
      <c r="C39" s="199"/>
      <c r="D39" s="201" t="s">
        <v>142</v>
      </c>
      <c r="E39" s="4"/>
      <c r="F39" s="3"/>
      <c r="G39" s="3"/>
      <c r="H39" s="3"/>
      <c r="I39" s="3"/>
      <c r="J39" s="3"/>
      <c r="K39" s="184"/>
      <c r="L39" s="194"/>
      <c r="M39" s="3"/>
    </row>
    <row r="40" spans="1:13" s="1" customFormat="1" ht="13.4" customHeight="1">
      <c r="A40" s="180"/>
      <c r="B40" s="174"/>
      <c r="C40" s="174"/>
      <c r="D40" s="202"/>
      <c r="E40" s="174"/>
      <c r="F40" s="203"/>
      <c r="G40" s="203"/>
      <c r="H40" s="203"/>
      <c r="I40" s="3"/>
      <c r="J40" s="3"/>
      <c r="K40" s="184"/>
      <c r="L40" s="194"/>
      <c r="M40" s="3"/>
    </row>
    <row r="41" spans="1:13" ht="18" customHeight="1">
      <c r="A41" s="180"/>
      <c r="B41" s="139"/>
      <c r="C41" s="139"/>
      <c r="D41" s="139"/>
      <c r="E41" s="139"/>
      <c r="F41" s="139"/>
      <c r="G41" s="139"/>
      <c r="H41" s="171"/>
      <c r="I41" s="139"/>
      <c r="J41" s="139"/>
      <c r="K41" s="171"/>
      <c r="L41" s="204"/>
      <c r="M41" s="139"/>
    </row>
    <row r="42" spans="1:13" ht="13.4" customHeight="1">
      <c r="A42" s="139"/>
      <c r="B42" s="205"/>
      <c r="C42" s="205"/>
      <c r="D42" s="139"/>
      <c r="E42" s="139"/>
      <c r="F42" s="139"/>
      <c r="G42" s="139"/>
      <c r="H42" s="139"/>
      <c r="I42" s="139"/>
      <c r="J42" s="139"/>
      <c r="K42" s="206"/>
      <c r="L42" s="204"/>
      <c r="M42" s="139"/>
    </row>
    <row r="43" spans="1:13" ht="13.4" customHeight="1">
      <c r="A43" s="139"/>
      <c r="B43" s="205"/>
      <c r="C43" s="205"/>
      <c r="D43" s="139"/>
      <c r="E43" s="139"/>
      <c r="F43" s="139"/>
      <c r="G43" s="139"/>
      <c r="H43" s="139"/>
      <c r="I43" s="139"/>
      <c r="J43" s="139"/>
      <c r="K43" s="206"/>
      <c r="L43" s="204"/>
      <c r="M43" s="139"/>
    </row>
    <row r="44" spans="1:13" ht="13.4" customHeight="1">
      <c r="A44" s="139"/>
      <c r="B44" s="139"/>
      <c r="C44" s="139"/>
      <c r="D44" s="139"/>
      <c r="E44" s="139"/>
      <c r="F44" s="139"/>
      <c r="G44" s="139"/>
      <c r="H44" s="158"/>
      <c r="I44" s="158"/>
      <c r="J44" s="158"/>
      <c r="K44" s="207"/>
      <c r="L44" s="208"/>
      <c r="M44" s="158"/>
    </row>
    <row r="45" spans="1:13" ht="13.4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206"/>
      <c r="L45" s="204"/>
      <c r="M45" s="139"/>
    </row>
    <row r="46" spans="1:13" ht="13.4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206"/>
      <c r="L46" s="204"/>
      <c r="M46" s="139"/>
    </row>
    <row r="47" spans="1:13" ht="13.4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206"/>
      <c r="L47" s="204"/>
      <c r="M47" s="139"/>
    </row>
    <row r="48" spans="1:13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206"/>
      <c r="L48" s="204"/>
      <c r="M48" s="139"/>
    </row>
    <row r="49" spans="1:13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206"/>
      <c r="L49" s="209"/>
      <c r="M49" s="139"/>
    </row>
    <row r="50" spans="1:13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206"/>
      <c r="L50" s="209"/>
      <c r="M50" s="139"/>
    </row>
    <row r="51" spans="1:13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206"/>
      <c r="L51" s="209"/>
      <c r="M51" s="139"/>
    </row>
    <row r="52" spans="1:13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206"/>
      <c r="L52" s="209"/>
      <c r="M52" s="139"/>
    </row>
    <row r="53" spans="1:13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206"/>
      <c r="L53" s="209"/>
      <c r="M53" s="139"/>
    </row>
    <row r="54" spans="1:13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206"/>
      <c r="L54" s="209"/>
      <c r="M54" s="139"/>
    </row>
    <row r="55" spans="1:13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206"/>
      <c r="L55" s="209"/>
      <c r="M55" s="139"/>
    </row>
    <row r="56" spans="1:13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206"/>
      <c r="L56" s="209"/>
      <c r="M56" s="139"/>
    </row>
    <row r="57" spans="1:13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206"/>
      <c r="L57" s="209"/>
      <c r="M57" s="139"/>
    </row>
    <row r="58" spans="1:13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206"/>
      <c r="L58" s="209"/>
      <c r="M58" s="139"/>
    </row>
    <row r="59" spans="1:13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206"/>
      <c r="L59" s="209"/>
      <c r="M59" s="139"/>
    </row>
    <row r="60" spans="1:13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206"/>
      <c r="L60" s="209"/>
      <c r="M60" s="139"/>
    </row>
    <row r="61" spans="1:13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206"/>
      <c r="L61" s="209"/>
      <c r="M61" s="139"/>
    </row>
    <row r="62" spans="1:13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206"/>
      <c r="L62" s="209"/>
      <c r="M62" s="139"/>
    </row>
    <row r="63" spans="1:13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206"/>
      <c r="L63" s="209"/>
      <c r="M63" s="139"/>
    </row>
    <row r="64" spans="1:13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206"/>
      <c r="L64" s="209"/>
      <c r="M64" s="139"/>
    </row>
    <row r="65" spans="1:13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206"/>
      <c r="L65" s="209"/>
      <c r="M65" s="139"/>
    </row>
    <row r="66" spans="1:13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206"/>
      <c r="L66" s="209"/>
      <c r="M66" s="139"/>
    </row>
    <row r="67" spans="1:13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206"/>
      <c r="L67" s="209"/>
      <c r="M67" s="139"/>
    </row>
    <row r="68" spans="1:13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206"/>
      <c r="L68" s="209"/>
      <c r="M68" s="139"/>
    </row>
    <row r="69" spans="1:13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206"/>
      <c r="L69" s="209"/>
      <c r="M69" s="139"/>
    </row>
    <row r="70" spans="1:13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206"/>
      <c r="L70" s="209"/>
      <c r="M70" s="139"/>
    </row>
    <row r="71" spans="1:13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206"/>
      <c r="L71" s="209"/>
      <c r="M71" s="139"/>
    </row>
    <row r="72" spans="1:13">
      <c r="K72" s="210"/>
      <c r="L72" s="211"/>
    </row>
    <row r="73" spans="1:13">
      <c r="K73" s="210"/>
      <c r="L73" s="211"/>
    </row>
    <row r="74" spans="1:13">
      <c r="L74" s="211"/>
    </row>
    <row r="75" spans="1:13">
      <c r="L75" s="211"/>
    </row>
    <row r="76" spans="1:13">
      <c r="L76" s="211"/>
    </row>
    <row r="77" spans="1:13">
      <c r="L77" s="211"/>
    </row>
    <row r="78" spans="1:13">
      <c r="L78" s="211"/>
    </row>
    <row r="79" spans="1:13">
      <c r="L79" s="211"/>
    </row>
    <row r="80" spans="1:13">
      <c r="L80" s="211"/>
    </row>
    <row r="81" spans="12:12">
      <c r="L81" s="211"/>
    </row>
    <row r="82" spans="12:12">
      <c r="L82" s="211"/>
    </row>
    <row r="83" spans="12:12">
      <c r="L83" s="211"/>
    </row>
    <row r="84" spans="12:12">
      <c r="L84" s="211"/>
    </row>
    <row r="85" spans="12:12">
      <c r="L85" s="211"/>
    </row>
    <row r="86" spans="12:12">
      <c r="L86" s="211"/>
    </row>
    <row r="87" spans="12:12">
      <c r="L87" s="211"/>
    </row>
    <row r="88" spans="12:12">
      <c r="L88" s="211"/>
    </row>
    <row r="89" spans="12:12">
      <c r="L89" s="211"/>
    </row>
    <row r="90" spans="12:12">
      <c r="L90" s="211"/>
    </row>
    <row r="91" spans="12:12">
      <c r="L91" s="211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2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07"/>
  <sheetViews>
    <sheetView tabSelected="1" view="pageBreakPreview" topLeftCell="A13" zoomScale="70" zoomScaleNormal="90" zoomScaleSheetLayoutView="70" workbookViewId="0">
      <selection activeCell="S41" sqref="S41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32" t="s">
        <v>99</v>
      </c>
      <c r="B2" s="332"/>
      <c r="C2" s="332"/>
      <c r="D2" s="332"/>
      <c r="E2" s="332"/>
      <c r="F2" s="332"/>
      <c r="G2" s="332"/>
      <c r="H2" s="332"/>
      <c r="I2" s="42"/>
      <c r="L2" s="43"/>
      <c r="M2" s="43"/>
      <c r="N2" s="43"/>
    </row>
    <row r="3" spans="1:14" ht="15.5" thickBot="1">
      <c r="A3" s="44"/>
      <c r="B3" s="45"/>
      <c r="C3" s="44"/>
      <c r="D3" s="44"/>
      <c r="E3" s="44"/>
      <c r="F3" s="44"/>
      <c r="G3" s="44"/>
      <c r="H3" s="44"/>
      <c r="I3" s="42"/>
      <c r="L3" s="43"/>
      <c r="M3" s="43"/>
      <c r="N3" s="43"/>
    </row>
    <row r="4" spans="1:14" ht="21.75" customHeight="1" thickBot="1">
      <c r="A4" s="46" t="s">
        <v>36</v>
      </c>
      <c r="B4" s="24" t="s">
        <v>97</v>
      </c>
      <c r="C4" s="46" t="s">
        <v>87</v>
      </c>
      <c r="D4" s="23" t="s">
        <v>88</v>
      </c>
      <c r="E4" s="46" t="s">
        <v>89</v>
      </c>
      <c r="F4" s="333" t="s">
        <v>90</v>
      </c>
      <c r="G4" s="334"/>
      <c r="H4" s="47" t="s">
        <v>91</v>
      </c>
      <c r="I4" s="48" t="s">
        <v>92</v>
      </c>
      <c r="J4" s="49" t="s">
        <v>93</v>
      </c>
      <c r="K4" s="50" t="s">
        <v>94</v>
      </c>
      <c r="L4" s="51" t="s">
        <v>108</v>
      </c>
      <c r="M4" s="51" t="s">
        <v>95</v>
      </c>
      <c r="N4" s="52" t="s">
        <v>96</v>
      </c>
    </row>
    <row r="5" spans="1:14">
      <c r="A5" s="53"/>
      <c r="B5" s="54"/>
      <c r="C5" s="55"/>
      <c r="D5" s="56"/>
      <c r="E5" s="55"/>
      <c r="F5" s="55"/>
      <c r="G5" s="57"/>
      <c r="H5" s="57"/>
      <c r="I5" s="58"/>
      <c r="J5" s="59"/>
      <c r="K5" s="59"/>
      <c r="L5" s="59"/>
      <c r="M5" s="59"/>
      <c r="N5" s="60"/>
    </row>
    <row r="6" spans="1:14">
      <c r="A6" s="61"/>
      <c r="B6" s="62" t="s">
        <v>98</v>
      </c>
      <c r="C6" s="55"/>
      <c r="D6" s="63" t="str">
        <f>[3]invoice!B24</f>
        <v>FABRIC &amp; PARTS FOR WEAR &amp; SAMPLE CLOTHES</v>
      </c>
      <c r="E6" s="57"/>
      <c r="F6" s="57"/>
      <c r="G6" s="64" t="str">
        <f>'[1]shipper master'!C48</f>
        <v>F.O.B. TOKYO IN YEN</v>
      </c>
      <c r="H6" s="57"/>
      <c r="I6" s="65"/>
      <c r="J6" s="66"/>
      <c r="K6" s="66"/>
      <c r="L6" s="66"/>
      <c r="M6" s="66"/>
      <c r="N6" s="67"/>
    </row>
    <row r="7" spans="1:14" ht="15.5" thickBot="1">
      <c r="A7" s="68"/>
      <c r="B7" s="69"/>
      <c r="C7" s="70"/>
      <c r="D7" s="71" t="s">
        <v>109</v>
      </c>
      <c r="E7" s="70"/>
      <c r="F7" s="70"/>
      <c r="G7" s="72"/>
      <c r="H7" s="20"/>
      <c r="I7" s="73"/>
      <c r="J7" s="74"/>
      <c r="K7" s="74"/>
      <c r="L7" s="74"/>
      <c r="M7" s="75"/>
      <c r="N7" s="76"/>
    </row>
    <row r="8" spans="1:14" ht="15.65" customHeight="1" thickBot="1">
      <c r="A8" s="336" t="s">
        <v>178</v>
      </c>
      <c r="B8" s="274"/>
      <c r="C8" s="274"/>
      <c r="D8" s="275" t="s">
        <v>185</v>
      </c>
      <c r="E8" s="276"/>
      <c r="F8" s="276"/>
      <c r="G8" s="277"/>
      <c r="H8" s="278"/>
      <c r="I8" s="323" t="s">
        <v>176</v>
      </c>
      <c r="J8" s="329" t="s">
        <v>177</v>
      </c>
      <c r="K8" s="79"/>
      <c r="L8" s="79"/>
      <c r="M8" s="79"/>
      <c r="N8" s="326">
        <v>4</v>
      </c>
    </row>
    <row r="9" spans="1:14">
      <c r="A9" s="337"/>
      <c r="B9" s="255">
        <v>5500</v>
      </c>
      <c r="C9" s="251" t="s">
        <v>164</v>
      </c>
      <c r="D9" s="256" t="s">
        <v>101</v>
      </c>
      <c r="E9" s="257">
        <v>3</v>
      </c>
      <c r="F9" s="83" t="s">
        <v>161</v>
      </c>
      <c r="G9" s="252">
        <v>2300</v>
      </c>
      <c r="H9" s="253">
        <f>E9*G9</f>
        <v>6900</v>
      </c>
      <c r="I9" s="324"/>
      <c r="J9" s="330"/>
      <c r="K9" s="57"/>
      <c r="L9" s="87"/>
      <c r="M9" s="57"/>
      <c r="N9" s="327"/>
    </row>
    <row r="10" spans="1:14" ht="16.5">
      <c r="A10" s="337"/>
      <c r="B10" s="21" t="s">
        <v>160</v>
      </c>
      <c r="C10" s="81" t="s">
        <v>165</v>
      </c>
      <c r="D10" s="31" t="s">
        <v>166</v>
      </c>
      <c r="E10" s="82">
        <v>3</v>
      </c>
      <c r="F10" s="83" t="s">
        <v>161</v>
      </c>
      <c r="G10" s="84">
        <v>2300</v>
      </c>
      <c r="H10" s="85">
        <f t="shared" ref="H10" si="0">E10*G10</f>
        <v>6900</v>
      </c>
      <c r="I10" s="324"/>
      <c r="J10" s="330"/>
      <c r="K10" s="57"/>
      <c r="L10" s="57"/>
      <c r="M10" s="57"/>
      <c r="N10" s="327"/>
    </row>
    <row r="11" spans="1:14" ht="16.5">
      <c r="A11" s="337"/>
      <c r="B11" s="33" t="s">
        <v>162</v>
      </c>
      <c r="C11" s="81"/>
      <c r="D11" s="32" t="s">
        <v>167</v>
      </c>
      <c r="E11" s="82"/>
      <c r="F11" s="83"/>
      <c r="G11" s="84"/>
      <c r="H11" s="85"/>
      <c r="I11" s="324"/>
      <c r="J11" s="330"/>
      <c r="K11" s="57"/>
      <c r="L11" s="57"/>
      <c r="M11" s="57"/>
      <c r="N11" s="327"/>
    </row>
    <row r="12" spans="1:14" ht="15.5" thickBot="1">
      <c r="A12" s="337"/>
      <c r="B12" s="35" t="s">
        <v>163</v>
      </c>
      <c r="C12" s="90"/>
      <c r="D12" s="34"/>
      <c r="E12" s="91"/>
      <c r="F12" s="91"/>
      <c r="G12" s="92"/>
      <c r="H12" s="93"/>
      <c r="I12" s="324"/>
      <c r="J12" s="330"/>
      <c r="K12" s="57"/>
      <c r="L12" s="57"/>
      <c r="M12" s="57"/>
      <c r="N12" s="327"/>
    </row>
    <row r="13" spans="1:14">
      <c r="A13" s="337"/>
      <c r="B13" s="30"/>
      <c r="C13" s="81"/>
      <c r="D13" s="31"/>
      <c r="E13" s="82"/>
      <c r="F13" s="101"/>
      <c r="G13" s="84"/>
      <c r="H13" s="85"/>
      <c r="I13" s="324"/>
      <c r="J13" s="330"/>
      <c r="K13" s="57"/>
      <c r="L13" s="57"/>
      <c r="M13" s="57"/>
      <c r="N13" s="327"/>
    </row>
    <row r="14" spans="1:14" ht="16.5">
      <c r="A14" s="337"/>
      <c r="B14" s="243" t="s">
        <v>155</v>
      </c>
      <c r="C14" s="81"/>
      <c r="D14" s="32" t="s">
        <v>168</v>
      </c>
      <c r="E14" s="82">
        <v>32</v>
      </c>
      <c r="F14" s="83" t="s">
        <v>161</v>
      </c>
      <c r="G14" s="84">
        <v>300</v>
      </c>
      <c r="H14" s="85">
        <f t="shared" ref="H14" si="1">E14*G14</f>
        <v>9600</v>
      </c>
      <c r="I14" s="324"/>
      <c r="J14" s="330"/>
      <c r="K14" s="57"/>
      <c r="L14" s="57"/>
      <c r="M14" s="57"/>
      <c r="N14" s="327"/>
    </row>
    <row r="15" spans="1:14">
      <c r="A15" s="337"/>
      <c r="B15" s="261"/>
      <c r="C15" s="262"/>
      <c r="D15" s="263" t="s">
        <v>156</v>
      </c>
      <c r="E15" s="264"/>
      <c r="F15" s="264"/>
      <c r="G15" s="265"/>
      <c r="H15" s="266"/>
      <c r="I15" s="324"/>
      <c r="J15" s="330"/>
      <c r="K15" s="57"/>
      <c r="L15" s="57"/>
      <c r="M15" s="57"/>
      <c r="N15" s="327"/>
    </row>
    <row r="16" spans="1:14">
      <c r="A16" s="337"/>
      <c r="B16" s="243" t="s">
        <v>157</v>
      </c>
      <c r="C16" s="81"/>
      <c r="D16" s="32" t="s">
        <v>169</v>
      </c>
      <c r="E16" s="248"/>
      <c r="F16" s="248"/>
      <c r="G16" s="84"/>
      <c r="H16" s="85"/>
      <c r="I16" s="324"/>
      <c r="J16" s="330"/>
      <c r="K16" s="57"/>
      <c r="L16" s="57"/>
      <c r="M16" s="57"/>
      <c r="N16" s="327"/>
    </row>
    <row r="17" spans="1:14" ht="15.65" customHeight="1">
      <c r="A17" s="337"/>
      <c r="B17" s="249"/>
      <c r="C17" s="249"/>
      <c r="D17" s="254" t="s">
        <v>170</v>
      </c>
      <c r="E17" s="250">
        <v>34</v>
      </c>
      <c r="F17" s="83" t="s">
        <v>86</v>
      </c>
      <c r="G17" s="84">
        <v>27</v>
      </c>
      <c r="H17" s="253">
        <f>E17*G17</f>
        <v>918</v>
      </c>
      <c r="I17" s="324"/>
      <c r="J17" s="330"/>
      <c r="K17" s="57"/>
      <c r="L17" s="57"/>
      <c r="M17" s="57"/>
      <c r="N17" s="327"/>
    </row>
    <row r="18" spans="1:14" ht="15.5" thickBot="1">
      <c r="A18" s="337"/>
      <c r="B18" s="267"/>
      <c r="C18" s="96"/>
      <c r="D18" s="268" t="s">
        <v>158</v>
      </c>
      <c r="E18" s="269">
        <v>136</v>
      </c>
      <c r="F18" s="270" t="s">
        <v>86</v>
      </c>
      <c r="G18" s="98">
        <v>21</v>
      </c>
      <c r="H18" s="99">
        <f>E18*G18</f>
        <v>2856</v>
      </c>
      <c r="I18" s="324"/>
      <c r="J18" s="330"/>
      <c r="K18" s="57"/>
      <c r="L18" s="87"/>
      <c r="M18" s="57"/>
      <c r="N18" s="327"/>
    </row>
    <row r="19" spans="1:14">
      <c r="A19" s="337"/>
      <c r="B19" s="244">
        <v>2001</v>
      </c>
      <c r="C19" s="258"/>
      <c r="D19" s="271" t="s">
        <v>101</v>
      </c>
      <c r="E19" s="272"/>
      <c r="F19" s="234"/>
      <c r="G19" s="259"/>
      <c r="H19" s="260"/>
      <c r="I19" s="324"/>
      <c r="J19" s="330"/>
      <c r="K19" s="57"/>
      <c r="L19" s="57"/>
      <c r="M19" s="57"/>
      <c r="N19" s="327"/>
    </row>
    <row r="20" spans="1:14">
      <c r="A20" s="337"/>
      <c r="B20" s="21" t="s">
        <v>160</v>
      </c>
      <c r="C20" s="81" t="s">
        <v>171</v>
      </c>
      <c r="D20" s="31" t="s">
        <v>110</v>
      </c>
      <c r="E20" s="82">
        <v>28</v>
      </c>
      <c r="F20" s="83" t="s">
        <v>161</v>
      </c>
      <c r="G20" s="84">
        <v>2300</v>
      </c>
      <c r="H20" s="85">
        <f t="shared" ref="H20" si="2">E20*G20</f>
        <v>64400</v>
      </c>
      <c r="I20" s="324"/>
      <c r="J20" s="330"/>
      <c r="K20" s="57"/>
      <c r="L20" s="57"/>
      <c r="M20" s="57"/>
      <c r="N20" s="327"/>
    </row>
    <row r="21" spans="1:14" ht="16.5">
      <c r="A21" s="337"/>
      <c r="B21" s="33" t="s">
        <v>173</v>
      </c>
      <c r="C21" s="81" t="s">
        <v>172</v>
      </c>
      <c r="D21" s="32" t="s">
        <v>174</v>
      </c>
      <c r="E21" s="82">
        <v>28</v>
      </c>
      <c r="F21" s="83" t="s">
        <v>161</v>
      </c>
      <c r="G21" s="84">
        <v>2300</v>
      </c>
      <c r="H21" s="85">
        <f t="shared" ref="H21" si="3">E21*G21</f>
        <v>64400</v>
      </c>
      <c r="I21" s="324"/>
      <c r="J21" s="330"/>
      <c r="K21" s="57"/>
      <c r="L21" s="57"/>
      <c r="M21" s="57"/>
      <c r="N21" s="327"/>
    </row>
    <row r="22" spans="1:14" ht="15.5" thickBot="1">
      <c r="A22" s="337"/>
      <c r="B22" s="35" t="s">
        <v>163</v>
      </c>
      <c r="C22" s="90"/>
      <c r="D22" s="34"/>
      <c r="E22" s="91"/>
      <c r="F22" s="91"/>
      <c r="G22" s="92"/>
      <c r="H22" s="93"/>
      <c r="I22" s="324"/>
      <c r="J22" s="330"/>
      <c r="K22" s="57"/>
      <c r="L22" s="57"/>
      <c r="M22" s="57"/>
      <c r="N22" s="327"/>
    </row>
    <row r="23" spans="1:14">
      <c r="A23" s="337"/>
      <c r="B23" s="243"/>
      <c r="C23" s="81"/>
      <c r="D23" s="32"/>
      <c r="E23" s="82"/>
      <c r="F23" s="101"/>
      <c r="G23" s="84"/>
      <c r="H23" s="85"/>
      <c r="I23" s="324"/>
      <c r="J23" s="330"/>
      <c r="K23" s="57"/>
      <c r="L23" s="57"/>
      <c r="M23" s="57"/>
      <c r="N23" s="327"/>
    </row>
    <row r="24" spans="1:14">
      <c r="A24" s="337"/>
      <c r="B24" s="243">
        <v>1000</v>
      </c>
      <c r="C24" s="81"/>
      <c r="D24" s="32" t="s">
        <v>159</v>
      </c>
      <c r="E24" s="248">
        <v>16</v>
      </c>
      <c r="F24" s="83" t="s">
        <v>161</v>
      </c>
      <c r="G24" s="84">
        <v>460</v>
      </c>
      <c r="H24" s="85">
        <f t="shared" ref="H24" si="4">E24*G24</f>
        <v>7360</v>
      </c>
      <c r="I24" s="324"/>
      <c r="J24" s="330"/>
      <c r="K24" s="57"/>
      <c r="L24" s="57"/>
      <c r="M24" s="57"/>
      <c r="N24" s="327"/>
    </row>
    <row r="25" spans="1:14" ht="17" thickBot="1">
      <c r="A25" s="338"/>
      <c r="B25" s="281" t="s">
        <v>199</v>
      </c>
      <c r="C25" s="90"/>
      <c r="D25" s="273" t="s">
        <v>175</v>
      </c>
      <c r="E25" s="91"/>
      <c r="F25" s="91"/>
      <c r="G25" s="92"/>
      <c r="H25" s="93"/>
      <c r="I25" s="325"/>
      <c r="J25" s="331"/>
      <c r="K25" s="19"/>
      <c r="L25" s="19"/>
      <c r="M25" s="19"/>
      <c r="N25" s="328"/>
    </row>
    <row r="26" spans="1:14" ht="15.5" thickBot="1">
      <c r="A26" s="39"/>
      <c r="B26" s="37"/>
      <c r="C26" s="96"/>
      <c r="D26" s="36"/>
      <c r="E26" s="97"/>
      <c r="F26" s="97"/>
      <c r="G26" s="98"/>
      <c r="H26" s="99"/>
      <c r="I26" s="16"/>
      <c r="J26" s="100"/>
      <c r="K26" s="16"/>
      <c r="L26" s="16"/>
      <c r="M26" s="16"/>
      <c r="N26" s="88"/>
    </row>
    <row r="27" spans="1:14" ht="15.65" customHeight="1">
      <c r="A27" s="321" t="s">
        <v>184</v>
      </c>
      <c r="B27" s="29"/>
      <c r="C27" s="29"/>
      <c r="D27" s="229" t="s">
        <v>182</v>
      </c>
      <c r="E27" s="77"/>
      <c r="F27" s="77"/>
      <c r="G27" s="78"/>
      <c r="H27" s="79"/>
      <c r="I27" s="80"/>
      <c r="J27" s="329" t="s">
        <v>177</v>
      </c>
      <c r="K27" s="79"/>
      <c r="L27" s="79"/>
      <c r="M27" s="79"/>
      <c r="N27" s="326">
        <v>7</v>
      </c>
    </row>
    <row r="28" spans="1:14" ht="16.5">
      <c r="A28" s="322"/>
      <c r="B28" s="239" t="s">
        <v>219</v>
      </c>
      <c r="C28" s="81" t="s">
        <v>180</v>
      </c>
      <c r="D28" s="31"/>
      <c r="E28" s="82">
        <v>143</v>
      </c>
      <c r="F28" s="101" t="s">
        <v>147</v>
      </c>
      <c r="G28" s="84">
        <v>2000</v>
      </c>
      <c r="H28" s="85">
        <f>E28*G28</f>
        <v>286000</v>
      </c>
      <c r="I28" s="86"/>
      <c r="J28" s="330"/>
      <c r="K28" s="57"/>
      <c r="L28" s="87"/>
      <c r="M28" s="57"/>
      <c r="N28" s="327"/>
    </row>
    <row r="29" spans="1:14">
      <c r="A29" s="322"/>
      <c r="B29" s="280" t="s">
        <v>152</v>
      </c>
      <c r="C29" s="81"/>
      <c r="D29" s="31"/>
      <c r="E29" s="82"/>
      <c r="F29" s="83"/>
      <c r="G29" s="84"/>
      <c r="H29" s="128"/>
      <c r="I29" s="89" t="s">
        <v>183</v>
      </c>
      <c r="J29" s="330"/>
      <c r="K29" s="57"/>
      <c r="L29" s="57"/>
      <c r="M29" s="57"/>
      <c r="N29" s="327"/>
    </row>
    <row r="30" spans="1:14">
      <c r="A30" s="322"/>
      <c r="B30" s="241" t="s">
        <v>181</v>
      </c>
      <c r="C30" s="81"/>
      <c r="D30" s="32"/>
      <c r="E30" s="82"/>
      <c r="F30" s="83"/>
      <c r="G30" s="84"/>
      <c r="H30" s="85"/>
      <c r="I30" s="89"/>
      <c r="J30" s="330"/>
      <c r="K30" s="57"/>
      <c r="L30" s="57"/>
      <c r="M30" s="57"/>
      <c r="N30" s="327"/>
    </row>
    <row r="31" spans="1:14" ht="15.5" thickBot="1">
      <c r="A31" s="335"/>
      <c r="B31" s="35"/>
      <c r="C31" s="90"/>
      <c r="D31" s="34"/>
      <c r="E31" s="91"/>
      <c r="F31" s="91"/>
      <c r="G31" s="92"/>
      <c r="H31" s="93"/>
      <c r="I31" s="94"/>
      <c r="J31" s="331"/>
      <c r="K31" s="19"/>
      <c r="L31" s="19"/>
      <c r="M31" s="19"/>
      <c r="N31" s="328"/>
    </row>
    <row r="32" spans="1:14" ht="15.5" thickBot="1">
      <c r="A32" s="231"/>
      <c r="B32" s="372"/>
      <c r="C32" s="373"/>
      <c r="D32" s="374"/>
      <c r="E32" s="375"/>
      <c r="F32" s="375"/>
      <c r="G32" s="376"/>
      <c r="H32" s="343"/>
      <c r="I32" s="16"/>
      <c r="J32" s="100"/>
      <c r="K32" s="16"/>
      <c r="L32" s="16"/>
      <c r="M32" s="16"/>
      <c r="N32" s="88"/>
    </row>
    <row r="33" spans="1:14" ht="15.65" customHeight="1">
      <c r="A33" s="321" t="s">
        <v>194</v>
      </c>
      <c r="B33" s="344"/>
      <c r="C33" s="345"/>
      <c r="D33" s="229" t="s">
        <v>189</v>
      </c>
      <c r="E33" s="346"/>
      <c r="F33" s="346"/>
      <c r="G33" s="347"/>
      <c r="H33" s="348"/>
      <c r="I33" s="323" t="s">
        <v>195</v>
      </c>
      <c r="J33" s="329" t="s">
        <v>196</v>
      </c>
      <c r="K33" s="79"/>
      <c r="L33" s="79"/>
      <c r="M33" s="79"/>
      <c r="N33" s="326">
        <v>2</v>
      </c>
    </row>
    <row r="34" spans="1:14">
      <c r="A34" s="322"/>
      <c r="B34" s="349" t="s">
        <v>186</v>
      </c>
      <c r="C34" s="350" t="s">
        <v>149</v>
      </c>
      <c r="D34" s="351"/>
      <c r="E34" s="352">
        <v>3</v>
      </c>
      <c r="F34" s="353" t="s">
        <v>147</v>
      </c>
      <c r="G34" s="354">
        <v>5000</v>
      </c>
      <c r="H34" s="355">
        <f t="shared" ref="H34" si="5">E34*G34</f>
        <v>15000</v>
      </c>
      <c r="I34" s="324"/>
      <c r="J34" s="330"/>
      <c r="K34" s="57"/>
      <c r="L34" s="87"/>
      <c r="M34" s="57"/>
      <c r="N34" s="327"/>
    </row>
    <row r="35" spans="1:14">
      <c r="A35" s="322"/>
      <c r="B35" s="349" t="s">
        <v>187</v>
      </c>
      <c r="C35" s="350"/>
      <c r="D35" s="351"/>
      <c r="E35" s="356"/>
      <c r="F35" s="353"/>
      <c r="G35" s="354"/>
      <c r="H35" s="355"/>
      <c r="I35" s="324"/>
      <c r="J35" s="330"/>
      <c r="K35" s="57"/>
      <c r="L35" s="57"/>
      <c r="M35" s="57"/>
      <c r="N35" s="327"/>
    </row>
    <row r="36" spans="1:14">
      <c r="A36" s="322"/>
      <c r="B36" s="357" t="s">
        <v>188</v>
      </c>
      <c r="C36" s="350"/>
      <c r="D36" s="358"/>
      <c r="E36" s="356"/>
      <c r="F36" s="353"/>
      <c r="G36" s="354"/>
      <c r="H36" s="355"/>
      <c r="I36" s="324"/>
      <c r="J36" s="330"/>
      <c r="K36" s="57"/>
      <c r="L36" s="57"/>
      <c r="M36" s="57"/>
      <c r="N36" s="327"/>
    </row>
    <row r="37" spans="1:14" ht="17" thickBot="1">
      <c r="A37" s="322"/>
      <c r="B37" s="359" t="s">
        <v>181</v>
      </c>
      <c r="C37" s="360"/>
      <c r="D37" s="361"/>
      <c r="E37" s="362"/>
      <c r="F37" s="363"/>
      <c r="G37" s="364"/>
      <c r="H37" s="365"/>
      <c r="I37" s="324"/>
      <c r="J37" s="330"/>
      <c r="K37" s="57"/>
      <c r="L37" s="57"/>
      <c r="M37" s="57"/>
      <c r="N37" s="327"/>
    </row>
    <row r="38" spans="1:14" ht="15.5" thickBot="1">
      <c r="A38" s="322"/>
      <c r="B38" s="366"/>
      <c r="C38" s="367"/>
      <c r="D38" s="368"/>
      <c r="E38" s="369"/>
      <c r="F38" s="369"/>
      <c r="G38" s="370"/>
      <c r="H38" s="371"/>
      <c r="I38" s="324"/>
      <c r="J38" s="330"/>
      <c r="K38" s="16"/>
      <c r="L38" s="16"/>
      <c r="M38" s="16"/>
      <c r="N38" s="327"/>
    </row>
    <row r="39" spans="1:14" ht="15.65" customHeight="1">
      <c r="A39" s="322"/>
      <c r="B39" s="344"/>
      <c r="C39" s="345"/>
      <c r="D39" s="229" t="s">
        <v>189</v>
      </c>
      <c r="E39" s="346"/>
      <c r="F39" s="346"/>
      <c r="G39" s="347"/>
      <c r="H39" s="348"/>
      <c r="I39" s="324"/>
      <c r="J39" s="330"/>
      <c r="K39" s="79"/>
      <c r="L39" s="79"/>
      <c r="M39" s="79"/>
      <c r="N39" s="327"/>
    </row>
    <row r="40" spans="1:14">
      <c r="A40" s="322"/>
      <c r="B40" s="349" t="s">
        <v>186</v>
      </c>
      <c r="C40" s="350" t="s">
        <v>149</v>
      </c>
      <c r="D40" s="351"/>
      <c r="E40" s="352">
        <v>11.5</v>
      </c>
      <c r="F40" s="353" t="s">
        <v>147</v>
      </c>
      <c r="G40" s="354">
        <v>5000</v>
      </c>
      <c r="H40" s="355">
        <f t="shared" ref="H40" si="6">E40*G40</f>
        <v>57500</v>
      </c>
      <c r="I40" s="324"/>
      <c r="J40" s="330"/>
      <c r="K40" s="57"/>
      <c r="L40" s="87"/>
      <c r="M40" s="57"/>
      <c r="N40" s="327"/>
    </row>
    <row r="41" spans="1:14">
      <c r="A41" s="322"/>
      <c r="B41" s="349" t="s">
        <v>187</v>
      </c>
      <c r="C41" s="350"/>
      <c r="D41" s="351"/>
      <c r="E41" s="356"/>
      <c r="F41" s="353"/>
      <c r="G41" s="354"/>
      <c r="H41" s="355"/>
      <c r="I41" s="324"/>
      <c r="J41" s="330"/>
      <c r="K41" s="57"/>
      <c r="L41" s="57"/>
      <c r="M41" s="57"/>
      <c r="N41" s="327"/>
    </row>
    <row r="42" spans="1:14">
      <c r="A42" s="322"/>
      <c r="B42" s="357" t="s">
        <v>220</v>
      </c>
      <c r="C42" s="350"/>
      <c r="D42" s="358"/>
      <c r="E42" s="356"/>
      <c r="F42" s="353"/>
      <c r="G42" s="354"/>
      <c r="H42" s="355"/>
      <c r="I42" s="324"/>
      <c r="J42" s="330"/>
      <c r="K42" s="57"/>
      <c r="L42" s="57"/>
      <c r="M42" s="57"/>
      <c r="N42" s="327"/>
    </row>
    <row r="43" spans="1:14" ht="17" thickBot="1">
      <c r="A43" s="322"/>
      <c r="B43" s="359" t="s">
        <v>181</v>
      </c>
      <c r="C43" s="360"/>
      <c r="D43" s="361"/>
      <c r="E43" s="362"/>
      <c r="F43" s="363"/>
      <c r="G43" s="364"/>
      <c r="H43" s="365"/>
      <c r="I43" s="324"/>
      <c r="J43" s="330"/>
      <c r="K43" s="57"/>
      <c r="L43" s="57"/>
      <c r="M43" s="57"/>
      <c r="N43" s="327"/>
    </row>
    <row r="44" spans="1:14" ht="15.5" thickBot="1">
      <c r="A44" s="322"/>
      <c r="B44" s="37"/>
      <c r="C44" s="96"/>
      <c r="D44" s="36"/>
      <c r="E44" s="97"/>
      <c r="F44" s="97"/>
      <c r="G44" s="98"/>
      <c r="H44" s="99"/>
      <c r="I44" s="324"/>
      <c r="J44" s="330"/>
      <c r="K44" s="57"/>
      <c r="L44" s="57"/>
      <c r="M44" s="57"/>
      <c r="N44" s="327"/>
    </row>
    <row r="45" spans="1:14" ht="15.65" customHeight="1">
      <c r="A45" s="322"/>
      <c r="B45" s="238"/>
      <c r="C45" s="29"/>
      <c r="D45" s="229" t="s">
        <v>193</v>
      </c>
      <c r="E45" s="77"/>
      <c r="F45" s="77"/>
      <c r="G45" s="78"/>
      <c r="H45" s="79"/>
      <c r="I45" s="324"/>
      <c r="J45" s="330"/>
      <c r="K45" s="57"/>
      <c r="L45" s="57"/>
      <c r="M45" s="57"/>
      <c r="N45" s="327"/>
    </row>
    <row r="46" spans="1:14">
      <c r="A46" s="322"/>
      <c r="B46" s="30" t="s">
        <v>190</v>
      </c>
      <c r="C46" s="31" t="s">
        <v>149</v>
      </c>
      <c r="D46" s="240"/>
      <c r="E46" s="282">
        <v>8.1999999999999993</v>
      </c>
      <c r="F46" s="101" t="s">
        <v>147</v>
      </c>
      <c r="G46" s="124">
        <v>2000</v>
      </c>
      <c r="H46" s="126">
        <f t="shared" ref="H46" si="7">E46*G46</f>
        <v>16400</v>
      </c>
      <c r="I46" s="324"/>
      <c r="J46" s="330"/>
      <c r="K46" s="57"/>
      <c r="L46" s="87"/>
      <c r="M46" s="57"/>
      <c r="N46" s="327"/>
    </row>
    <row r="47" spans="1:14" ht="16.5">
      <c r="A47" s="322"/>
      <c r="B47" s="280" t="s">
        <v>218</v>
      </c>
      <c r="C47" s="31"/>
      <c r="D47" s="31"/>
      <c r="E47" s="232"/>
      <c r="F47" s="101"/>
      <c r="G47" s="124"/>
      <c r="H47" s="126"/>
      <c r="I47" s="324"/>
      <c r="J47" s="330"/>
      <c r="K47" s="57"/>
      <c r="L47" s="57"/>
      <c r="M47" s="57"/>
      <c r="N47" s="327"/>
    </row>
    <row r="48" spans="1:14">
      <c r="A48" s="322"/>
      <c r="B48" s="241" t="s">
        <v>191</v>
      </c>
      <c r="C48" s="32"/>
      <c r="D48" s="40"/>
      <c r="E48" s="232"/>
      <c r="F48" s="101"/>
      <c r="G48" s="124"/>
      <c r="H48" s="126"/>
      <c r="I48" s="324"/>
      <c r="J48" s="330"/>
      <c r="K48" s="57"/>
      <c r="L48" s="57"/>
      <c r="M48" s="57"/>
      <c r="N48" s="327"/>
    </row>
    <row r="49" spans="1:14" ht="15.5" thickBot="1">
      <c r="A49" s="322"/>
      <c r="B49" s="283" t="s">
        <v>192</v>
      </c>
      <c r="C49" s="34"/>
      <c r="D49" s="41"/>
      <c r="E49" s="233"/>
      <c r="F49" s="242"/>
      <c r="G49" s="125"/>
      <c r="H49" s="127"/>
      <c r="I49" s="325"/>
      <c r="J49" s="331"/>
      <c r="K49" s="19"/>
      <c r="L49" s="19"/>
      <c r="M49" s="19"/>
      <c r="N49" s="328"/>
    </row>
    <row r="50" spans="1:14">
      <c r="A50" s="284"/>
      <c r="B50" s="37"/>
      <c r="C50" s="96"/>
      <c r="D50" s="36"/>
      <c r="E50" s="97"/>
      <c r="F50" s="97"/>
      <c r="G50" s="98"/>
      <c r="H50" s="99"/>
      <c r="I50" s="279"/>
      <c r="J50" s="285"/>
      <c r="K50" s="118"/>
      <c r="L50" s="118"/>
      <c r="M50" s="118"/>
      <c r="N50" s="286"/>
    </row>
    <row r="51" spans="1:14" ht="15.5" thickBot="1">
      <c r="A51" s="103"/>
      <c r="B51" s="104"/>
      <c r="C51" s="105"/>
      <c r="D51" s="106"/>
      <c r="E51" s="107"/>
      <c r="F51" s="94"/>
      <c r="G51" s="108"/>
      <c r="H51" s="109"/>
      <c r="I51" s="110"/>
      <c r="J51" s="111"/>
      <c r="K51" s="94"/>
      <c r="L51" s="94"/>
      <c r="M51" s="94"/>
      <c r="N51" s="95"/>
    </row>
    <row r="52" spans="1:14">
      <c r="A52" s="112"/>
      <c r="B52" s="113"/>
      <c r="C52" s="230" t="s">
        <v>198</v>
      </c>
      <c r="D52" s="114"/>
      <c r="E52" s="115">
        <f>SUMIF($F$8:$F$50,"M.",$E$8:$E$50)</f>
        <v>110</v>
      </c>
      <c r="F52" s="101" t="s">
        <v>161</v>
      </c>
      <c r="G52" s="102"/>
      <c r="H52" s="38">
        <f>SUMIF($F$8:$F$50,"M.",$H$8:$H$50)</f>
        <v>159560</v>
      </c>
      <c r="I52" s="116"/>
      <c r="J52" s="117"/>
      <c r="K52" s="118"/>
      <c r="L52" s="118"/>
      <c r="M52" s="118"/>
      <c r="N52" s="119"/>
    </row>
    <row r="53" spans="1:14">
      <c r="A53" s="57"/>
      <c r="B53" s="21"/>
      <c r="C53" s="57"/>
      <c r="D53" s="120"/>
      <c r="E53" s="115">
        <f>SUMIF($F$8:$F$50,"PCS.",$E$8:$E$50)</f>
        <v>170</v>
      </c>
      <c r="F53" s="101" t="s">
        <v>86</v>
      </c>
      <c r="G53" s="57"/>
      <c r="H53" s="38">
        <f>SUMIF($F$8:$F$50,"PCS.",$H$8:$H$50)</f>
        <v>3774</v>
      </c>
      <c r="I53" s="57"/>
      <c r="J53" s="121"/>
      <c r="K53" s="57"/>
      <c r="L53" s="57"/>
      <c r="M53" s="57"/>
      <c r="N53" s="122"/>
    </row>
    <row r="54" spans="1:14">
      <c r="A54" s="57"/>
      <c r="B54" s="21"/>
      <c r="C54" s="57"/>
      <c r="D54" s="120"/>
      <c r="E54" s="115">
        <f>SUMIF($F$8:$F$50,"KG.",$E$8:$E$50)</f>
        <v>165.7</v>
      </c>
      <c r="F54" s="101" t="s">
        <v>147</v>
      </c>
      <c r="G54" s="57"/>
      <c r="H54" s="38">
        <f>SUMIF($F$8:$F$50,"KG.",$H$8:$H$50)</f>
        <v>374900</v>
      </c>
      <c r="I54" s="57"/>
      <c r="J54" s="121"/>
      <c r="K54" s="57"/>
      <c r="L54" s="57"/>
      <c r="M54" s="57"/>
      <c r="N54" s="122"/>
    </row>
    <row r="55" spans="1:14">
      <c r="A55" s="57"/>
      <c r="B55" s="21"/>
      <c r="C55" s="57"/>
      <c r="D55" s="123"/>
      <c r="E55" s="121"/>
      <c r="F55" s="101"/>
      <c r="G55" s="102"/>
      <c r="H55" s="85">
        <f>SUM(H52:H54)</f>
        <v>538234</v>
      </c>
      <c r="I55" s="57"/>
      <c r="J55" s="121"/>
      <c r="K55" s="57"/>
      <c r="L55" s="57"/>
      <c r="M55" s="57"/>
      <c r="N55" s="122"/>
    </row>
    <row r="59" spans="1:14">
      <c r="C59" s="3"/>
    </row>
    <row r="60" spans="1:14">
      <c r="C60" s="3"/>
    </row>
    <row r="107" spans="1:1">
      <c r="A107" s="7" t="s">
        <v>100</v>
      </c>
    </row>
  </sheetData>
  <mergeCells count="13">
    <mergeCell ref="A33:A49"/>
    <mergeCell ref="I33:I49"/>
    <mergeCell ref="N33:N49"/>
    <mergeCell ref="J33:J49"/>
    <mergeCell ref="A2:H2"/>
    <mergeCell ref="F4:G4"/>
    <mergeCell ref="A27:A31"/>
    <mergeCell ref="N27:N31"/>
    <mergeCell ref="A8:A25"/>
    <mergeCell ref="J8:J25"/>
    <mergeCell ref="I8:I25"/>
    <mergeCell ref="J27:J31"/>
    <mergeCell ref="N8:N25"/>
  </mergeCells>
  <phoneticPr fontId="12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50" zoomScaleNormal="90" zoomScaleSheetLayoutView="50" workbookViewId="0">
      <selection activeCell="K6" sqref="K6"/>
    </sheetView>
  </sheetViews>
  <sheetFormatPr defaultRowHeight="31.5"/>
  <cols>
    <col min="1" max="1" width="14.453125" customWidth="1"/>
    <col min="2" max="2" width="40.90625" style="293" customWidth="1"/>
    <col min="3" max="3" width="41.36328125" style="294" customWidth="1"/>
    <col min="4" max="4" width="86.08984375" style="294" customWidth="1"/>
    <col min="5" max="5" width="42.08984375" style="294" customWidth="1"/>
    <col min="6" max="6" width="38.1796875" style="296" customWidth="1"/>
    <col min="7" max="7" width="50.6328125" style="296" customWidth="1"/>
    <col min="8" max="8" width="34.90625" style="297" customWidth="1"/>
    <col min="9" max="9" width="34.90625" style="298" customWidth="1"/>
    <col min="10" max="16" width="34.90625" customWidth="1"/>
  </cols>
  <sheetData>
    <row r="1" spans="1:9">
      <c r="D1" s="295" t="s">
        <v>206</v>
      </c>
    </row>
    <row r="2" spans="1:9" s="303" customFormat="1" ht="88.4" customHeight="1" thickBot="1">
      <c r="A2" s="299"/>
      <c r="B2" s="300" t="s">
        <v>207</v>
      </c>
      <c r="C2" s="301" t="s">
        <v>208</v>
      </c>
      <c r="D2" s="301"/>
      <c r="E2" s="301" t="s">
        <v>209</v>
      </c>
      <c r="F2" s="302" t="s">
        <v>210</v>
      </c>
      <c r="G2" s="302" t="s">
        <v>211</v>
      </c>
      <c r="H2" s="301" t="s">
        <v>212</v>
      </c>
      <c r="I2" s="302" t="s">
        <v>213</v>
      </c>
    </row>
    <row r="3" spans="1:9" ht="194.9" customHeight="1" thickBot="1">
      <c r="A3" s="304"/>
      <c r="B3" s="305" t="s">
        <v>186</v>
      </c>
      <c r="C3" s="306" t="s">
        <v>149</v>
      </c>
      <c r="D3" s="307" t="s">
        <v>216</v>
      </c>
      <c r="E3" s="308" t="s">
        <v>214</v>
      </c>
      <c r="F3" s="309" t="s">
        <v>215</v>
      </c>
      <c r="G3" s="309"/>
      <c r="H3" s="309" t="s">
        <v>217</v>
      </c>
      <c r="I3" s="310">
        <v>12</v>
      </c>
    </row>
    <row r="4" spans="1:9" ht="194.9" customHeight="1" thickBot="1">
      <c r="A4" s="304"/>
      <c r="B4" s="305"/>
      <c r="C4" s="306"/>
      <c r="D4" s="307"/>
      <c r="E4" s="308"/>
      <c r="F4" s="309"/>
      <c r="G4" s="309"/>
      <c r="H4" s="309"/>
      <c r="I4" s="310"/>
    </row>
    <row r="5" spans="1:9" ht="194.9" customHeight="1" thickBot="1">
      <c r="A5" s="304"/>
      <c r="B5" s="305"/>
      <c r="C5" s="306"/>
      <c r="D5" s="307"/>
      <c r="E5" s="308"/>
      <c r="F5" s="309"/>
      <c r="G5" s="309"/>
      <c r="H5" s="309"/>
      <c r="I5" s="310"/>
    </row>
    <row r="6" spans="1:9" ht="194.9" customHeight="1" thickBot="1">
      <c r="A6" s="304"/>
      <c r="B6" s="305"/>
      <c r="C6" s="306"/>
      <c r="D6" s="307"/>
      <c r="E6" s="308"/>
      <c r="F6" s="309"/>
      <c r="G6" s="309"/>
      <c r="H6" s="311"/>
      <c r="I6" s="310"/>
    </row>
    <row r="7" spans="1:9" ht="194.9" customHeight="1" thickBot="1">
      <c r="A7" s="304"/>
      <c r="B7" s="305"/>
      <c r="C7" s="306"/>
      <c r="D7" s="307"/>
      <c r="E7" s="308"/>
      <c r="F7" s="309"/>
      <c r="G7" s="309"/>
      <c r="H7" s="309"/>
      <c r="I7" s="310"/>
    </row>
    <row r="8" spans="1:9" ht="194.9" customHeight="1">
      <c r="A8" s="304"/>
      <c r="B8" s="305"/>
      <c r="C8" s="306"/>
      <c r="D8" s="307"/>
      <c r="E8" s="308"/>
      <c r="F8" s="309"/>
      <c r="G8" s="309"/>
      <c r="H8" s="309"/>
      <c r="I8" s="310"/>
    </row>
    <row r="9" spans="1:9" ht="134.15" customHeight="1"/>
    <row r="10" spans="1:9" ht="134.15" customHeight="1"/>
  </sheetData>
  <phoneticPr fontId="12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05"/>
  <sheetViews>
    <sheetView view="pageBreakPreview" topLeftCell="A13" zoomScale="80" zoomScaleNormal="70" zoomScaleSheetLayoutView="80" workbookViewId="0">
      <selection activeCell="G23" sqref="G23"/>
    </sheetView>
  </sheetViews>
  <sheetFormatPr defaultRowHeight="15"/>
  <cols>
    <col min="1" max="1" width="7.90625" customWidth="1"/>
    <col min="2" max="2" width="38.08984375" style="212" customWidth="1"/>
    <col min="3" max="3" width="81.6328125" customWidth="1"/>
    <col min="4" max="4" width="23.6328125" customWidth="1"/>
  </cols>
  <sheetData>
    <row r="1" spans="1:4" ht="17.5" customHeight="1">
      <c r="A1" s="180"/>
    </row>
    <row r="2" spans="1:4" ht="15" customHeight="1">
      <c r="A2" s="339" t="s">
        <v>143</v>
      </c>
      <c r="B2" s="339"/>
      <c r="C2" s="213"/>
    </row>
    <row r="3" spans="1:4" ht="15.65" customHeight="1" thickBot="1">
      <c r="A3" s="214"/>
      <c r="B3" s="215"/>
      <c r="C3" s="214"/>
    </row>
    <row r="4" spans="1:4" ht="21.75" customHeight="1" thickBot="1">
      <c r="A4" s="216" t="s">
        <v>36</v>
      </c>
      <c r="B4" s="24" t="s">
        <v>97</v>
      </c>
      <c r="C4" s="23" t="s">
        <v>88</v>
      </c>
      <c r="D4" s="217" t="s">
        <v>144</v>
      </c>
    </row>
    <row r="5" spans="1:4" ht="16.399999999999999" customHeight="1" thickBot="1">
      <c r="A5" s="340" t="s">
        <v>151</v>
      </c>
      <c r="B5" s="274"/>
      <c r="C5" s="275" t="s">
        <v>185</v>
      </c>
      <c r="D5" s="218"/>
    </row>
    <row r="6" spans="1:4" ht="15" customHeight="1">
      <c r="A6" s="341"/>
      <c r="B6" s="255">
        <v>5500</v>
      </c>
      <c r="C6" s="256" t="s">
        <v>101</v>
      </c>
      <c r="D6" s="219"/>
    </row>
    <row r="7" spans="1:4" ht="15" customHeight="1">
      <c r="A7" s="341"/>
      <c r="B7" s="21" t="s">
        <v>160</v>
      </c>
      <c r="C7" s="31" t="s">
        <v>166</v>
      </c>
      <c r="D7" s="219"/>
    </row>
    <row r="8" spans="1:4" ht="15" customHeight="1">
      <c r="A8" s="341"/>
      <c r="B8" s="33" t="s">
        <v>162</v>
      </c>
      <c r="C8" s="32" t="s">
        <v>167</v>
      </c>
      <c r="D8" s="219"/>
    </row>
    <row r="9" spans="1:4" ht="15" customHeight="1" thickBot="1">
      <c r="A9" s="341"/>
      <c r="B9" s="35" t="s">
        <v>163</v>
      </c>
      <c r="C9" s="34"/>
      <c r="D9" s="220"/>
    </row>
    <row r="10" spans="1:4" ht="15" customHeight="1">
      <c r="A10" s="341"/>
      <c r="B10" s="30"/>
      <c r="C10" s="31"/>
      <c r="D10" s="227"/>
    </row>
    <row r="11" spans="1:4" ht="21.75" customHeight="1">
      <c r="A11" s="341"/>
      <c r="B11" s="243" t="s">
        <v>155</v>
      </c>
      <c r="C11" s="32" t="s">
        <v>168</v>
      </c>
      <c r="D11" s="245"/>
    </row>
    <row r="12" spans="1:4" ht="16.399999999999999" customHeight="1">
      <c r="A12" s="341"/>
      <c r="B12" s="261"/>
      <c r="C12" s="288" t="s">
        <v>200</v>
      </c>
      <c r="D12" s="219"/>
    </row>
    <row r="13" spans="1:4" ht="15" customHeight="1">
      <c r="A13" s="341"/>
      <c r="B13" s="243" t="s">
        <v>157</v>
      </c>
      <c r="C13" s="32" t="s">
        <v>169</v>
      </c>
      <c r="D13" s="219" t="s">
        <v>145</v>
      </c>
    </row>
    <row r="14" spans="1:4" ht="15" customHeight="1">
      <c r="A14" s="341"/>
      <c r="B14" s="249"/>
      <c r="C14" s="254" t="s">
        <v>170</v>
      </c>
      <c r="D14" s="219" t="s">
        <v>66</v>
      </c>
    </row>
    <row r="15" spans="1:4" ht="15" customHeight="1" thickBot="1">
      <c r="A15" s="341"/>
      <c r="B15" s="267"/>
      <c r="C15" s="268" t="s">
        <v>158</v>
      </c>
      <c r="D15" s="219"/>
    </row>
    <row r="16" spans="1:4" ht="15" customHeight="1">
      <c r="A16" s="341"/>
      <c r="B16" s="244">
        <v>2001</v>
      </c>
      <c r="C16" s="271" t="s">
        <v>101</v>
      </c>
      <c r="D16" s="220"/>
    </row>
    <row r="17" spans="1:4" ht="21.65" customHeight="1">
      <c r="A17" s="341"/>
      <c r="B17" s="21" t="s">
        <v>160</v>
      </c>
      <c r="C17" s="31" t="s">
        <v>110</v>
      </c>
      <c r="D17" s="227"/>
    </row>
    <row r="18" spans="1:4" ht="16.5" customHeight="1">
      <c r="A18" s="341"/>
      <c r="B18" s="33" t="s">
        <v>173</v>
      </c>
      <c r="C18" s="32" t="s">
        <v>174</v>
      </c>
      <c r="D18" s="245"/>
    </row>
    <row r="19" spans="1:4" ht="16.399999999999999" customHeight="1" thickBot="1">
      <c r="A19" s="341"/>
      <c r="B19" s="35" t="s">
        <v>163</v>
      </c>
      <c r="C19" s="34"/>
      <c r="D19" s="219"/>
    </row>
    <row r="20" spans="1:4" ht="15" customHeight="1">
      <c r="A20" s="341"/>
      <c r="B20" s="243"/>
      <c r="C20" s="32"/>
      <c r="D20" s="219"/>
    </row>
    <row r="21" spans="1:4" ht="15" customHeight="1">
      <c r="A21" s="341"/>
      <c r="B21" s="243">
        <v>1000</v>
      </c>
      <c r="C21" s="32" t="s">
        <v>159</v>
      </c>
      <c r="D21" s="219"/>
    </row>
    <row r="22" spans="1:4" ht="15" customHeight="1" thickBot="1">
      <c r="A22" s="342"/>
      <c r="B22" s="281" t="s">
        <v>199</v>
      </c>
      <c r="C22" s="273" t="s">
        <v>175</v>
      </c>
      <c r="D22" s="228"/>
    </row>
    <row r="23" spans="1:4" ht="15" customHeight="1" thickBot="1">
      <c r="A23" s="223"/>
      <c r="B23" s="287"/>
      <c r="C23" s="223"/>
      <c r="D23" s="223"/>
    </row>
    <row r="24" spans="1:4" ht="21.75" customHeight="1" thickBot="1">
      <c r="A24" s="216" t="s">
        <v>36</v>
      </c>
      <c r="B24" s="24" t="s">
        <v>97</v>
      </c>
      <c r="C24" s="23" t="s">
        <v>88</v>
      </c>
      <c r="D24" s="217" t="s">
        <v>144</v>
      </c>
    </row>
    <row r="25" spans="1:4" ht="16.399999999999999" customHeight="1">
      <c r="A25" s="321" t="s">
        <v>184</v>
      </c>
      <c r="B25" s="29"/>
      <c r="C25" s="229" t="s">
        <v>182</v>
      </c>
      <c r="D25" s="221"/>
    </row>
    <row r="26" spans="1:4" ht="16.399999999999999" customHeight="1">
      <c r="A26" s="322"/>
      <c r="B26" s="239" t="s">
        <v>179</v>
      </c>
      <c r="C26" s="31"/>
      <c r="D26" s="222"/>
    </row>
    <row r="27" spans="1:4" ht="16.399999999999999" customHeight="1">
      <c r="A27" s="322"/>
      <c r="B27" s="280" t="s">
        <v>152</v>
      </c>
      <c r="C27" s="31"/>
      <c r="D27" s="219" t="s">
        <v>145</v>
      </c>
    </row>
    <row r="28" spans="1:4" ht="16.399999999999999" customHeight="1">
      <c r="A28" s="322"/>
      <c r="B28" s="241" t="s">
        <v>181</v>
      </c>
      <c r="C28" s="32"/>
      <c r="D28" s="219" t="s">
        <v>66</v>
      </c>
    </row>
    <row r="29" spans="1:4" ht="15" customHeight="1" thickBot="1">
      <c r="A29" s="335"/>
      <c r="B29" s="35"/>
      <c r="C29" s="34"/>
      <c r="D29" s="228"/>
    </row>
    <row r="30" spans="1:4" ht="15" customHeight="1" thickBot="1">
      <c r="A30" s="223"/>
      <c r="B30" s="223"/>
      <c r="C30" s="223"/>
      <c r="D30" s="223"/>
    </row>
    <row r="31" spans="1:4" ht="21.75" customHeight="1" thickBot="1">
      <c r="A31" s="216" t="s">
        <v>36</v>
      </c>
      <c r="B31" s="24" t="s">
        <v>97</v>
      </c>
      <c r="C31" s="23" t="s">
        <v>88</v>
      </c>
      <c r="D31" s="217" t="s">
        <v>144</v>
      </c>
    </row>
    <row r="32" spans="1:4" ht="16.399999999999999" customHeight="1">
      <c r="A32" s="321" t="s">
        <v>153</v>
      </c>
      <c r="B32" s="238"/>
      <c r="C32" s="229" t="s">
        <v>189</v>
      </c>
      <c r="D32" s="221"/>
    </row>
    <row r="33" spans="1:4" ht="16.399999999999999" customHeight="1">
      <c r="A33" s="322"/>
      <c r="B33" s="30" t="s">
        <v>186</v>
      </c>
      <c r="C33" s="31"/>
      <c r="D33" s="222"/>
    </row>
    <row r="34" spans="1:4" ht="16.399999999999999" customHeight="1">
      <c r="A34" s="322"/>
      <c r="B34" s="30" t="s">
        <v>187</v>
      </c>
      <c r="C34" s="31"/>
      <c r="D34" s="222"/>
    </row>
    <row r="35" spans="1:4" ht="16.399999999999999" customHeight="1">
      <c r="A35" s="322"/>
      <c r="B35" s="30" t="s">
        <v>188</v>
      </c>
      <c r="C35" s="40"/>
      <c r="D35" s="222"/>
    </row>
    <row r="36" spans="1:4" ht="16.399999999999999" customHeight="1" thickBot="1">
      <c r="A36" s="322"/>
      <c r="B36" s="281" t="s">
        <v>181</v>
      </c>
      <c r="C36" s="41"/>
      <c r="D36" s="219" t="s">
        <v>145</v>
      </c>
    </row>
    <row r="37" spans="1:4" ht="16.399999999999999" customHeight="1" thickBot="1">
      <c r="A37" s="322"/>
      <c r="B37" s="37"/>
      <c r="C37" s="36"/>
      <c r="D37" s="219" t="s">
        <v>66</v>
      </c>
    </row>
    <row r="38" spans="1:4" ht="16.399999999999999" customHeight="1">
      <c r="A38" s="322"/>
      <c r="B38" s="238"/>
      <c r="C38" s="229" t="s">
        <v>193</v>
      </c>
      <c r="D38" s="222"/>
    </row>
    <row r="39" spans="1:4" ht="16.399999999999999" customHeight="1">
      <c r="A39" s="322"/>
      <c r="B39" s="30" t="s">
        <v>190</v>
      </c>
      <c r="C39" s="240"/>
      <c r="D39" s="222"/>
    </row>
    <row r="40" spans="1:4" ht="16.399999999999999" customHeight="1">
      <c r="A40" s="322"/>
      <c r="B40" s="280" t="s">
        <v>160</v>
      </c>
      <c r="C40" s="31"/>
      <c r="D40" s="222"/>
    </row>
    <row r="41" spans="1:4" ht="16.399999999999999" customHeight="1">
      <c r="A41" s="322"/>
      <c r="B41" s="241" t="s">
        <v>191</v>
      </c>
      <c r="C41" s="40"/>
      <c r="D41" s="222"/>
    </row>
    <row r="42" spans="1:4" ht="16.399999999999999" customHeight="1" thickBot="1">
      <c r="A42" s="335"/>
      <c r="B42" s="283" t="s">
        <v>192</v>
      </c>
      <c r="C42" s="41"/>
      <c r="D42" s="246"/>
    </row>
    <row r="43" spans="1:4" ht="15" customHeight="1">
      <c r="A43" s="223"/>
      <c r="B43" s="223"/>
      <c r="C43" s="223"/>
      <c r="D43" s="223"/>
    </row>
    <row r="44" spans="1:4" ht="15" customHeight="1">
      <c r="A44" s="223"/>
      <c r="B44" s="223"/>
      <c r="C44" s="223"/>
      <c r="D44" s="223"/>
    </row>
    <row r="45" spans="1:4" ht="21.65" customHeight="1">
      <c r="A45" s="223"/>
      <c r="B45" s="223"/>
      <c r="C45" s="223"/>
      <c r="D45" s="223"/>
    </row>
    <row r="46" spans="1:4" ht="15" customHeight="1">
      <c r="A46" s="223"/>
      <c r="B46" s="223"/>
      <c r="C46" s="223"/>
      <c r="D46" s="223"/>
    </row>
    <row r="47" spans="1:4" ht="16.399999999999999" customHeight="1">
      <c r="A47" s="223"/>
      <c r="B47" s="223"/>
      <c r="C47" s="223"/>
      <c r="D47" s="223"/>
    </row>
    <row r="48" spans="1:4" ht="15" customHeight="1">
      <c r="A48" s="223"/>
      <c r="B48" s="223"/>
      <c r="C48" s="223"/>
      <c r="D48" s="223"/>
    </row>
    <row r="49" spans="1:4" ht="15" customHeight="1">
      <c r="A49" s="223"/>
      <c r="B49" s="223"/>
      <c r="C49" s="223"/>
      <c r="D49" s="223"/>
    </row>
    <row r="50" spans="1:4" ht="15" customHeight="1">
      <c r="A50" s="223"/>
      <c r="B50" s="223"/>
      <c r="C50" s="223"/>
      <c r="D50" s="223"/>
    </row>
    <row r="51" spans="1:4" ht="15" customHeight="1">
      <c r="A51" s="223"/>
      <c r="B51" s="223"/>
      <c r="C51" s="223"/>
      <c r="D51" s="223"/>
    </row>
    <row r="52" spans="1:4" ht="21.65" customHeight="1">
      <c r="A52" s="223"/>
      <c r="B52" s="223"/>
      <c r="C52" s="223"/>
      <c r="D52" s="223"/>
    </row>
    <row r="53" spans="1:4" ht="15" customHeight="1">
      <c r="A53" s="223"/>
      <c r="B53" s="223"/>
      <c r="C53" s="223"/>
      <c r="D53" s="223"/>
    </row>
    <row r="54" spans="1:4" ht="16.399999999999999" customHeight="1">
      <c r="A54" s="223"/>
      <c r="B54" s="223"/>
      <c r="C54" s="223"/>
      <c r="D54" s="223"/>
    </row>
    <row r="55" spans="1:4" ht="15" customHeight="1">
      <c r="A55" s="223"/>
      <c r="B55" s="223"/>
      <c r="C55" s="223"/>
      <c r="D55" s="223"/>
    </row>
    <row r="56" spans="1:4" ht="15" customHeight="1">
      <c r="A56" s="223"/>
      <c r="B56" s="223"/>
      <c r="C56" s="223"/>
      <c r="D56" s="223"/>
    </row>
    <row r="57" spans="1:4" ht="15" customHeight="1">
      <c r="A57" s="223"/>
      <c r="B57" s="223"/>
      <c r="C57" s="223"/>
      <c r="D57" s="223"/>
    </row>
    <row r="58" spans="1:4" ht="15" customHeight="1">
      <c r="A58" s="223"/>
      <c r="B58" s="223"/>
      <c r="C58" s="223"/>
      <c r="D58" s="223"/>
    </row>
    <row r="59" spans="1:4" ht="16.399999999999999" customHeight="1">
      <c r="A59" s="223"/>
      <c r="B59" s="223"/>
      <c r="C59" s="223"/>
      <c r="D59" s="223"/>
    </row>
    <row r="60" spans="1:4" ht="16.399999999999999" customHeight="1">
      <c r="A60" s="223"/>
      <c r="B60" s="223"/>
      <c r="C60" s="223"/>
      <c r="D60" s="223"/>
    </row>
    <row r="61" spans="1:4" ht="15" customHeight="1">
      <c r="A61" s="223"/>
      <c r="B61" s="223"/>
      <c r="C61" s="223"/>
      <c r="D61" s="223"/>
    </row>
    <row r="62" spans="1:4" ht="15" customHeight="1">
      <c r="A62" s="223"/>
      <c r="B62" s="223"/>
      <c r="C62" s="223"/>
      <c r="D62" s="223"/>
    </row>
    <row r="63" spans="1:4" ht="24" customHeight="1">
      <c r="A63" s="223"/>
      <c r="B63" s="223"/>
      <c r="C63" s="223"/>
      <c r="D63" s="223"/>
    </row>
    <row r="64" spans="1:4" ht="21.65" customHeight="1">
      <c r="A64" s="223"/>
      <c r="B64" s="223"/>
      <c r="C64" s="223"/>
      <c r="D64" s="223"/>
    </row>
    <row r="65" spans="1:4" ht="16.399999999999999" customHeight="1">
      <c r="A65" s="223"/>
      <c r="B65" s="223"/>
      <c r="C65" s="223"/>
      <c r="D65" s="223"/>
    </row>
    <row r="66" spans="1:4" ht="15" customHeight="1">
      <c r="A66" s="223"/>
      <c r="B66" s="223"/>
      <c r="C66" s="223"/>
      <c r="D66" s="223"/>
    </row>
    <row r="67" spans="1:4" ht="15.65" customHeight="1">
      <c r="A67" s="223"/>
      <c r="B67" s="223"/>
      <c r="C67" s="223"/>
      <c r="D67" s="223"/>
    </row>
    <row r="68" spans="1:4" ht="21.75" customHeight="1">
      <c r="A68" s="223"/>
      <c r="B68" s="223"/>
      <c r="C68" s="223"/>
      <c r="D68" s="223"/>
    </row>
    <row r="69" spans="1:4" ht="15" customHeight="1">
      <c r="A69" s="223"/>
      <c r="B69" s="223"/>
      <c r="C69" s="223"/>
      <c r="D69" s="223"/>
    </row>
    <row r="70" spans="1:4" ht="17.5" customHeight="1">
      <c r="A70" s="223"/>
      <c r="B70" s="223"/>
      <c r="C70" s="223"/>
      <c r="D70" s="223"/>
    </row>
    <row r="71" spans="1:4" ht="17.149999999999999" customHeight="1">
      <c r="A71" s="223"/>
      <c r="B71" s="223"/>
      <c r="C71" s="223"/>
      <c r="D71" s="223"/>
    </row>
    <row r="72" spans="1:4" ht="21.65" customHeight="1">
      <c r="A72" s="223"/>
      <c r="B72" s="223"/>
      <c r="C72" s="223"/>
      <c r="D72" s="223"/>
    </row>
    <row r="73" spans="1:4" ht="15" customHeight="1">
      <c r="A73" s="223"/>
      <c r="B73" s="223"/>
      <c r="C73" s="223"/>
      <c r="D73" s="223"/>
    </row>
    <row r="74" spans="1:4" ht="15" customHeight="1">
      <c r="A74" s="223"/>
      <c r="B74" s="223"/>
      <c r="C74" s="223"/>
      <c r="D74" s="223"/>
    </row>
    <row r="75" spans="1:4" ht="15" customHeight="1">
      <c r="A75" s="223"/>
      <c r="B75" s="223"/>
      <c r="C75" s="223"/>
      <c r="D75" s="223"/>
    </row>
    <row r="76" spans="1:4" ht="15" customHeight="1">
      <c r="A76" s="223"/>
      <c r="B76" s="223"/>
      <c r="C76" s="223"/>
      <c r="D76" s="223"/>
    </row>
    <row r="77" spans="1:4" ht="15" customHeight="1">
      <c r="A77" s="223"/>
      <c r="B77" s="223"/>
      <c r="C77" s="223"/>
      <c r="D77" s="223"/>
    </row>
    <row r="78" spans="1:4" ht="15" customHeight="1">
      <c r="A78" s="223"/>
      <c r="B78" s="223"/>
      <c r="C78" s="223"/>
      <c r="D78" s="223"/>
    </row>
    <row r="79" spans="1:4" ht="15.65" customHeight="1">
      <c r="A79" s="223"/>
      <c r="B79" s="223"/>
      <c r="C79" s="223"/>
      <c r="D79" s="223"/>
    </row>
    <row r="80" spans="1:4" ht="15" customHeight="1">
      <c r="A80" s="223"/>
      <c r="B80" s="223"/>
      <c r="C80" s="223"/>
      <c r="D80" s="223"/>
    </row>
    <row r="81" spans="1:4" ht="15" customHeight="1">
      <c r="A81" s="223"/>
      <c r="B81" s="223"/>
      <c r="C81" s="223"/>
      <c r="D81" s="223"/>
    </row>
    <row r="82" spans="1:4" ht="15" customHeight="1">
      <c r="A82" s="223"/>
      <c r="B82" s="223"/>
      <c r="C82" s="223"/>
      <c r="D82" s="223"/>
    </row>
    <row r="83" spans="1:4" ht="15" customHeight="1">
      <c r="A83" s="223"/>
      <c r="B83" s="223"/>
      <c r="C83" s="223"/>
      <c r="D83" s="223"/>
    </row>
    <row r="84" spans="1:4" ht="15" customHeight="1">
      <c r="A84" s="223"/>
      <c r="B84" s="223"/>
      <c r="C84" s="223"/>
      <c r="D84" s="223"/>
    </row>
    <row r="85" spans="1:4" ht="15" customHeight="1">
      <c r="A85" s="223"/>
      <c r="B85" s="223"/>
      <c r="C85" s="223"/>
      <c r="D85" s="223"/>
    </row>
    <row r="86" spans="1:4" s="224" customFormat="1" ht="15" customHeight="1">
      <c r="A86" s="223"/>
      <c r="B86" s="223"/>
      <c r="C86" s="223"/>
      <c r="D86" s="223"/>
    </row>
    <row r="87" spans="1:4" s="224" customFormat="1" ht="15" customHeight="1">
      <c r="A87" s="223"/>
      <c r="B87" s="223"/>
      <c r="C87" s="223"/>
      <c r="D87" s="223"/>
    </row>
    <row r="88" spans="1:4" ht="15" customHeight="1">
      <c r="A88" s="223"/>
      <c r="B88" s="223"/>
      <c r="C88" s="223"/>
      <c r="D88" s="223"/>
    </row>
    <row r="89" spans="1:4" ht="14.15" customHeight="1">
      <c r="A89" s="223"/>
      <c r="B89" s="223"/>
      <c r="C89" s="223"/>
      <c r="D89" s="223"/>
    </row>
    <row r="90" spans="1:4" ht="15" customHeight="1">
      <c r="A90" s="223"/>
      <c r="B90" s="223"/>
      <c r="C90" s="223"/>
      <c r="D90" s="223"/>
    </row>
    <row r="91" spans="1:4" ht="15" customHeight="1">
      <c r="A91" s="223"/>
      <c r="B91" s="223"/>
      <c r="C91" s="223"/>
      <c r="D91" s="223"/>
    </row>
    <row r="92" spans="1:4" ht="15" customHeight="1">
      <c r="A92" s="223"/>
      <c r="B92" s="223"/>
      <c r="C92" s="223"/>
      <c r="D92" s="223"/>
    </row>
    <row r="93" spans="1:4" ht="15" customHeight="1">
      <c r="A93" s="223"/>
      <c r="B93" s="223"/>
      <c r="C93" s="223"/>
      <c r="D93" s="223"/>
    </row>
    <row r="94" spans="1:4" ht="15" customHeight="1">
      <c r="A94" s="223"/>
      <c r="B94" s="223"/>
      <c r="C94" s="223"/>
      <c r="D94" s="223"/>
    </row>
    <row r="95" spans="1:4" ht="15" customHeight="1">
      <c r="A95" s="223"/>
      <c r="B95" s="223"/>
      <c r="C95" s="223"/>
      <c r="D95" s="223"/>
    </row>
    <row r="96" spans="1:4" ht="12.65" customHeight="1">
      <c r="A96" s="223"/>
      <c r="B96" s="223"/>
      <c r="C96" s="223"/>
      <c r="D96" s="223"/>
    </row>
    <row r="97" spans="1:4" ht="15.65" customHeight="1">
      <c r="A97" s="223"/>
      <c r="B97" s="223"/>
      <c r="C97" s="223"/>
      <c r="D97" s="223"/>
    </row>
    <row r="98" spans="1:4" ht="41.15" customHeight="1">
      <c r="A98" s="223"/>
      <c r="B98" s="223"/>
      <c r="C98" s="223"/>
      <c r="D98" s="223"/>
    </row>
    <row r="99" spans="1:4" ht="21.75" customHeight="1">
      <c r="A99" s="223"/>
      <c r="B99" s="223"/>
      <c r="C99" s="223"/>
      <c r="D99" s="223"/>
    </row>
    <row r="100" spans="1:4" ht="15" customHeight="1" thickBot="1">
      <c r="A100" s="225"/>
      <c r="B100" s="225"/>
      <c r="C100" s="225"/>
      <c r="D100" s="225"/>
    </row>
    <row r="101" spans="1:4" ht="10.4" customHeight="1">
      <c r="A101" s="198"/>
      <c r="B101" s="198"/>
      <c r="C101" s="226"/>
      <c r="D101" s="198"/>
    </row>
    <row r="102" spans="1:4">
      <c r="A102" s="198"/>
      <c r="B102" s="198"/>
      <c r="C102" s="198"/>
      <c r="D102" s="198"/>
    </row>
    <row r="103" spans="1:4">
      <c r="A103" s="198"/>
      <c r="B103" s="198"/>
      <c r="C103" s="198"/>
      <c r="D103" s="198"/>
    </row>
    <row r="104" spans="1:4">
      <c r="A104" s="198"/>
      <c r="B104" s="198"/>
      <c r="C104" s="198"/>
      <c r="D104" s="198"/>
    </row>
    <row r="105" spans="1:4">
      <c r="A105" s="198"/>
      <c r="B105" s="198"/>
      <c r="C105" s="198"/>
      <c r="D105" s="198"/>
    </row>
  </sheetData>
  <mergeCells count="4">
    <mergeCell ref="A2:B2"/>
    <mergeCell ref="A32:A42"/>
    <mergeCell ref="A25:A29"/>
    <mergeCell ref="A5:A22"/>
  </mergeCells>
  <phoneticPr fontId="12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6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2025-01-09T01:31:32Z</dcterms:modified>
</cp:coreProperties>
</file>