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6408C4CD-D282-416A-821D-0D6BCD6DB65E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LABEL!$A$1:$D$57</definedName>
    <definedName name="_xlnm.Print_Area" localSheetId="3">'NARITA '!$A$1:$N$58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K26" i="65" l="1"/>
  <c r="H56" i="60"/>
  <c r="H55" i="60"/>
  <c r="E56" i="60"/>
  <c r="E55" i="60"/>
  <c r="H53" i="60"/>
  <c r="H33" i="60"/>
  <c r="H28" i="60"/>
  <c r="H27" i="60"/>
  <c r="H44" i="60" l="1"/>
  <c r="K27" i="65"/>
  <c r="F30" i="65" s="1"/>
  <c r="D30" i="65"/>
  <c r="H46" i="60"/>
  <c r="H50" i="60" l="1"/>
  <c r="E57" i="60"/>
  <c r="H49" i="60"/>
  <c r="H48" i="60"/>
  <c r="H39" i="60" l="1"/>
  <c r="M27" i="65" s="1"/>
  <c r="H57" i="60" l="1"/>
  <c r="K30" i="65" l="1"/>
  <c r="H21" i="60" l="1"/>
  <c r="H15" i="60"/>
  <c r="H9" i="60"/>
  <c r="M26" i="65" s="1"/>
  <c r="M30" i="65" s="1"/>
  <c r="C45" i="17" s="1"/>
  <c r="F9" i="65"/>
  <c r="H58" i="60" l="1"/>
  <c r="F11" i="65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<sst xmlns="http://schemas.openxmlformats.org/spreadsheetml/2006/main" count="400" uniqueCount="254">
  <si>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</si>
  <si>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</si>
  <si>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</si>
  <si>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</si>
  <si>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</si>
  <si>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</si>
  <si>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</si>
  <si>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</si>
  <si>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</si>
  <si>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</si>
  <si>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</si>
  <si>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</si>
  <si>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</si>
  <si>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</si>
  <si>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</si>
  <si>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</si>
  <si>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</si>
  <si>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</si>
  <si>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</si>
  <si>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</si>
  <si>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</si>
  <si>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</si>
  <si>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</si>
  <si>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</si>
  <si>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</si>
  <si>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</si>
  <si>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</si>
  <si>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</si>
  <si>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</si>
  <si>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</si>
  <si>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</si>
  <si>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</si>
  <si>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</si>
  <si>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</si>
  <si>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</si>
  <si>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</si>
  <si>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</si>
  <si>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</si>
  <si>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</si>
  <si>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</si>
  <si>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</si>
  <si>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</si>
  <si>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</si>
  <si>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</si>
  <si>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</si>
  <si>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</si>
  <si>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</si>
  <si>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</si>
  <si>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</si>
  <si>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</si>
  <si>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</si>
  <si>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</si>
  <si>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</si>
  <si>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</si>
  <si>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</si>
  <si>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</si>
  <si>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</si>
  <si>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</si>
  <si>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</si>
  <si>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</si>
  <si>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</si>
  <si>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</si>
  <si>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</si>
  <si>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</si>
  <si>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</si>
  <si>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</si>
  <si>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</si>
  <si>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</si>
  <si>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</si>
  <si>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</si>
  <si>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</si>
  <si>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</si>
  <si>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</si>
  <si>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</si>
  <si>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</si>
  <si>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</si>
  <si>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</si>
  <si>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</si>
  <si>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</si>
  <si>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</si>
  <si>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</si>
  <si>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</si>
  <si>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</si>
  <si>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</si>
  <si>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</si>
  <si>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</si>
  <si>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</si>
  <si>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</si>
  <si>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</si>
  <si>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</si>
  <si>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</si>
  <si>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</si>
  <si>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</si>
  <si>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</si>
  <si>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</si>
  <si>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</si>
  <si>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</si>
  <si>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</si>
  <si>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</si>
  <si>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</si>
  <si>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</si>
  <si>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</si>
  <si>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</si>
  <si>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</si>
  <si>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</si>
  <si>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</si>
  <si>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</si>
  <si>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</si>
  <si>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</si>
  <si>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</si>
  <si>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</si>
  <si>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</si>
  <si>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</si>
  <si>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</si>
  <si>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</si>
  <si>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</si>
  <si>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</si>
  <si>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</si>
  <si>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</si>
  <si>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</si>
  <si>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</si>
  <si>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</si>
  <si>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</si>
  <si>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</si>
  <si>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</si>
  <si>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</si>
  <si>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</si>
  <si>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</si>
  <si>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</si>
  <si>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</si>
  <si>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</si>
  <si>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</si>
  <si>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</si>
  <si>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</si>
  <si>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</si>
  <si>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</si>
  <si>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</si>
  <si>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</si>
  <si>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</si>
  <si>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</si>
  <si>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</si>
  <si>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</si>
  <si>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</si>
  <si>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</si>
  <si>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</si>
  <si>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</si>
  <si>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</si>
  <si>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</si>
  <si>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</si>
  <si>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</si>
  <si>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</si>
  <si>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</si>
  <si>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</si>
  <si>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</si>
  <si>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</si>
  <si>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</si>
  <si>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</si>
  <si>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KNIT FABRIC</t>
    <phoneticPr fontId="13"/>
  </si>
  <si>
    <t>SET.</t>
    <phoneticPr fontId="13"/>
  </si>
  <si>
    <t>TOTAL</t>
    <phoneticPr fontId="63"/>
  </si>
  <si>
    <t>COTTON100%</t>
  </si>
  <si>
    <t>長繊維、プリント加工なし</t>
    <rPh sb="0" eb="1">
      <t>ナガ</t>
    </rPh>
    <rPh sb="1" eb="3">
      <t>センイ</t>
    </rPh>
    <phoneticPr fontId="13"/>
  </si>
  <si>
    <t>4-5</t>
    <phoneticPr fontId="13"/>
  </si>
  <si>
    <t>WOOL100%</t>
    <phoneticPr fontId="13"/>
  </si>
  <si>
    <t>古着　プリント有</t>
    <rPh sb="0" eb="1">
      <t>フルギ</t>
    </rPh>
    <rPh sb="7" eb="8">
      <t>アリ</t>
    </rPh>
    <phoneticPr fontId="13"/>
  </si>
  <si>
    <t>made in USA</t>
    <phoneticPr fontId="13"/>
  </si>
  <si>
    <t>C/#MIX</t>
    <phoneticPr fontId="13"/>
  </si>
  <si>
    <t>c/#WHITE</t>
    <phoneticPr fontId="13"/>
  </si>
  <si>
    <t>MADE IN USA</t>
    <phoneticPr fontId="13"/>
  </si>
  <si>
    <t>COUNTRY OF ORIGIN : JAPAN,USA</t>
    <phoneticPr fontId="13"/>
  </si>
  <si>
    <t>08500045562</t>
    <phoneticPr fontId="13"/>
  </si>
  <si>
    <t>綾織　先染め　ツイル</t>
    <rPh sb="0" eb="1">
      <t>アヤ</t>
    </rPh>
    <rPh sb="1" eb="2">
      <t>オリ</t>
    </rPh>
    <rPh sb="3" eb="4">
      <t>サキ</t>
    </rPh>
    <phoneticPr fontId="13"/>
  </si>
  <si>
    <t>c/#001 BLACK</t>
    <phoneticPr fontId="13"/>
  </si>
  <si>
    <t>STYLE:25SY-03</t>
    <phoneticPr fontId="13"/>
  </si>
  <si>
    <t>POLYESTER 100%</t>
    <phoneticPr fontId="13"/>
  </si>
  <si>
    <r>
      <t>WIDTH:146CM (230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</si>
  <si>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1-3</t>
    <phoneticPr fontId="13"/>
  </si>
  <si>
    <t>入庫NO.22073624</t>
    <rPh sb="0" eb="2">
      <t>ニュウコ</t>
    </rPh>
    <phoneticPr fontId="13"/>
  </si>
  <si>
    <t>5/22</t>
    <phoneticPr fontId="13"/>
  </si>
  <si>
    <t>85000ND280</t>
    <phoneticPr fontId="13"/>
  </si>
  <si>
    <t>短繊維、プリント加工なし</t>
    <rPh sb="0" eb="1">
      <t>ミジカ</t>
    </rPh>
    <rPh sb="1" eb="3">
      <t>センイ</t>
    </rPh>
    <phoneticPr fontId="13"/>
  </si>
  <si>
    <t>c/#099 BLACK</t>
    <phoneticPr fontId="13"/>
  </si>
  <si>
    <t>STYLE:25A-PT02(24SY-60)</t>
    <phoneticPr fontId="13"/>
  </si>
  <si>
    <r>
      <t>WIDTH:148CM (175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</si>
  <si>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入庫NO.22073800</t>
    <rPh sb="0" eb="2">
      <t>ニュウコ</t>
    </rPh>
    <phoneticPr fontId="13"/>
  </si>
  <si>
    <t>5/31</t>
    <phoneticPr fontId="13"/>
  </si>
  <si>
    <t>6-7</t>
    <phoneticPr fontId="13"/>
  </si>
  <si>
    <t>023S000G128</t>
    <phoneticPr fontId="13"/>
  </si>
  <si>
    <t>綾織　先染め　ツイル　梳毛</t>
    <rPh sb="0" eb="1">
      <t>アヤ</t>
    </rPh>
    <rPh sb="1" eb="2">
      <t>オリ</t>
    </rPh>
    <rPh sb="3" eb="4">
      <t>サキ</t>
    </rPh>
    <phoneticPr fontId="13"/>
  </si>
  <si>
    <t>長繊維、プリント加工なし</t>
    <rPh sb="0" eb="1">
      <t>ナガ</t>
    </rPh>
    <rPh sb="1" eb="3">
      <t>センイ</t>
    </rPh>
    <rPh sb="8" eb="9">
      <t>ナ</t>
    </rPh>
    <phoneticPr fontId="13"/>
  </si>
  <si>
    <t>経編み 後染め 合皮</t>
    <rPh sb="3" eb="4">
      <t>サキ</t>
    </rPh>
    <rPh sb="4" eb="6">
      <t>アトゾ</t>
    </rPh>
    <rPh sb="8" eb="10">
      <t>ゴウヒ</t>
    </rPh>
    <phoneticPr fontId="13"/>
  </si>
  <si>
    <t>STYLE:25A-PT04(24SY-62)</t>
    <phoneticPr fontId="13"/>
  </si>
  <si>
    <r>
      <t>FACE</t>
    </r>
    <r>
      <rPr>
        <b/>
        <sz val="10"/>
        <color theme="1"/>
        <rFont val="Yu Gothic"/>
        <family val="2"/>
        <charset val="128"/>
      </rPr>
      <t>：</t>
    </r>
    <r>
      <rPr>
        <b/>
        <sz val="10"/>
        <color theme="1"/>
        <rFont val="Century Gothic"/>
        <family val="2"/>
      </rPr>
      <t>POLYURETHANE 100%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BACK</t>
    </r>
    <r>
      <rPr>
        <b/>
        <sz val="10"/>
        <color theme="1"/>
        <rFont val="Yu Gothic"/>
        <family val="2"/>
        <charset val="128"/>
      </rPr>
      <t>：</t>
    </r>
    <r>
      <rPr>
        <b/>
        <sz val="10"/>
        <color theme="1"/>
        <rFont val="Century Gothic"/>
        <family val="2"/>
      </rPr>
      <t>POLYESTER 100%</t>
    </r>
    <phoneticPr fontId="13"/>
  </si>
  <si>
    <r>
      <t>WIDTH:135CM (320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</si>
  <si>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入庫NO.22073814</t>
    <rPh sb="0" eb="2">
      <t>ニュウコ</t>
    </rPh>
    <phoneticPr fontId="13"/>
  </si>
  <si>
    <t>6/2</t>
    <phoneticPr fontId="13"/>
  </si>
  <si>
    <t>used scarf</t>
    <phoneticPr fontId="13"/>
  </si>
  <si>
    <r>
      <t>COTTON 50%</t>
    </r>
    <r>
      <rPr>
        <b/>
        <sz val="10"/>
        <rFont val="Yu Gothic"/>
        <family val="2"/>
        <charset val="128"/>
      </rPr>
      <t>　POLYESTER 50%</t>
    </r>
    <phoneticPr fontId="13"/>
  </si>
  <si>
    <t>8</t>
    <phoneticPr fontId="13"/>
  </si>
  <si>
    <t>STYLE:375200</t>
  </si>
  <si>
    <t>STYLE:375200</t>
    <phoneticPr fontId="13"/>
  </si>
  <si>
    <t>6/24</t>
    <phoneticPr fontId="13"/>
  </si>
  <si>
    <t>lady's shirt  SAMPLE CLOTHES</t>
  </si>
  <si>
    <t>lady's shirt  SAMPLE CLOTHES</t>
    <phoneticPr fontId="13"/>
  </si>
  <si>
    <t>STYLE:25A-SH02(25SY-09)</t>
  </si>
  <si>
    <t>STYLE:25A-SH02(25SY-09)</t>
    <phoneticPr fontId="13"/>
  </si>
  <si>
    <t>25A-SH02 sample</t>
  </si>
  <si>
    <t>25A-SH02 sample</t>
    <phoneticPr fontId="13"/>
  </si>
  <si>
    <t>polyester button</t>
    <phoneticPr fontId="13"/>
  </si>
  <si>
    <t>c/#43 BROWN</t>
    <phoneticPr fontId="13"/>
  </si>
  <si>
    <r>
      <t>18mm-430</t>
    </r>
    <r>
      <rPr>
        <b/>
        <sz val="10"/>
        <color theme="1"/>
        <rFont val="Yu Gothic"/>
        <family val="2"/>
        <charset val="128"/>
      </rPr>
      <t>　15</t>
    </r>
    <r>
      <rPr>
        <b/>
        <sz val="10"/>
        <color theme="1"/>
        <rFont val="Century Gothic"/>
        <family val="2"/>
      </rPr>
      <t>mm-30 4</t>
    </r>
    <r>
      <rPr>
        <b/>
        <sz val="10"/>
        <color theme="1"/>
        <rFont val="Yu Gothic"/>
        <family val="2"/>
        <charset val="128"/>
      </rPr>
      <t>つ穴ポリエステル樹脂</t>
    </r>
    <rPh sb="19" eb="20">
      <t>アナ</t>
    </rPh>
    <rPh sb="26" eb="28">
      <t>ジュシ</t>
    </rPh>
    <phoneticPr fontId="13"/>
  </si>
  <si>
    <t>A NOVEL DAY WOVEN NAME</t>
    <phoneticPr fontId="13"/>
  </si>
  <si>
    <t>c/#WHITE</t>
  </si>
  <si>
    <t>A NOVEL DAY NAME paperhangtag</t>
    <phoneticPr fontId="13"/>
  </si>
  <si>
    <t>STYLE:25A-CO01(24SY-59)</t>
  </si>
  <si>
    <t>STYLE:25A-CO01(24SY-59)</t>
    <phoneticPr fontId="13"/>
  </si>
  <si>
    <t>PRESTIGE WOVEN quality label</t>
    <phoneticPr fontId="13"/>
  </si>
  <si>
    <t>25A-CO01 quality label</t>
  </si>
  <si>
    <t>25A-CO01 quality label</t>
    <phoneticPr fontId="13"/>
  </si>
  <si>
    <t>C/#WHITE</t>
    <phoneticPr fontId="13"/>
  </si>
  <si>
    <t>lady's</t>
    <phoneticPr fontId="13"/>
  </si>
  <si>
    <t xml:space="preserve"> SY-6600623-VT-DD-01</t>
    <phoneticPr fontId="13"/>
  </si>
  <si>
    <t>入庫NO.22074374</t>
    <rPh sb="0" eb="2">
      <t>ニュウコ</t>
    </rPh>
    <phoneticPr fontId="13"/>
  </si>
  <si>
    <t>STYLE:25A-PT03(24SY-52)</t>
    <phoneticPr fontId="13"/>
  </si>
  <si>
    <t>　15BURR　2779-2910</t>
  </si>
  <si>
    <r>
      <t xml:space="preserve">RIVET </t>
    </r>
    <r>
      <rPr>
        <b/>
        <sz val="10"/>
        <rFont val="Yu Gothic"/>
        <family val="2"/>
        <charset val="128"/>
      </rPr>
      <t>材質：真鍮</t>
    </r>
    <rPh sb="6" eb="8">
      <t>ザイシツ</t>
    </rPh>
    <rPh sb="9" eb="11">
      <t>シンチュウ</t>
    </rPh>
    <phoneticPr fontId="13"/>
  </si>
  <si>
    <t>9</t>
    <phoneticPr fontId="13"/>
  </si>
  <si>
    <t>BKW1612</t>
    <phoneticPr fontId="13"/>
  </si>
  <si>
    <t>朱子織　後染め　モールスキン</t>
    <rPh sb="0" eb="2">
      <t>シュシ</t>
    </rPh>
    <rPh sb="2" eb="3">
      <t>オリ</t>
    </rPh>
    <rPh sb="4" eb="5">
      <t>アト</t>
    </rPh>
    <phoneticPr fontId="13"/>
  </si>
  <si>
    <t>c/#16 CHARCOAL</t>
    <phoneticPr fontId="13"/>
  </si>
  <si>
    <t>c/#18 NAVY</t>
    <phoneticPr fontId="13"/>
  </si>
  <si>
    <t>STYLE:25SY-05</t>
    <phoneticPr fontId="13"/>
  </si>
  <si>
    <r>
      <t>FACE</t>
    </r>
    <r>
      <rPr>
        <b/>
        <sz val="10"/>
        <color theme="1"/>
        <rFont val="Yu Gothic"/>
        <family val="2"/>
        <charset val="128"/>
      </rPr>
      <t>：COTTON 100%</t>
    </r>
    <phoneticPr fontId="13"/>
  </si>
  <si>
    <r>
      <t>WIDTH:110CM (370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</si>
  <si>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入庫NO.22074410</t>
    <rPh sb="0" eb="2">
      <t>ニュウコ</t>
    </rPh>
    <phoneticPr fontId="13"/>
  </si>
  <si>
    <t>6/25</t>
    <phoneticPr fontId="13"/>
  </si>
  <si>
    <t>6/26</t>
    <phoneticPr fontId="13"/>
  </si>
  <si>
    <t>STYLE:25A-PT01(24SY-57)</t>
    <phoneticPr fontId="13"/>
  </si>
  <si>
    <t>8474</t>
    <phoneticPr fontId="13"/>
  </si>
  <si>
    <t>平織 先染め 梳毛</t>
    <rPh sb="0" eb="1">
      <t>オリ</t>
    </rPh>
    <rPh sb="2" eb="3">
      <t>サキ</t>
    </rPh>
    <rPh sb="6" eb="8">
      <t>ソモウ</t>
    </rPh>
    <phoneticPr fontId="13"/>
  </si>
  <si>
    <r>
      <t>WIDTH:148CM (250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</si>
  <si>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短繊維、プリント加工なし</t>
    <rPh sb="0" eb="1">
      <t>タン</t>
    </rPh>
    <rPh sb="1" eb="3">
      <t>センイ</t>
    </rPh>
    <rPh sb="8" eb="9">
      <t>ナ</t>
    </rPh>
    <phoneticPr fontId="13"/>
  </si>
  <si>
    <t>c/#6 GRAY</t>
    <phoneticPr fontId="13"/>
  </si>
  <si>
    <t>入庫NO.22074391</t>
    <rPh sb="0" eb="2">
      <t>ニュウコ</t>
    </rPh>
    <phoneticPr fontId="13"/>
  </si>
  <si>
    <t>10</t>
    <phoneticPr fontId="13"/>
  </si>
  <si>
    <t>11</t>
    <phoneticPr fontId="13"/>
  </si>
  <si>
    <t>11CARTONS</t>
    <phoneticPr fontId="13"/>
  </si>
  <si>
    <t>c/#NSL</t>
    <phoneticPr fontId="13"/>
  </si>
  <si>
    <t xml:space="preserve"> C/NO. 1-11</t>
    <phoneticPr fontId="13"/>
  </si>
  <si>
    <t>MADE  IN USA</t>
    <phoneticPr fontId="13"/>
  </si>
  <si>
    <t>June, 26 2025</t>
    <phoneticPr fontId="13"/>
  </si>
  <si>
    <t>11PACKAGES</t>
    <phoneticPr fontId="13"/>
  </si>
  <si>
    <t xml:space="preserve">449.5M. 955PCS. </t>
    <phoneticPr fontId="13"/>
  </si>
  <si>
    <t>入庫NO.22074423</t>
    <rPh sb="0" eb="2">
      <t>ニュウコ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</si>
</sst>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color theme="1"/>
      <name val="ＭＳ ゴシック"/>
      <family val="3"/>
      <charset val="128"/>
    </font>
    <font>
      <b/>
      <sz val="10"/>
      <color rgb="FF0070C0"/>
      <name val="Century Gothic"/>
      <family val="2"/>
    </font>
    <font>
      <b/>
      <i/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47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16" fillId="0" borderId="0" xfId="0" applyFont="1">
      <alignment vertical="center"/>
    </xf>
    <xf numFmtId="49" fontId="49" fillId="0" borderId="0" xfId="0" applyNumberFormat="1" applyFont="1">
      <alignment vertical="center"/>
    </xf>
    <xf numFmtId="0" fontId="16" fillId="0" borderId="50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23" fillId="0" borderId="47" xfId="0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4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56" fontId="14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49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179" fontId="23" fillId="0" borderId="20" xfId="0" applyNumberFormat="1" applyFont="1" applyBorder="1" applyAlignment="1">
      <alignment vertical="center" shrinkToFit="1"/>
    </xf>
    <xf numFmtId="0" fontId="48" fillId="0" borderId="4" xfId="0" applyFont="1" applyBorder="1">
      <alignment vertical="center"/>
    </xf>
    <xf numFmtId="0" fontId="16" fillId="0" borderId="40" xfId="0" applyFont="1" applyBorder="1">
      <alignment vertical="center"/>
    </xf>
    <xf numFmtId="0" fontId="0" fillId="0" borderId="55" xfId="0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49" fontId="23" fillId="6" borderId="52" xfId="0" applyNumberFormat="1" applyFont="1" applyFill="1" applyBorder="1" applyAlignment="1">
      <alignment horizontal="left" vertical="center"/>
    </xf>
    <xf numFmtId="49" fontId="11" fillId="6" borderId="52" xfId="0" applyNumberFormat="1" applyFont="1" applyFill="1" applyBorder="1" applyAlignment="1">
      <alignment horizontal="left" vertical="center"/>
    </xf>
    <xf numFmtId="49" fontId="31" fillId="6" borderId="52" xfId="0" quotePrefix="1" applyNumberFormat="1" applyFont="1" applyFill="1" applyBorder="1" applyAlignment="1">
      <alignment horizontal="left" vertical="center"/>
    </xf>
    <xf numFmtId="49" fontId="28" fillId="6" borderId="53" xfId="0" quotePrefix="1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179" fontId="23" fillId="0" borderId="8" xfId="0" applyNumberFormat="1" applyFont="1" applyBorder="1" applyAlignment="1">
      <alignment vertical="center" shrinkToFit="1"/>
    </xf>
    <xf numFmtId="179" fontId="23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179" fontId="23" fillId="0" borderId="5" xfId="0" applyNumberFormat="1" applyFont="1" applyBorder="1" applyAlignment="1">
      <alignment vertical="center" shrinkToFit="1"/>
    </xf>
    <xf numFmtId="49" fontId="24" fillId="3" borderId="7" xfId="0" applyNumberFormat="1" applyFont="1" applyFill="1" applyBorder="1" applyAlignment="1">
      <alignment horizontal="center" vertical="center"/>
    </xf>
    <xf numFmtId="49" fontId="23" fillId="0" borderId="8" xfId="0" quotePrefix="1" applyNumberFormat="1" applyFont="1" applyBorder="1" applyAlignment="1">
      <alignment horizontal="left" vertical="center"/>
    </xf>
    <xf numFmtId="177" fontId="23" fillId="0" borderId="8" xfId="0" applyNumberFormat="1" applyFont="1" applyBorder="1" applyAlignment="1">
      <alignment horizontal="right" vertical="center"/>
    </xf>
    <xf numFmtId="0" fontId="48" fillId="0" borderId="10" xfId="0" applyFont="1" applyBorder="1">
      <alignment vertical="center"/>
    </xf>
    <xf numFmtId="0" fontId="48" fillId="0" borderId="11" xfId="0" applyFont="1" applyBorder="1">
      <alignment vertical="center"/>
    </xf>
    <xf numFmtId="0" fontId="30" fillId="7" borderId="5" xfId="0" applyFont="1" applyFill="1" applyBorder="1" applyAlignment="1">
      <alignment horizontal="left" vertical="center"/>
    </xf>
    <xf numFmtId="49" fontId="23" fillId="7" borderId="8" xfId="0" quotePrefix="1" applyNumberFormat="1" applyFont="1" applyFill="1" applyBorder="1" applyAlignment="1">
      <alignment horizontal="left" vertical="center"/>
    </xf>
    <xf numFmtId="49" fontId="65" fillId="7" borderId="5" xfId="0" quotePrefix="1" applyNumberFormat="1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66" fillId="0" borderId="2" xfId="0" applyFont="1" applyBorder="1" applyAlignment="1">
      <alignment horizontal="center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49" fontId="58" fillId="0" borderId="25" xfId="0" applyNumberFormat="1" applyFont="1" applyBorder="1" applyAlignment="1">
      <alignment horizontal="center" vertical="center"/>
    </xf>
    <xf numFmtId="49" fontId="23" fillId="7" borderId="5" xfId="0" quotePrefix="1" applyNumberFormat="1" applyFont="1" applyFill="1" applyBorder="1" applyAlignment="1">
      <alignment horizontal="left" vertical="center" wrapText="1"/>
    </xf>
    <xf numFmtId="49" fontId="23" fillId="7" borderId="12" xfId="0" quotePrefix="1" applyNumberFormat="1" applyFont="1" applyFill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179" fontId="23" fillId="0" borderId="12" xfId="0" applyNumberFormat="1" applyFont="1" applyBorder="1" applyAlignment="1">
      <alignment vertical="center" shrinkToFit="1"/>
    </xf>
    <xf numFmtId="179" fontId="23" fillId="0" borderId="12" xfId="0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177" fontId="23" fillId="0" borderId="12" xfId="0" applyNumberFormat="1" applyFont="1" applyBorder="1" applyAlignment="1">
      <alignment horizontal="right" vertical="center"/>
    </xf>
    <xf numFmtId="0" fontId="16" fillId="0" borderId="3" xfId="0" applyFont="1" applyBorder="1">
      <alignment vertical="center"/>
    </xf>
    <xf numFmtId="49" fontId="50" fillId="3" borderId="0" xfId="0" applyNumberFormat="1" applyFont="1" applyFill="1" applyAlignment="1">
      <alignment horizontal="left" vertical="center"/>
    </xf>
    <xf numFmtId="49" fontId="32" fillId="0" borderId="24" xfId="0" applyNumberFormat="1" applyFont="1" applyBorder="1" applyAlignment="1">
      <alignment horizontal="left" vertical="center"/>
    </xf>
    <xf numFmtId="49" fontId="32" fillId="0" borderId="12" xfId="0" applyNumberFormat="1" applyFont="1" applyBorder="1" applyAlignment="1">
      <alignment horizontal="left" vertical="center"/>
    </xf>
    <xf numFmtId="0" fontId="11" fillId="0" borderId="35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 shrinkToFit="1"/>
    </xf>
    <xf numFmtId="3" fontId="11" fillId="0" borderId="11" xfId="0" applyNumberFormat="1" applyFont="1" applyBorder="1" applyAlignment="1">
      <alignment horizontal="center" vertical="center"/>
    </xf>
    <xf numFmtId="49" fontId="23" fillId="0" borderId="6" xfId="0" quotePrefix="1" applyNumberFormat="1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179" fontId="23" fillId="0" borderId="6" xfId="0" applyNumberFormat="1" applyFont="1" applyBorder="1" applyAlignment="1">
      <alignment vertical="center" shrinkToFit="1"/>
    </xf>
    <xf numFmtId="0" fontId="11" fillId="0" borderId="53" xfId="0" applyFont="1" applyBorder="1" applyAlignment="1">
      <alignment horizontal="center" vertical="center"/>
    </xf>
    <xf numFmtId="0" fontId="30" fillId="3" borderId="51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24" fillId="3" borderId="5" xfId="0" applyFont="1" applyFill="1" applyBorder="1" applyAlignment="1">
      <alignment horizontal="left" vertical="center"/>
    </xf>
    <xf numFmtId="0" fontId="11" fillId="0" borderId="6" xfId="0" applyFont="1" applyBorder="1">
      <alignment vertical="center"/>
    </xf>
    <xf numFmtId="180" fontId="11" fillId="0" borderId="4" xfId="2" applyNumberFormat="1" applyFont="1" applyFill="1" applyBorder="1" applyAlignment="1">
      <alignment horizontal="center" vertical="center"/>
    </xf>
    <xf numFmtId="1" fontId="11" fillId="0" borderId="58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6" fontId="11" fillId="0" borderId="4" xfId="12" applyFont="1" applyFill="1" applyBorder="1" applyAlignment="1">
      <alignment horizontal="right" vertical="center"/>
    </xf>
    <xf numFmtId="0" fontId="11" fillId="0" borderId="56" xfId="0" applyFont="1" applyBorder="1">
      <alignment vertical="center"/>
    </xf>
    <xf numFmtId="0" fontId="11" fillId="0" borderId="59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left" vertical="center"/>
    </xf>
    <xf numFmtId="0" fontId="11" fillId="0" borderId="59" xfId="0" applyFont="1" applyBorder="1">
      <alignment vertical="center"/>
    </xf>
    <xf numFmtId="176" fontId="11" fillId="0" borderId="59" xfId="0" applyNumberFormat="1" applyFont="1" applyBorder="1" applyAlignment="1">
      <alignment horizontal="right" vertical="center"/>
    </xf>
    <xf numFmtId="177" fontId="11" fillId="0" borderId="53" xfId="0" applyNumberFormat="1" applyFont="1" applyBorder="1">
      <alignment vertical="center"/>
    </xf>
    <xf numFmtId="49" fontId="11" fillId="0" borderId="11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24" fillId="3" borderId="23" xfId="0" applyNumberFormat="1" applyFont="1" applyFill="1" applyBorder="1" applyAlignment="1">
      <alignment horizontal="center" vertical="center"/>
    </xf>
    <xf numFmtId="49" fontId="24" fillId="3" borderId="57" xfId="0" applyNumberFormat="1" applyFont="1" applyFill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24" fillId="6" borderId="28" xfId="0" applyNumberFormat="1" applyFont="1" applyFill="1" applyBorder="1" applyAlignment="1">
      <alignment horizontal="center" vertical="center"/>
    </xf>
    <xf numFmtId="49" fontId="24" fillId="6" borderId="29" xfId="0" applyNumberFormat="1" applyFont="1" applyFill="1" applyBorder="1" applyAlignment="1">
      <alignment horizontal="center" vertical="center"/>
    </xf>
    <xf numFmtId="49" fontId="24" fillId="6" borderId="31" xfId="0" applyNumberFormat="1" applyFont="1" applyFill="1" applyBorder="1" applyAlignment="1">
      <alignment horizontal="center" vertical="center"/>
    </xf>
    <xf numFmtId="49" fontId="32" fillId="0" borderId="24" xfId="0" applyNumberFormat="1" applyFont="1" applyBorder="1" applyAlignment="1">
      <alignment horizontal="left" vertical="center"/>
    </xf>
    <xf numFmtId="49" fontId="32" fillId="0" borderId="4" xfId="0" applyNumberFormat="1" applyFont="1" applyBorder="1" applyAlignment="1">
      <alignment horizontal="left" vertical="center"/>
    </xf>
    <xf numFmtId="49" fontId="32" fillId="0" borderId="12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2</xdr:row>
      <xdr:rowOff>381000</xdr:rowOff>
    </xdr:from>
    <xdr:to>
      <xdr:col>6</xdr:col>
      <xdr:colOff>3425229</xdr:colOff>
      <xdr:row>2</xdr:row>
      <xdr:rowOff>2111375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7A2128C-31E3-2DD5-E523-EADC887F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0250" y="1889125"/>
          <a:ext cx="3298229" cy="1730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9" workbookViewId="0">
      <selection activeCell="F61" sqref="F61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143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250</v>
      </c>
    </row>
    <row r="26" spans="1:3">
      <c r="A26" s="7">
        <f t="shared" si="0"/>
        <v>26</v>
      </c>
      <c r="B26" s="9" t="s">
        <v>21</v>
      </c>
      <c r="C26" s="26" t="s">
        <v>221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SY-6600623-VT-DD-01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252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1216311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SY-6600623-VT-DD-01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143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251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169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92" t="s">
        <v>250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6" customFormat="1" ht="32.25" customHeight="1">
      <c r="H1" s="97"/>
    </row>
    <row r="2" spans="1:15" s="96" customFormat="1" ht="32.5">
      <c r="A2" s="96" t="str">
        <f>'shipper master'!C26</f>
        <v xml:space="preserve"> SY-6600623-VT-DD-01</v>
      </c>
      <c r="H2" s="97"/>
      <c r="I2" s="96" t="str">
        <f>'shipper master'!C26</f>
        <v xml:space="preserve"> SY-6600623-VT-DD-01</v>
      </c>
    </row>
    <row r="3" spans="1:15" s="96" customFormat="1" ht="32.5">
      <c r="A3" s="96" t="str">
        <f>'[1]shipper master'!C50</f>
        <v xml:space="preserve">VIVAN GARMENTS VIET NAM </v>
      </c>
      <c r="H3" s="97"/>
      <c r="I3" s="96" t="str">
        <f>'[1]shipper master'!C50</f>
        <v xml:space="preserve">VIVAN GARMENTS VIET NAM </v>
      </c>
    </row>
    <row r="4" spans="1:15" s="96" customFormat="1" ht="32.5">
      <c r="A4" s="96" t="str">
        <f>'[1]shipper master'!C51</f>
        <v xml:space="preserve"> COMPANY LIMITED</v>
      </c>
      <c r="H4" s="97"/>
      <c r="I4" s="96" t="str">
        <f>'[1]shipper master'!C51</f>
        <v xml:space="preserve"> COMPANY LIMITED</v>
      </c>
    </row>
    <row r="5" spans="1:15" s="96" customFormat="1" ht="32.5">
      <c r="A5" s="96" t="str">
        <f>'[1]shipper master'!C52</f>
        <v xml:space="preserve"> HOCHIMINH-CITY, VIETNAM</v>
      </c>
      <c r="H5" s="97"/>
      <c r="I5" s="96" t="str">
        <f>'[1]shipper master'!C52</f>
        <v xml:space="preserve"> HOCHIMINH-CITY, VIETNAM</v>
      </c>
    </row>
    <row r="6" spans="1:15" s="96" customFormat="1" ht="32.5">
      <c r="A6" s="96" t="s">
        <v>109</v>
      </c>
      <c r="C6" s="96">
        <v>1</v>
      </c>
      <c r="D6" s="98"/>
      <c r="H6" s="97"/>
      <c r="I6" s="96" t="s">
        <v>109</v>
      </c>
      <c r="K6" s="96">
        <v>2</v>
      </c>
    </row>
    <row r="7" spans="1:15" s="96" customFormat="1" ht="32.25" customHeight="1">
      <c r="A7" s="96" t="str">
        <f>'[1]shipper master'!C54</f>
        <v xml:space="preserve"> MADE IN JAPAN</v>
      </c>
      <c r="H7" s="97"/>
      <c r="I7" s="96" t="str">
        <f>'[1]shipper master'!C54</f>
        <v xml:space="preserve"> MADE IN JAPAN</v>
      </c>
    </row>
    <row r="8" spans="1:15" s="96" customFormat="1" ht="19.5" customHeight="1">
      <c r="H8" s="97"/>
    </row>
    <row r="9" spans="1:15" s="96" customFormat="1" ht="19.5" customHeight="1">
      <c r="H9" s="97"/>
    </row>
    <row r="10" spans="1:15" s="96" customFormat="1" ht="19.5" customHeight="1">
      <c r="A10" s="99"/>
      <c r="B10" s="99"/>
      <c r="C10" s="99"/>
      <c r="D10" s="99"/>
      <c r="E10" s="99"/>
      <c r="F10" s="99"/>
      <c r="G10" s="99"/>
      <c r="H10" s="100"/>
      <c r="I10" s="99"/>
      <c r="J10" s="99"/>
      <c r="K10" s="99"/>
      <c r="L10" s="99"/>
      <c r="M10" s="99"/>
      <c r="N10" s="99"/>
      <c r="O10" s="99"/>
    </row>
    <row r="11" spans="1:15" s="96" customFormat="1" ht="19.5" customHeight="1">
      <c r="H11" s="97"/>
    </row>
    <row r="12" spans="1:15" s="96" customFormat="1" ht="19.5" customHeight="1">
      <c r="H12" s="97"/>
    </row>
    <row r="13" spans="1:15" s="96" customFormat="1" ht="32.5">
      <c r="A13" s="96" t="str">
        <f>'shipper master'!C26</f>
        <v xml:space="preserve"> SY-6600623-VT-DD-01</v>
      </c>
      <c r="H13" s="97"/>
      <c r="I13" s="96" t="str">
        <f>'shipper master'!C26</f>
        <v xml:space="preserve"> SY-6600623-VT-DD-01</v>
      </c>
    </row>
    <row r="14" spans="1:15" s="96" customFormat="1" ht="32.5">
      <c r="A14" s="96" t="str">
        <f>'[1]shipper master'!C50</f>
        <v xml:space="preserve">VIVAN GARMENTS VIET NAM </v>
      </c>
      <c r="H14" s="97"/>
      <c r="I14" s="96" t="str">
        <f>'[1]shipper master'!C50</f>
        <v xml:space="preserve">VIVAN GARMENTS VIET NAM </v>
      </c>
    </row>
    <row r="15" spans="1:15" s="96" customFormat="1" ht="32.5">
      <c r="A15" s="96" t="str">
        <f>'[1]shipper master'!C51</f>
        <v xml:space="preserve"> COMPANY LIMITED</v>
      </c>
      <c r="H15" s="97"/>
      <c r="I15" s="96" t="str">
        <f>'[1]shipper master'!C51</f>
        <v xml:space="preserve"> COMPANY LIMITED</v>
      </c>
    </row>
    <row r="16" spans="1:15" s="96" customFormat="1" ht="32.5">
      <c r="A16" s="96" t="str">
        <f>'[1]shipper master'!C52</f>
        <v xml:space="preserve"> HOCHIMINH-CITY, VIETNAM</v>
      </c>
      <c r="H16" s="97"/>
      <c r="I16" s="96" t="str">
        <f>'[1]shipper master'!C52</f>
        <v xml:space="preserve"> HOCHIMINH-CITY, VIETNAM</v>
      </c>
    </row>
    <row r="17" spans="1:11" s="96" customFormat="1" ht="32.5">
      <c r="A17" s="96" t="s">
        <v>109</v>
      </c>
      <c r="C17" s="96">
        <v>3</v>
      </c>
      <c r="H17" s="97"/>
      <c r="I17" s="96" t="s">
        <v>109</v>
      </c>
      <c r="K17" s="96">
        <v>4</v>
      </c>
    </row>
    <row r="18" spans="1:11" s="96" customFormat="1" ht="32.5">
      <c r="A18" s="96" t="str">
        <f>'[1]shipper master'!C54</f>
        <v xml:space="preserve"> MADE IN JAPAN</v>
      </c>
      <c r="H18" s="97"/>
      <c r="I18" s="96" t="str">
        <f>'[1]shipper master'!C54</f>
        <v xml:space="preserve"> MADE IN JAPAN</v>
      </c>
    </row>
    <row r="19" spans="1:11" s="101" customFormat="1" ht="34">
      <c r="A19" s="96"/>
    </row>
    <row r="20" spans="1:11" s="101" customFormat="1" ht="34"/>
    <row r="21" spans="1:11" s="101" customFormat="1" ht="34"/>
    <row r="22" spans="1:11" s="101" customFormat="1" ht="34"/>
    <row r="23" spans="1:11" s="101" customFormat="1" ht="34"/>
    <row r="24" spans="1:11" s="101" customFormat="1" ht="34"/>
    <row r="25" spans="1:11" s="101" customFormat="1" ht="34"/>
    <row r="26" spans="1:11" s="96" customFormat="1" ht="32.5"/>
    <row r="27" spans="1:11" s="96" customFormat="1" ht="32.5"/>
    <row r="28" spans="1:11" s="96" customFormat="1" ht="32.5"/>
    <row r="29" spans="1:11" s="96" customFormat="1" ht="32.5"/>
    <row r="30" spans="1:11" s="96" customFormat="1" ht="32.5"/>
    <row r="31" spans="1:11" s="96" customFormat="1" ht="32.5"/>
    <row r="32" spans="1:11" s="96" customFormat="1" ht="32.5"/>
    <row r="33" s="96" customFormat="1" ht="32.5"/>
    <row r="34" s="96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zoomScale="110" zoomScaleNormal="115" zoomScaleSheetLayoutView="110" workbookViewId="0">
      <selection activeCell="B31" sqref="B31"/>
    </sheetView>
  </sheetViews>
  <sheetFormatPr defaultColWidth="9" defaultRowHeight="16"/>
  <cols>
    <col min="1" max="1" width="8.6328125" style="105" customWidth="1"/>
    <col min="2" max="2" width="11.6328125" style="105" customWidth="1"/>
    <col min="3" max="3" width="4.81640625" style="105" customWidth="1"/>
    <col min="4" max="4" width="23.36328125" style="105" customWidth="1"/>
    <col min="5" max="5" width="6.08984375" style="105" customWidth="1"/>
    <col min="6" max="7" width="3.08984375" style="105" customWidth="1"/>
    <col min="8" max="8" width="2.90625" style="105" customWidth="1"/>
    <col min="9" max="9" width="3.08984375" style="105" hidden="1" customWidth="1"/>
    <col min="10" max="10" width="8.453125" style="105" customWidth="1"/>
    <col min="11" max="11" width="9.90625" style="105" customWidth="1"/>
    <col min="12" max="12" width="13" style="105" customWidth="1"/>
    <col min="13" max="13" width="13.90625" style="105" customWidth="1"/>
    <col min="14" max="16384" width="9" style="105"/>
  </cols>
  <sheetData>
    <row r="1" spans="1:13" s="102" customFormat="1" ht="32.25" customHeight="1">
      <c r="A1" s="321" t="s">
        <v>110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</row>
    <row r="2" spans="1:13" ht="23.25" customHeight="1">
      <c r="A2" s="103" t="str">
        <f>'[2]shipper master'!C2</f>
        <v xml:space="preserve"> SHUNYA CO., LTD.</v>
      </c>
      <c r="B2" s="104"/>
      <c r="C2" s="104"/>
      <c r="D2" s="104"/>
      <c r="E2" s="104"/>
      <c r="L2" s="106"/>
    </row>
    <row r="3" spans="1:13" ht="15.75" customHeight="1">
      <c r="A3" s="3" t="str">
        <f>'[2]shipper master'!C3</f>
        <v xml:space="preserve"> KENSHIN BLDG., 1F, 1-22-10 DOUGENZAKA,</v>
      </c>
      <c r="B3" s="104"/>
      <c r="C3" s="104"/>
      <c r="D3" s="104"/>
      <c r="E3" s="104"/>
      <c r="L3" s="106"/>
    </row>
    <row r="4" spans="1:13" ht="18" customHeight="1">
      <c r="A4" s="3" t="str">
        <f>'[2]shipper master'!C4</f>
        <v xml:space="preserve"> SHIBUYA-KU 150-0043</v>
      </c>
      <c r="B4" s="104"/>
      <c r="C4" s="104"/>
      <c r="D4" s="104"/>
      <c r="E4" s="104"/>
      <c r="F4" s="107"/>
      <c r="G4" s="107"/>
      <c r="H4" s="107"/>
      <c r="I4" s="107"/>
      <c r="J4" s="107"/>
      <c r="L4" s="3">
        <f>'[2]shipper master'!C6</f>
        <v>0</v>
      </c>
    </row>
    <row r="5" spans="1:13" ht="16.5" thickBot="1">
      <c r="A5" s="108" t="str">
        <f>'[2]shipper master'!C5</f>
        <v xml:space="preserve"> TEL : +81(0)3-5459-1177</v>
      </c>
      <c r="B5" s="104"/>
      <c r="C5" s="104"/>
      <c r="D5" s="104"/>
      <c r="L5" s="3">
        <f>'[2]shipper master'!C7</f>
        <v>0</v>
      </c>
      <c r="M5" s="109"/>
    </row>
    <row r="6" spans="1:13" ht="13.4" customHeight="1">
      <c r="A6" s="110" t="s">
        <v>111</v>
      </c>
      <c r="B6" s="111"/>
      <c r="C6" s="111"/>
      <c r="D6" s="111"/>
      <c r="E6" s="111"/>
      <c r="F6" s="112" t="s">
        <v>112</v>
      </c>
      <c r="G6" s="113"/>
      <c r="H6" s="113"/>
      <c r="I6" s="113"/>
      <c r="J6" s="111"/>
      <c r="K6" s="209"/>
      <c r="L6" s="112" t="s">
        <v>113</v>
      </c>
      <c r="M6" s="106"/>
    </row>
    <row r="7" spans="1:13" ht="13.4" customHeight="1">
      <c r="A7" s="3" t="str">
        <f>'[2]shipper master'!C9</f>
        <v>VIVAN GARMENTS VIET NAM COMPANY LIMITED</v>
      </c>
      <c r="B7" s="106"/>
      <c r="C7" s="106"/>
      <c r="D7" s="106"/>
      <c r="E7" s="106"/>
      <c r="F7" s="114" t="str">
        <f>'shipper master'!C26</f>
        <v xml:space="preserve"> SY-6600623-VT-DD-01</v>
      </c>
      <c r="G7" s="115"/>
      <c r="H7" s="115"/>
      <c r="I7" s="115"/>
      <c r="J7" s="115"/>
      <c r="K7" s="210"/>
      <c r="L7" s="116"/>
      <c r="M7" s="106"/>
    </row>
    <row r="8" spans="1:13" ht="13.4" customHeight="1">
      <c r="A8" s="3" t="str">
        <f>'[2]shipper master'!C10</f>
        <v>D17 Street , Sai Gon South Residential Area</v>
      </c>
      <c r="B8" s="106"/>
      <c r="C8" s="106"/>
      <c r="D8" s="106"/>
      <c r="E8" s="106"/>
      <c r="F8" s="117" t="s">
        <v>114</v>
      </c>
      <c r="G8" s="110"/>
      <c r="H8" s="110"/>
      <c r="I8" s="110"/>
      <c r="J8" s="106"/>
      <c r="K8" s="211"/>
      <c r="L8" s="118" t="str">
        <f>'shipper master'!C26</f>
        <v xml:space="preserve"> SY-6600623-VT-DD-01</v>
      </c>
      <c r="M8" s="106"/>
    </row>
    <row r="9" spans="1:13" ht="13.4" customHeight="1">
      <c r="A9" s="3" t="str">
        <f>'[2]shipper master'!C11</f>
        <v>Hamlet 3 , Long Hau Commune , Can Giuoc District,</v>
      </c>
      <c r="B9" s="106"/>
      <c r="C9" s="106"/>
      <c r="D9" s="106"/>
      <c r="E9" s="106"/>
      <c r="F9" s="212" t="str">
        <f>'shipper master'!C25</f>
        <v>June, 26 2025</v>
      </c>
      <c r="G9" s="119"/>
      <c r="H9" s="119"/>
      <c r="I9" s="119"/>
      <c r="J9" s="119"/>
      <c r="K9" s="120"/>
      <c r="L9" s="118" t="str">
        <f>'[1]shipper master'!C50</f>
        <v xml:space="preserve">VIVAN GARMENTS VIET NAM </v>
      </c>
      <c r="M9" s="106"/>
    </row>
    <row r="10" spans="1:13" ht="13.4" customHeight="1">
      <c r="A10" s="3" t="str">
        <f>'[2]shipper master'!C12</f>
        <v xml:space="preserve"> Long An Province , VietNam</v>
      </c>
      <c r="B10" s="106"/>
      <c r="C10" s="106"/>
      <c r="D10" s="106"/>
      <c r="E10" s="106"/>
      <c r="F10" s="117" t="s">
        <v>115</v>
      </c>
      <c r="G10" s="110"/>
      <c r="H10" s="110"/>
      <c r="I10" s="110"/>
      <c r="J10" s="106"/>
      <c r="K10" s="211"/>
      <c r="L10" s="118" t="str">
        <f>'[1]shipper master'!C51</f>
        <v xml:space="preserve"> COMPANY LIMITED</v>
      </c>
      <c r="M10" s="106"/>
    </row>
    <row r="11" spans="1:13" ht="13.4" customHeight="1">
      <c r="A11" s="115" t="str">
        <f>'[2]shipper master'!C13</f>
        <v xml:space="preserve"> TEL : ( 084 ) 097 22 00 798  ATTN : MR. TUAN</v>
      </c>
      <c r="B11" s="106"/>
      <c r="C11" s="106"/>
      <c r="D11" s="106"/>
      <c r="E11" s="125"/>
      <c r="F11" s="322" t="str">
        <f>'shipper master'!C26</f>
        <v xml:space="preserve"> SY-6600623-VT-DD-01</v>
      </c>
      <c r="G11" s="323"/>
      <c r="H11" s="323"/>
      <c r="I11" s="323"/>
      <c r="J11" s="323"/>
      <c r="K11" s="324"/>
      <c r="L11" s="118" t="str">
        <f>'[1]shipper master'!C52</f>
        <v xml:space="preserve"> HOCHIMINH-CITY, VIETNAM</v>
      </c>
      <c r="M11" s="106"/>
    </row>
    <row r="12" spans="1:13" ht="13.4" customHeight="1">
      <c r="A12" s="110" t="s">
        <v>116</v>
      </c>
      <c r="B12" s="121"/>
      <c r="C12" s="121"/>
      <c r="D12" s="121"/>
      <c r="E12" s="106"/>
      <c r="F12" s="117" t="s">
        <v>117</v>
      </c>
      <c r="G12" s="110"/>
      <c r="H12" s="110"/>
      <c r="I12" s="110"/>
      <c r="J12" s="106"/>
      <c r="K12" s="106"/>
      <c r="L12" s="122" t="s">
        <v>248</v>
      </c>
      <c r="M12" s="106"/>
    </row>
    <row r="13" spans="1:13" ht="13.4" customHeight="1">
      <c r="A13" s="3" t="str">
        <f>'[2]shipper master'!C15</f>
        <v xml:space="preserve"> - SAME AS BUYER -</v>
      </c>
      <c r="B13" s="106"/>
      <c r="C13" s="106"/>
      <c r="D13" s="106"/>
      <c r="E13" s="106"/>
      <c r="F13" s="322">
        <f>'[2]shipper master'!C30</f>
        <v>0</v>
      </c>
      <c r="G13" s="323"/>
      <c r="H13" s="323"/>
      <c r="I13" s="323"/>
      <c r="J13" s="323"/>
      <c r="K13" s="324"/>
      <c r="L13" s="118" t="s">
        <v>118</v>
      </c>
      <c r="M13" s="106"/>
    </row>
    <row r="14" spans="1:13" ht="13.4" customHeight="1">
      <c r="A14" s="3">
        <f>'[2]shipper master'!C16</f>
        <v>0</v>
      </c>
      <c r="B14" s="106"/>
      <c r="C14" s="106"/>
      <c r="D14" s="106"/>
      <c r="E14" s="106"/>
      <c r="F14" s="123" t="s">
        <v>24</v>
      </c>
      <c r="G14" s="3"/>
      <c r="H14" s="3"/>
      <c r="I14" s="3"/>
      <c r="J14" s="3"/>
      <c r="K14" s="124"/>
      <c r="L14" s="118" t="s">
        <v>249</v>
      </c>
      <c r="M14" s="106"/>
    </row>
    <row r="15" spans="1:13" ht="13.4" customHeight="1">
      <c r="A15" s="3">
        <f>'[2]shipper master'!C17</f>
        <v>0</v>
      </c>
      <c r="B15" s="106"/>
      <c r="C15" s="106"/>
      <c r="D15" s="106"/>
      <c r="E15" s="106"/>
      <c r="F15" s="322">
        <f>'[2]shipper master'!C29</f>
        <v>0</v>
      </c>
      <c r="G15" s="323"/>
      <c r="H15" s="323"/>
      <c r="I15" s="323"/>
      <c r="J15" s="323"/>
      <c r="K15" s="324"/>
      <c r="L15" s="116"/>
      <c r="M15" s="106"/>
    </row>
    <row r="16" spans="1:13" ht="13.4" customHeight="1">
      <c r="A16" s="3">
        <f>'[2]shipper master'!C18</f>
        <v>0</v>
      </c>
      <c r="B16" s="106"/>
      <c r="C16" s="106"/>
      <c r="D16" s="106"/>
      <c r="E16" s="106"/>
      <c r="F16" s="117" t="s">
        <v>119</v>
      </c>
      <c r="G16" s="110"/>
      <c r="H16" s="110"/>
      <c r="I16" s="110"/>
      <c r="J16" s="106"/>
      <c r="K16" s="106"/>
      <c r="L16" s="116"/>
      <c r="M16" s="106"/>
    </row>
    <row r="17" spans="1:13" ht="13.4" customHeight="1">
      <c r="A17" s="115">
        <f>'[2]shipper master'!C19</f>
        <v>0</v>
      </c>
      <c r="B17" s="125"/>
      <c r="C17" s="125"/>
      <c r="D17" s="125"/>
      <c r="E17" s="125"/>
      <c r="F17" s="325"/>
      <c r="G17" s="326"/>
      <c r="H17" s="326"/>
      <c r="I17" s="326"/>
      <c r="J17" s="326"/>
      <c r="K17" s="327"/>
      <c r="L17" s="116"/>
      <c r="M17" s="106"/>
    </row>
    <row r="18" spans="1:13" ht="13.4" customHeight="1">
      <c r="A18" s="110" t="s">
        <v>120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16"/>
      <c r="M18" s="106"/>
    </row>
    <row r="19" spans="1:13" ht="13.4" customHeight="1">
      <c r="A19" s="115" t="str">
        <f>'[2]shipper master'!C21</f>
        <v xml:space="preserve"> NO COMMERCIAL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6"/>
      <c r="M19" s="125"/>
    </row>
    <row r="20" spans="1:13" ht="13.4" customHeight="1">
      <c r="A20" s="110" t="s">
        <v>121</v>
      </c>
      <c r="B20" s="106"/>
      <c r="C20" s="106"/>
      <c r="D20" s="127" t="s">
        <v>122</v>
      </c>
      <c r="E20" s="128"/>
      <c r="F20" s="110" t="s">
        <v>123</v>
      </c>
      <c r="G20" s="110"/>
      <c r="H20" s="110"/>
      <c r="I20" s="110"/>
      <c r="J20" s="129" t="s">
        <v>124</v>
      </c>
      <c r="K20" s="130"/>
      <c r="L20" s="110" t="s">
        <v>125</v>
      </c>
      <c r="M20" s="106"/>
    </row>
    <row r="21" spans="1:13" s="1" customFormat="1" ht="13.4" customHeight="1" thickBot="1">
      <c r="A21" s="3" t="str">
        <f>'[2]shipper master'!C24</f>
        <v xml:space="preserve"> AIRCRAFT</v>
      </c>
      <c r="B21" s="108"/>
      <c r="C21" s="3"/>
      <c r="D21" s="131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8"/>
      <c r="K21" s="108"/>
      <c r="L21" s="4"/>
      <c r="M21" s="108"/>
    </row>
    <row r="22" spans="1:13" s="136" customFormat="1" ht="16.399999999999999" customHeight="1">
      <c r="A22" s="132" t="s">
        <v>126</v>
      </c>
      <c r="B22" s="132" t="s">
        <v>127</v>
      </c>
      <c r="C22" s="132"/>
      <c r="D22" s="133" t="s">
        <v>128</v>
      </c>
      <c r="E22" s="132" t="s">
        <v>129</v>
      </c>
      <c r="F22" s="133"/>
      <c r="G22" s="133"/>
      <c r="H22" s="133" t="s">
        <v>130</v>
      </c>
      <c r="I22" s="133"/>
      <c r="J22" s="133"/>
      <c r="K22" s="134" t="s">
        <v>131</v>
      </c>
      <c r="L22" s="132" t="s">
        <v>132</v>
      </c>
      <c r="M22" s="135" t="s">
        <v>133</v>
      </c>
    </row>
    <row r="23" spans="1:13" ht="13.4" customHeight="1">
      <c r="A23" s="137"/>
      <c r="B23" s="138"/>
      <c r="C23" s="138"/>
      <c r="D23" s="106"/>
      <c r="E23" s="138"/>
      <c r="F23" s="106"/>
      <c r="G23" s="106"/>
      <c r="H23" s="106"/>
      <c r="I23" s="106"/>
      <c r="J23" s="106"/>
      <c r="K23" s="139"/>
      <c r="L23" s="106"/>
      <c r="M23" s="116"/>
    </row>
    <row r="24" spans="1:13" s="1" customFormat="1" ht="13.4" customHeight="1">
      <c r="A24" s="140"/>
      <c r="B24" s="141" t="str">
        <f>'[2]shipper master'!C36</f>
        <v>FABRIC &amp; PARTS FOR WEAR &amp; SAMPLE CLOTHES</v>
      </c>
      <c r="C24" s="141"/>
      <c r="D24" s="4"/>
      <c r="E24" s="4"/>
      <c r="F24" s="4"/>
      <c r="G24" s="4"/>
      <c r="H24" s="4"/>
      <c r="I24" s="4"/>
      <c r="J24" s="4"/>
      <c r="K24" s="142"/>
      <c r="L24" s="143" t="str">
        <f>'[2]shipper master'!C48</f>
        <v>F.O.B. TOKYO IN YEN</v>
      </c>
      <c r="M24" s="144"/>
    </row>
    <row r="25" spans="1:13" s="1" customFormat="1" ht="13.4" customHeight="1">
      <c r="A25" s="140"/>
      <c r="B25" s="141"/>
      <c r="C25" s="141"/>
      <c r="D25" s="4"/>
      <c r="E25" s="4"/>
      <c r="F25" s="4"/>
      <c r="G25" s="4"/>
      <c r="H25" s="4"/>
      <c r="I25" s="4"/>
      <c r="J25" s="4"/>
      <c r="K25" s="142"/>
      <c r="L25" s="145"/>
      <c r="M25" s="144"/>
    </row>
    <row r="26" spans="1:13" s="1" customFormat="1" ht="13.4" customHeight="1">
      <c r="A26" s="146"/>
      <c r="B26" s="141">
        <f>'[2]shipper master'!C37</f>
        <v>0</v>
      </c>
      <c r="C26" s="141"/>
      <c r="D26" s="4"/>
      <c r="E26" s="4"/>
      <c r="F26" s="3"/>
      <c r="G26" s="3"/>
      <c r="H26" s="3"/>
      <c r="I26" s="3"/>
      <c r="J26" s="3"/>
      <c r="K26" s="148">
        <f>'NARITA '!E55</f>
        <v>449.5</v>
      </c>
      <c r="L26" s="149" t="s">
        <v>148</v>
      </c>
      <c r="M26" s="150">
        <f>'NARITA '!H55</f>
        <v>921781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48">
        <f>'NARITA '!E56</f>
        <v>955</v>
      </c>
      <c r="L27" s="149" t="s">
        <v>145</v>
      </c>
      <c r="M27" s="150">
        <f>'NARITA '!H56</f>
        <v>294530</v>
      </c>
    </row>
    <row r="28" spans="1:13" s="1" customFormat="1" ht="13.4" customHeight="1">
      <c r="A28" s="151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52"/>
      <c r="L28" s="149"/>
      <c r="M28" s="153"/>
    </row>
    <row r="29" spans="1:13" s="1" customFormat="1" ht="13.4" customHeight="1">
      <c r="A29" s="151"/>
      <c r="B29" s="22"/>
      <c r="C29" s="22"/>
      <c r="D29" s="3"/>
      <c r="E29" s="4"/>
      <c r="F29" s="3"/>
      <c r="G29" s="3"/>
      <c r="H29" s="3"/>
      <c r="I29" s="3"/>
      <c r="J29" s="3"/>
      <c r="K29" s="152"/>
      <c r="L29" s="149"/>
      <c r="M29" s="153"/>
    </row>
    <row r="30" spans="1:13" s="1" customFormat="1" ht="17.25" customHeight="1" thickBot="1">
      <c r="A30" s="154"/>
      <c r="B30" s="155" t="s">
        <v>144</v>
      </c>
      <c r="C30" s="193"/>
      <c r="D30" s="199">
        <f>K26</f>
        <v>449.5</v>
      </c>
      <c r="E30" s="193" t="s">
        <v>147</v>
      </c>
      <c r="F30" s="328">
        <f>K27</f>
        <v>955</v>
      </c>
      <c r="G30" s="328"/>
      <c r="H30" s="328"/>
      <c r="I30" s="156" t="s">
        <v>85</v>
      </c>
      <c r="J30" s="156" t="s">
        <v>85</v>
      </c>
      <c r="K30" s="194">
        <f>K28</f>
        <v>0</v>
      </c>
      <c r="L30" s="195"/>
      <c r="M30" s="157">
        <f>SUM(M26:M29)</f>
        <v>1216311</v>
      </c>
    </row>
    <row r="31" spans="1:13" s="1" customFormat="1" ht="13.4" customHeight="1" thickTop="1">
      <c r="A31" s="158"/>
      <c r="B31" s="159"/>
      <c r="C31" s="159"/>
      <c r="D31" s="3"/>
      <c r="E31" s="160"/>
      <c r="F31" s="3"/>
      <c r="G31" s="160"/>
      <c r="H31" s="3"/>
      <c r="I31" s="3"/>
      <c r="J31" s="3"/>
      <c r="K31" s="151"/>
      <c r="L31" s="161"/>
      <c r="M31" s="158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2"/>
      <c r="L32" s="161"/>
      <c r="M32" s="163"/>
    </row>
    <row r="33" spans="1:13" s="1" customFormat="1" ht="13.4" customHeight="1">
      <c r="A33" s="3" t="str">
        <f>'[2]shipper master'!C63</f>
        <v>" THESE GOODS WILL BE RETURN TO JAPAN</v>
      </c>
      <c r="B33" s="164"/>
      <c r="C33" s="164"/>
      <c r="D33" s="164"/>
      <c r="E33" s="164"/>
      <c r="F33" s="164"/>
      <c r="G33" s="3"/>
      <c r="H33" s="3"/>
      <c r="I33" s="3" t="s">
        <v>134</v>
      </c>
      <c r="J33" s="3"/>
      <c r="K33" s="162" t="s">
        <v>135</v>
      </c>
      <c r="L33" s="161"/>
      <c r="M33" s="3"/>
    </row>
    <row r="34" spans="1:13" s="1" customFormat="1" ht="13.4" customHeight="1">
      <c r="A34" s="320" t="str">
        <f>'[2]shipper master'!C64</f>
        <v xml:space="preserve">  AFTER MANUFACTURED AT VIET NAM "</v>
      </c>
      <c r="B34" s="320"/>
      <c r="C34" s="320"/>
      <c r="D34" s="320"/>
      <c r="E34" s="4"/>
      <c r="F34" s="3"/>
      <c r="G34" s="3"/>
      <c r="H34" s="3"/>
      <c r="I34" s="3" t="s">
        <v>136</v>
      </c>
      <c r="J34" s="3"/>
      <c r="K34" s="162" t="s">
        <v>137</v>
      </c>
      <c r="L34" s="161"/>
      <c r="M34" s="163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1"/>
      <c r="L35" s="161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1"/>
      <c r="L36" s="161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1"/>
      <c r="L37" s="161"/>
      <c r="M37" s="3"/>
    </row>
    <row r="38" spans="1:13" s="1" customFormat="1" ht="13.4" customHeight="1">
      <c r="A38" s="165" t="s">
        <v>138</v>
      </c>
      <c r="B38" s="166"/>
      <c r="C38" s="166"/>
      <c r="D38" s="167" t="s">
        <v>246</v>
      </c>
      <c r="E38" s="4"/>
      <c r="F38" s="3"/>
      <c r="G38" s="3"/>
      <c r="H38" s="3"/>
      <c r="I38" s="3"/>
      <c r="J38" s="3"/>
      <c r="K38" s="151"/>
      <c r="L38" s="161"/>
      <c r="M38" s="3"/>
    </row>
    <row r="39" spans="1:13" s="1" customFormat="1" ht="13.4" customHeight="1">
      <c r="A39" s="165" t="s">
        <v>139</v>
      </c>
      <c r="B39" s="166"/>
      <c r="C39" s="166"/>
      <c r="D39" s="168" t="s">
        <v>140</v>
      </c>
      <c r="E39" s="4"/>
      <c r="F39" s="3"/>
      <c r="G39" s="3"/>
      <c r="H39" s="3"/>
      <c r="I39" s="3"/>
      <c r="J39" s="3"/>
      <c r="K39" s="151"/>
      <c r="L39" s="161"/>
      <c r="M39" s="3"/>
    </row>
    <row r="40" spans="1:13" s="1" customFormat="1" ht="13.4" customHeight="1">
      <c r="A40" s="147"/>
      <c r="B40" s="141"/>
      <c r="C40" s="141"/>
      <c r="D40" s="169"/>
      <c r="E40" s="141"/>
      <c r="F40" s="170"/>
      <c r="G40" s="170"/>
      <c r="H40" s="170"/>
      <c r="I40" s="3"/>
      <c r="J40" s="3"/>
      <c r="K40" s="151"/>
      <c r="L40" s="161"/>
      <c r="M40" s="3"/>
    </row>
    <row r="41" spans="1:13" ht="18" customHeight="1">
      <c r="A41" s="147"/>
      <c r="B41" s="106"/>
      <c r="C41" s="106"/>
      <c r="D41" s="106"/>
      <c r="E41" s="106"/>
      <c r="F41" s="106"/>
      <c r="G41" s="106"/>
      <c r="H41" s="138"/>
      <c r="I41" s="106"/>
      <c r="J41" s="106"/>
      <c r="K41" s="138"/>
      <c r="L41" s="171"/>
      <c r="M41" s="106"/>
    </row>
    <row r="42" spans="1:13" ht="13.4" customHeight="1">
      <c r="A42" s="106"/>
      <c r="B42" s="172"/>
      <c r="C42" s="172"/>
      <c r="D42" s="106"/>
      <c r="E42" s="106"/>
      <c r="F42" s="106"/>
      <c r="G42" s="106"/>
      <c r="H42" s="106"/>
      <c r="I42" s="106"/>
      <c r="J42" s="106"/>
      <c r="K42" s="173"/>
      <c r="L42" s="171"/>
      <c r="M42" s="106"/>
    </row>
    <row r="43" spans="1:13" ht="13.4" customHeight="1">
      <c r="A43" s="106"/>
      <c r="B43" s="172"/>
      <c r="C43" s="172"/>
      <c r="D43" s="106"/>
      <c r="E43" s="106"/>
      <c r="F43" s="106"/>
      <c r="G43" s="106"/>
      <c r="H43" s="106"/>
      <c r="I43" s="106"/>
      <c r="J43" s="106"/>
      <c r="K43" s="173"/>
      <c r="L43" s="171"/>
      <c r="M43" s="106"/>
    </row>
    <row r="44" spans="1:13" ht="13.4" customHeight="1">
      <c r="A44" s="106"/>
      <c r="B44" s="106"/>
      <c r="C44" s="106"/>
      <c r="D44" s="106"/>
      <c r="E44" s="106"/>
      <c r="F44" s="106"/>
      <c r="G44" s="106"/>
      <c r="H44" s="125"/>
      <c r="I44" s="125"/>
      <c r="J44" s="125"/>
      <c r="K44" s="174"/>
      <c r="L44" s="175"/>
      <c r="M44" s="125"/>
    </row>
    <row r="45" spans="1:13" ht="13.4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73"/>
      <c r="L45" s="171"/>
      <c r="M45" s="106"/>
    </row>
    <row r="46" spans="1:13" ht="13.4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73"/>
      <c r="L46" s="171"/>
      <c r="M46" s="106"/>
    </row>
    <row r="47" spans="1:13" ht="13.4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73"/>
      <c r="L47" s="171"/>
      <c r="M47" s="106"/>
    </row>
    <row r="48" spans="1:1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73"/>
      <c r="L48" s="171"/>
      <c r="M48" s="106"/>
    </row>
    <row r="49" spans="1:1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73"/>
      <c r="L49" s="176"/>
      <c r="M49" s="106"/>
    </row>
    <row r="50" spans="1:1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73"/>
      <c r="L50" s="176"/>
      <c r="M50" s="106"/>
    </row>
    <row r="51" spans="1:1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73"/>
      <c r="L51" s="176"/>
      <c r="M51" s="106"/>
    </row>
    <row r="52" spans="1:13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73"/>
      <c r="L52" s="176"/>
      <c r="M52" s="106"/>
    </row>
    <row r="53" spans="1:1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73"/>
      <c r="L53" s="176"/>
      <c r="M53" s="106"/>
    </row>
    <row r="54" spans="1:1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73"/>
      <c r="L54" s="176"/>
      <c r="M54" s="106"/>
    </row>
    <row r="55" spans="1:1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73"/>
      <c r="L55" s="176"/>
      <c r="M55" s="106"/>
    </row>
    <row r="56" spans="1:13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73"/>
      <c r="L56" s="176"/>
      <c r="M56" s="106"/>
    </row>
    <row r="57" spans="1:1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73"/>
      <c r="L57" s="176"/>
      <c r="M57" s="106"/>
    </row>
    <row r="58" spans="1:1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73"/>
      <c r="L58" s="176"/>
      <c r="M58" s="106"/>
    </row>
    <row r="59" spans="1:1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73"/>
      <c r="L59" s="176"/>
      <c r="M59" s="106"/>
    </row>
    <row r="60" spans="1:1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73"/>
      <c r="L60" s="176"/>
      <c r="M60" s="106"/>
    </row>
    <row r="61" spans="1:1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73"/>
      <c r="L61" s="176"/>
      <c r="M61" s="106"/>
    </row>
    <row r="62" spans="1:1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73"/>
      <c r="L62" s="176"/>
      <c r="M62" s="106"/>
    </row>
    <row r="63" spans="1:1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73"/>
      <c r="L63" s="176"/>
      <c r="M63" s="106"/>
    </row>
    <row r="64" spans="1:1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73"/>
      <c r="L64" s="176"/>
      <c r="M64" s="106"/>
    </row>
    <row r="65" spans="1:1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73"/>
      <c r="L65" s="176"/>
      <c r="M65" s="106"/>
    </row>
    <row r="66" spans="1:1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73"/>
      <c r="L66" s="176"/>
      <c r="M66" s="106"/>
    </row>
    <row r="67" spans="1:1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73"/>
      <c r="L67" s="176"/>
      <c r="M67" s="106"/>
    </row>
    <row r="68" spans="1:1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73"/>
      <c r="L68" s="176"/>
      <c r="M68" s="106"/>
    </row>
    <row r="69" spans="1:1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73"/>
      <c r="L69" s="176"/>
      <c r="M69" s="106"/>
    </row>
    <row r="70" spans="1:1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73"/>
      <c r="L70" s="176"/>
      <c r="M70" s="106"/>
    </row>
    <row r="71" spans="1:1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73"/>
      <c r="L71" s="176"/>
      <c r="M71" s="106"/>
    </row>
    <row r="72" spans="1:13">
      <c r="K72" s="177"/>
      <c r="L72" s="178"/>
    </row>
    <row r="73" spans="1:13">
      <c r="K73" s="177"/>
      <c r="L73" s="178"/>
    </row>
    <row r="74" spans="1:13">
      <c r="L74" s="178"/>
    </row>
    <row r="75" spans="1:13">
      <c r="L75" s="178"/>
    </row>
    <row r="76" spans="1:13">
      <c r="L76" s="178"/>
    </row>
    <row r="77" spans="1:13">
      <c r="L77" s="178"/>
    </row>
    <row r="78" spans="1:13">
      <c r="L78" s="178"/>
    </row>
    <row r="79" spans="1:13">
      <c r="L79" s="178"/>
    </row>
    <row r="80" spans="1:13">
      <c r="L80" s="178"/>
    </row>
    <row r="81" spans="12:12">
      <c r="L81" s="178"/>
    </row>
    <row r="82" spans="12:12">
      <c r="L82" s="178"/>
    </row>
    <row r="83" spans="12:12">
      <c r="L83" s="178"/>
    </row>
    <row r="84" spans="12:12">
      <c r="L84" s="178"/>
    </row>
    <row r="85" spans="12:12">
      <c r="L85" s="178"/>
    </row>
    <row r="86" spans="12:12">
      <c r="L86" s="178"/>
    </row>
    <row r="87" spans="12:12">
      <c r="L87" s="178"/>
    </row>
    <row r="88" spans="12:12">
      <c r="L88" s="178"/>
    </row>
    <row r="89" spans="12:12">
      <c r="L89" s="178"/>
    </row>
    <row r="90" spans="12:12">
      <c r="L90" s="178"/>
    </row>
    <row r="91" spans="12:12">
      <c r="L91" s="178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10"/>
  <sheetViews>
    <sheetView tabSelected="1" view="pageBreakPreview" zoomScale="70" zoomScaleNormal="90" zoomScaleSheetLayoutView="70" workbookViewId="0">
      <selection activeCell="I35" sqref="I35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43" t="s">
        <v>98</v>
      </c>
      <c r="B2" s="343"/>
      <c r="C2" s="343"/>
      <c r="D2" s="343"/>
      <c r="E2" s="343"/>
      <c r="F2" s="343"/>
      <c r="G2" s="343"/>
      <c r="H2" s="343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344" t="s">
        <v>89</v>
      </c>
      <c r="G4" s="345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107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108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331" t="s">
        <v>176</v>
      </c>
      <c r="B8" s="29"/>
      <c r="C8" s="29"/>
      <c r="D8" s="191" t="s">
        <v>173</v>
      </c>
      <c r="E8" s="71"/>
      <c r="F8" s="71"/>
      <c r="G8" s="72"/>
      <c r="H8" s="73"/>
      <c r="I8" s="232"/>
      <c r="J8" s="238"/>
      <c r="K8" s="73"/>
      <c r="L8" s="73"/>
      <c r="M8" s="73"/>
      <c r="N8" s="334">
        <v>3</v>
      </c>
    </row>
    <row r="9" spans="1:14">
      <c r="A9" s="332"/>
      <c r="B9" s="30" t="s">
        <v>170</v>
      </c>
      <c r="C9" s="200" t="s">
        <v>172</v>
      </c>
      <c r="D9" s="21" t="s">
        <v>146</v>
      </c>
      <c r="E9" s="205">
        <v>130</v>
      </c>
      <c r="F9" s="76" t="s">
        <v>147</v>
      </c>
      <c r="G9" s="201">
        <v>1630</v>
      </c>
      <c r="H9" s="202">
        <f>E9*G9</f>
        <v>211900</v>
      </c>
      <c r="I9" s="207"/>
      <c r="J9" s="239"/>
      <c r="K9" s="51"/>
      <c r="L9" s="79"/>
      <c r="M9" s="51"/>
      <c r="N9" s="335"/>
    </row>
    <row r="10" spans="1:14" ht="16.5">
      <c r="A10" s="332"/>
      <c r="B10" s="21" t="s">
        <v>146</v>
      </c>
      <c r="C10" s="74"/>
      <c r="D10" s="234" t="s">
        <v>174</v>
      </c>
      <c r="E10" s="75"/>
      <c r="F10" s="76"/>
      <c r="G10" s="77"/>
      <c r="H10" s="78"/>
      <c r="I10" s="207" t="s">
        <v>177</v>
      </c>
      <c r="J10" s="239" t="s">
        <v>178</v>
      </c>
      <c r="K10" s="51"/>
      <c r="L10" s="51"/>
      <c r="M10" s="51"/>
      <c r="N10" s="335"/>
    </row>
    <row r="11" spans="1:14" ht="16.5">
      <c r="A11" s="332"/>
      <c r="B11" s="33" t="s">
        <v>171</v>
      </c>
      <c r="C11" s="74"/>
      <c r="D11" s="32" t="s">
        <v>175</v>
      </c>
      <c r="E11" s="75"/>
      <c r="F11" s="76"/>
      <c r="G11" s="77"/>
      <c r="H11" s="78"/>
      <c r="I11" s="207"/>
      <c r="J11" s="239"/>
      <c r="K11" s="51"/>
      <c r="L11" s="51"/>
      <c r="M11" s="51"/>
      <c r="N11" s="335"/>
    </row>
    <row r="12" spans="1:14" ht="15.5" thickBot="1">
      <c r="A12" s="333"/>
      <c r="B12" s="35" t="s">
        <v>161</v>
      </c>
      <c r="C12" s="80"/>
      <c r="D12" s="34"/>
      <c r="E12" s="81"/>
      <c r="F12" s="196"/>
      <c r="G12" s="82"/>
      <c r="H12" s="83"/>
      <c r="I12" s="233"/>
      <c r="J12" s="240"/>
      <c r="K12" s="19"/>
      <c r="L12" s="19"/>
      <c r="M12" s="19"/>
      <c r="N12" s="336"/>
    </row>
    <row r="13" spans="1:14" ht="15.5" thickBot="1">
      <c r="A13" s="237"/>
      <c r="B13" s="203"/>
      <c r="C13" s="200"/>
      <c r="D13" s="204"/>
      <c r="E13" s="258"/>
      <c r="F13" s="235"/>
      <c r="G13" s="84"/>
      <c r="H13" s="85"/>
      <c r="I13" s="207"/>
      <c r="J13" s="239"/>
      <c r="K13" s="16"/>
      <c r="L13" s="16"/>
      <c r="M13" s="16"/>
      <c r="N13" s="208"/>
    </row>
    <row r="14" spans="1:14" ht="15.65" customHeight="1">
      <c r="A14" s="331" t="s">
        <v>162</v>
      </c>
      <c r="B14" s="29"/>
      <c r="C14" s="29"/>
      <c r="D14" s="191" t="s">
        <v>182</v>
      </c>
      <c r="E14" s="71"/>
      <c r="F14" s="71"/>
      <c r="G14" s="72"/>
      <c r="H14" s="73"/>
      <c r="I14" s="232"/>
      <c r="J14" s="238"/>
      <c r="K14" s="73"/>
      <c r="L14" s="73"/>
      <c r="M14" s="73"/>
      <c r="N14" s="334">
        <v>2</v>
      </c>
    </row>
    <row r="15" spans="1:14">
      <c r="A15" s="332"/>
      <c r="B15" s="203" t="s">
        <v>179</v>
      </c>
      <c r="C15" s="200" t="s">
        <v>181</v>
      </c>
      <c r="D15" s="21" t="s">
        <v>100</v>
      </c>
      <c r="E15" s="205">
        <v>104.6</v>
      </c>
      <c r="F15" s="76" t="s">
        <v>147</v>
      </c>
      <c r="G15" s="201">
        <v>3030</v>
      </c>
      <c r="H15" s="202">
        <f>E15*G15</f>
        <v>316938</v>
      </c>
      <c r="I15" s="207" t="s">
        <v>184</v>
      </c>
      <c r="J15" s="239" t="s">
        <v>185</v>
      </c>
      <c r="K15" s="51"/>
      <c r="L15" s="79"/>
      <c r="M15" s="51"/>
      <c r="N15" s="335"/>
    </row>
    <row r="16" spans="1:14" ht="16.5">
      <c r="A16" s="332"/>
      <c r="B16" s="21" t="s">
        <v>146</v>
      </c>
      <c r="C16" s="74"/>
      <c r="D16" s="234" t="s">
        <v>163</v>
      </c>
      <c r="E16" s="75"/>
      <c r="F16" s="76"/>
      <c r="G16" s="77"/>
      <c r="H16" s="78"/>
      <c r="I16" s="207"/>
      <c r="J16" s="239"/>
      <c r="K16" s="51"/>
      <c r="L16" s="51"/>
      <c r="M16" s="51"/>
      <c r="N16" s="335"/>
    </row>
    <row r="17" spans="1:14" ht="16.5">
      <c r="A17" s="332"/>
      <c r="B17" s="33" t="s">
        <v>188</v>
      </c>
      <c r="C17" s="74"/>
      <c r="D17" s="32" t="s">
        <v>183</v>
      </c>
      <c r="E17" s="75"/>
      <c r="F17" s="76"/>
      <c r="G17" s="77"/>
      <c r="H17" s="78"/>
      <c r="I17" s="207"/>
      <c r="J17" s="239"/>
      <c r="K17" s="51"/>
      <c r="L17" s="51"/>
      <c r="M17" s="51"/>
      <c r="N17" s="335"/>
    </row>
    <row r="18" spans="1:14" ht="15.5" thickBot="1">
      <c r="A18" s="333"/>
      <c r="B18" s="35" t="s">
        <v>180</v>
      </c>
      <c r="C18" s="80"/>
      <c r="D18" s="34"/>
      <c r="E18" s="81"/>
      <c r="F18" s="81"/>
      <c r="G18" s="82"/>
      <c r="H18" s="83"/>
      <c r="I18" s="233"/>
      <c r="J18" s="240"/>
      <c r="K18" s="19"/>
      <c r="L18" s="19"/>
      <c r="M18" s="19"/>
      <c r="N18" s="336"/>
    </row>
    <row r="19" spans="1:14" ht="15.5" thickBot="1">
      <c r="A19" s="237"/>
      <c r="B19" s="197"/>
      <c r="C19" s="74"/>
      <c r="D19" s="32"/>
      <c r="E19" s="205"/>
      <c r="F19" s="76"/>
      <c r="G19" s="201"/>
      <c r="H19" s="202"/>
      <c r="I19" s="207"/>
      <c r="J19" s="239"/>
      <c r="K19" s="91"/>
      <c r="L19" s="91"/>
      <c r="M19" s="91"/>
      <c r="N19" s="208"/>
    </row>
    <row r="20" spans="1:14" ht="15.65" customHeight="1">
      <c r="A20" s="331" t="s">
        <v>186</v>
      </c>
      <c r="B20" s="29"/>
      <c r="C20" s="29"/>
      <c r="D20" s="191" t="s">
        <v>191</v>
      </c>
      <c r="E20" s="71"/>
      <c r="F20" s="71"/>
      <c r="G20" s="72"/>
      <c r="H20" s="73"/>
      <c r="I20" s="232"/>
      <c r="J20" s="238"/>
      <c r="K20" s="73"/>
      <c r="L20" s="73"/>
      <c r="M20" s="73"/>
      <c r="N20" s="334">
        <v>1</v>
      </c>
    </row>
    <row r="21" spans="1:14">
      <c r="A21" s="332"/>
      <c r="B21" s="203" t="s">
        <v>187</v>
      </c>
      <c r="C21" s="200" t="s">
        <v>181</v>
      </c>
      <c r="D21" s="21" t="s">
        <v>146</v>
      </c>
      <c r="E21" s="205">
        <v>102.6</v>
      </c>
      <c r="F21" s="76" t="s">
        <v>148</v>
      </c>
      <c r="G21" s="201">
        <v>1400</v>
      </c>
      <c r="H21" s="78">
        <f>E21*G21</f>
        <v>143640</v>
      </c>
      <c r="I21" s="207"/>
      <c r="J21" s="239"/>
      <c r="K21" s="51"/>
      <c r="L21" s="51"/>
      <c r="M21" s="51"/>
      <c r="N21" s="335"/>
    </row>
    <row r="22" spans="1:14" ht="16.5">
      <c r="A22" s="332"/>
      <c r="B22" s="21" t="s">
        <v>157</v>
      </c>
      <c r="C22" s="74"/>
      <c r="D22" s="204" t="s">
        <v>192</v>
      </c>
      <c r="E22" s="75"/>
      <c r="F22" s="76"/>
      <c r="G22" s="77"/>
      <c r="H22" s="78"/>
      <c r="I22" s="207" t="s">
        <v>194</v>
      </c>
      <c r="J22" s="239" t="s">
        <v>195</v>
      </c>
      <c r="K22" s="51"/>
      <c r="L22" s="51"/>
      <c r="M22" s="51"/>
      <c r="N22" s="335"/>
    </row>
    <row r="23" spans="1:14">
      <c r="A23" s="332"/>
      <c r="B23" s="33" t="s">
        <v>190</v>
      </c>
      <c r="C23" s="74"/>
      <c r="D23" s="31" t="s">
        <v>193</v>
      </c>
      <c r="E23" s="75"/>
      <c r="F23" s="76"/>
      <c r="G23" s="77"/>
      <c r="H23" s="78"/>
      <c r="I23" s="207"/>
      <c r="J23" s="239"/>
      <c r="K23" s="51"/>
      <c r="L23" s="51"/>
      <c r="M23" s="51"/>
      <c r="N23" s="335"/>
    </row>
    <row r="24" spans="1:14" ht="15.5" thickBot="1">
      <c r="A24" s="333"/>
      <c r="B24" s="35" t="s">
        <v>189</v>
      </c>
      <c r="C24" s="80"/>
      <c r="D24" s="34"/>
      <c r="E24" s="81"/>
      <c r="F24" s="81"/>
      <c r="G24" s="82"/>
      <c r="H24" s="83"/>
      <c r="I24" s="233"/>
      <c r="J24" s="240"/>
      <c r="K24" s="19"/>
      <c r="L24" s="19"/>
      <c r="M24" s="19"/>
      <c r="N24" s="336"/>
    </row>
    <row r="25" spans="1:14" ht="15.5" thickBot="1">
      <c r="A25" s="237"/>
      <c r="B25" s="197"/>
      <c r="C25" s="74"/>
      <c r="D25" s="32"/>
      <c r="E25" s="205"/>
      <c r="F25" s="76"/>
      <c r="G25" s="201"/>
      <c r="H25" s="202"/>
      <c r="I25" s="207"/>
      <c r="J25" s="239"/>
      <c r="K25" s="91"/>
      <c r="L25" s="91"/>
      <c r="M25" s="91"/>
      <c r="N25" s="208"/>
    </row>
    <row r="26" spans="1:14" ht="15.65" customHeight="1">
      <c r="A26" s="331" t="s">
        <v>198</v>
      </c>
      <c r="B26" s="29"/>
      <c r="C26" s="29"/>
      <c r="D26" s="191" t="s">
        <v>231</v>
      </c>
      <c r="E26" s="71"/>
      <c r="F26" s="71"/>
      <c r="G26" s="72"/>
      <c r="H26" s="73"/>
      <c r="I26" s="232"/>
      <c r="J26" s="238"/>
      <c r="K26" s="73"/>
      <c r="L26" s="73"/>
      <c r="M26" s="73"/>
      <c r="N26" s="334">
        <v>1</v>
      </c>
    </row>
    <row r="27" spans="1:14">
      <c r="A27" s="332"/>
      <c r="B27" s="203" t="s">
        <v>227</v>
      </c>
      <c r="C27" s="200" t="s">
        <v>229</v>
      </c>
      <c r="D27" s="21" t="s">
        <v>146</v>
      </c>
      <c r="E27" s="205">
        <v>30</v>
      </c>
      <c r="F27" s="76" t="s">
        <v>148</v>
      </c>
      <c r="G27" s="201">
        <v>1880</v>
      </c>
      <c r="H27" s="78">
        <f>E27*G27</f>
        <v>56400</v>
      </c>
      <c r="I27" s="207"/>
      <c r="J27" s="239"/>
      <c r="K27" s="51"/>
      <c r="L27" s="51"/>
      <c r="M27" s="51"/>
      <c r="N27" s="335"/>
    </row>
    <row r="28" spans="1:14" ht="16.5">
      <c r="A28" s="332"/>
      <c r="B28" s="21" t="s">
        <v>146</v>
      </c>
      <c r="C28" s="74" t="s">
        <v>230</v>
      </c>
      <c r="D28" s="204" t="s">
        <v>232</v>
      </c>
      <c r="E28" s="75">
        <v>30</v>
      </c>
      <c r="F28" s="76" t="s">
        <v>148</v>
      </c>
      <c r="G28" s="77">
        <v>1880</v>
      </c>
      <c r="H28" s="78">
        <f>E28*G28</f>
        <v>56400</v>
      </c>
      <c r="I28" s="207" t="s">
        <v>234</v>
      </c>
      <c r="J28" s="239" t="s">
        <v>236</v>
      </c>
      <c r="K28" s="51"/>
      <c r="L28" s="51"/>
      <c r="M28" s="51"/>
      <c r="N28" s="335"/>
    </row>
    <row r="29" spans="1:14">
      <c r="A29" s="332"/>
      <c r="B29" s="33" t="s">
        <v>228</v>
      </c>
      <c r="C29" s="74"/>
      <c r="D29" s="31" t="s">
        <v>233</v>
      </c>
      <c r="E29" s="75"/>
      <c r="F29" s="76"/>
      <c r="G29" s="77"/>
      <c r="H29" s="78"/>
      <c r="I29" s="207"/>
      <c r="J29" s="239"/>
      <c r="K29" s="51"/>
      <c r="L29" s="51"/>
      <c r="M29" s="51"/>
      <c r="N29" s="335"/>
    </row>
    <row r="30" spans="1:14" ht="15.5" thickBot="1">
      <c r="A30" s="333"/>
      <c r="B30" s="35" t="s">
        <v>180</v>
      </c>
      <c r="C30" s="80"/>
      <c r="D30" s="34"/>
      <c r="E30" s="81"/>
      <c r="F30" s="81"/>
      <c r="G30" s="82"/>
      <c r="H30" s="83"/>
      <c r="I30" s="233"/>
      <c r="J30" s="240"/>
      <c r="K30" s="19"/>
      <c r="L30" s="19"/>
      <c r="M30" s="19"/>
      <c r="N30" s="336"/>
    </row>
    <row r="31" spans="1:14" ht="15.5" thickBot="1">
      <c r="A31" s="237"/>
      <c r="B31" s="197"/>
      <c r="C31" s="74"/>
      <c r="D31" s="32"/>
      <c r="E31" s="205"/>
      <c r="F31" s="76"/>
      <c r="G31" s="201"/>
      <c r="H31" s="202"/>
      <c r="I31" s="207"/>
      <c r="J31" s="239"/>
      <c r="K31" s="91"/>
      <c r="L31" s="91"/>
      <c r="M31" s="91"/>
      <c r="N31" s="208"/>
    </row>
    <row r="32" spans="1:14" ht="15.65" customHeight="1">
      <c r="A32" s="331" t="s">
        <v>226</v>
      </c>
      <c r="B32" s="29"/>
      <c r="C32" s="29"/>
      <c r="D32" s="191" t="s">
        <v>237</v>
      </c>
      <c r="E32" s="71"/>
      <c r="F32" s="71"/>
      <c r="G32" s="72"/>
      <c r="H32" s="73"/>
      <c r="I32" s="232"/>
      <c r="J32" s="238"/>
      <c r="K32" s="73"/>
      <c r="L32" s="73"/>
      <c r="M32" s="73"/>
      <c r="N32" s="334">
        <v>1</v>
      </c>
    </row>
    <row r="33" spans="1:14">
      <c r="A33" s="332"/>
      <c r="B33" s="203" t="s">
        <v>238</v>
      </c>
      <c r="C33" s="200" t="s">
        <v>242</v>
      </c>
      <c r="D33" s="21" t="s">
        <v>146</v>
      </c>
      <c r="E33" s="205">
        <v>52.3</v>
      </c>
      <c r="F33" s="76" t="s">
        <v>148</v>
      </c>
      <c r="G33" s="201">
        <v>2610</v>
      </c>
      <c r="H33" s="78">
        <f>E33*G33</f>
        <v>136503</v>
      </c>
      <c r="I33" s="207" t="s">
        <v>253</v>
      </c>
      <c r="J33" s="239"/>
      <c r="K33" s="51"/>
      <c r="L33" s="51"/>
      <c r="M33" s="51"/>
      <c r="N33" s="335"/>
    </row>
    <row r="34" spans="1:14">
      <c r="A34" s="332"/>
      <c r="B34" s="21" t="s">
        <v>146</v>
      </c>
      <c r="C34" s="74"/>
      <c r="D34" s="204" t="s">
        <v>163</v>
      </c>
      <c r="E34" s="75"/>
      <c r="F34" s="76"/>
      <c r="G34" s="77"/>
      <c r="H34" s="78"/>
      <c r="I34" s="306"/>
      <c r="J34" s="239" t="s">
        <v>236</v>
      </c>
      <c r="K34" s="51"/>
      <c r="L34" s="51"/>
      <c r="M34" s="51"/>
      <c r="N34" s="335"/>
    </row>
    <row r="35" spans="1:14">
      <c r="A35" s="332"/>
      <c r="B35" s="33" t="s">
        <v>239</v>
      </c>
      <c r="C35" s="74"/>
      <c r="D35" s="31" t="s">
        <v>240</v>
      </c>
      <c r="E35" s="75"/>
      <c r="F35" s="76"/>
      <c r="G35" s="77"/>
      <c r="H35" s="78"/>
      <c r="I35" s="207"/>
      <c r="J35" s="239"/>
      <c r="K35" s="51"/>
      <c r="L35" s="51"/>
      <c r="M35" s="51"/>
      <c r="N35" s="335"/>
    </row>
    <row r="36" spans="1:14" ht="15.5" thickBot="1">
      <c r="A36" s="333"/>
      <c r="B36" s="35" t="s">
        <v>241</v>
      </c>
      <c r="C36" s="80"/>
      <c r="D36" s="34"/>
      <c r="E36" s="81"/>
      <c r="F36" s="81"/>
      <c r="G36" s="82"/>
      <c r="H36" s="83"/>
      <c r="I36" s="233"/>
      <c r="J36" s="240"/>
      <c r="K36" s="19"/>
      <c r="L36" s="19"/>
      <c r="M36" s="19"/>
      <c r="N36" s="336"/>
    </row>
    <row r="37" spans="1:14" ht="15.5" thickBot="1">
      <c r="A37" s="237"/>
      <c r="B37" s="197"/>
      <c r="C37" s="74"/>
      <c r="D37" s="32"/>
      <c r="E37" s="205"/>
      <c r="F37" s="76"/>
      <c r="G37" s="201"/>
      <c r="H37" s="202"/>
      <c r="I37" s="207"/>
      <c r="J37" s="239"/>
      <c r="K37" s="91"/>
      <c r="L37" s="91"/>
      <c r="M37" s="91"/>
      <c r="N37" s="208"/>
    </row>
    <row r="38" spans="1:14" ht="15.65" customHeight="1">
      <c r="A38" s="337" t="s">
        <v>244</v>
      </c>
      <c r="B38" s="259"/>
      <c r="C38" s="29"/>
      <c r="D38" s="191" t="s">
        <v>200</v>
      </c>
      <c r="E38" s="71"/>
      <c r="F38" s="71"/>
      <c r="G38" s="72"/>
      <c r="H38" s="73"/>
      <c r="I38" s="232"/>
      <c r="J38" s="340" t="s">
        <v>201</v>
      </c>
      <c r="K38" s="73"/>
      <c r="L38" s="73"/>
      <c r="M38" s="73"/>
      <c r="N38" s="334">
        <v>1</v>
      </c>
    </row>
    <row r="39" spans="1:14">
      <c r="A39" s="338"/>
      <c r="B39" s="260" t="s">
        <v>196</v>
      </c>
      <c r="C39" s="74" t="s">
        <v>166</v>
      </c>
      <c r="D39" s="31" t="s">
        <v>146</v>
      </c>
      <c r="E39" s="205">
        <v>237</v>
      </c>
      <c r="F39" s="76" t="s">
        <v>85</v>
      </c>
      <c r="G39" s="201">
        <v>1000</v>
      </c>
      <c r="H39" s="78">
        <f>E39*G39</f>
        <v>237000</v>
      </c>
      <c r="I39" s="207"/>
      <c r="J39" s="341"/>
      <c r="K39" s="51"/>
      <c r="L39" s="51"/>
      <c r="M39" s="51"/>
      <c r="N39" s="335"/>
    </row>
    <row r="40" spans="1:14" ht="16.5">
      <c r="A40" s="338"/>
      <c r="B40" s="261" t="s">
        <v>197</v>
      </c>
      <c r="C40" s="74"/>
      <c r="D40" s="31"/>
      <c r="E40" s="75"/>
      <c r="F40" s="76"/>
      <c r="G40" s="77"/>
      <c r="H40" s="78"/>
      <c r="I40" s="264"/>
      <c r="J40" s="341"/>
      <c r="K40" s="51"/>
      <c r="L40" s="51"/>
      <c r="M40" s="51"/>
      <c r="N40" s="335"/>
    </row>
    <row r="41" spans="1:14">
      <c r="A41" s="338"/>
      <c r="B41" s="262" t="s">
        <v>164</v>
      </c>
      <c r="C41" s="74"/>
      <c r="D41" s="32"/>
      <c r="E41" s="75"/>
      <c r="F41" s="76"/>
      <c r="G41" s="77"/>
      <c r="H41" s="78"/>
      <c r="I41" s="207"/>
      <c r="J41" s="341"/>
      <c r="K41" s="51"/>
      <c r="L41" s="51"/>
      <c r="M41" s="51"/>
      <c r="N41" s="335"/>
    </row>
    <row r="42" spans="1:14" ht="15.5" thickBot="1">
      <c r="A42" s="338"/>
      <c r="B42" s="263" t="s">
        <v>165</v>
      </c>
      <c r="C42" s="80"/>
      <c r="D42" s="34"/>
      <c r="E42" s="81"/>
      <c r="F42" s="81"/>
      <c r="G42" s="82"/>
      <c r="H42" s="83"/>
      <c r="I42" s="207" t="s">
        <v>222</v>
      </c>
      <c r="J42" s="341"/>
      <c r="K42" s="51"/>
      <c r="L42" s="51"/>
      <c r="M42" s="51"/>
      <c r="N42" s="335"/>
    </row>
    <row r="43" spans="1:14" ht="15.65" customHeight="1" thickBot="1">
      <c r="A43" s="338"/>
      <c r="B43" s="274"/>
      <c r="C43" s="29"/>
      <c r="D43" s="191" t="s">
        <v>205</v>
      </c>
      <c r="E43" s="71"/>
      <c r="F43" s="71"/>
      <c r="G43" s="72"/>
      <c r="H43" s="73"/>
      <c r="I43" s="207"/>
      <c r="J43" s="341"/>
      <c r="K43" s="51"/>
      <c r="L43" s="51"/>
      <c r="M43" s="51"/>
      <c r="N43" s="335"/>
    </row>
    <row r="44" spans="1:14" ht="18.5" customHeight="1" thickBot="1">
      <c r="A44" s="338"/>
      <c r="B44" s="276" t="s">
        <v>203</v>
      </c>
      <c r="C44" s="247"/>
      <c r="D44" s="248" t="s">
        <v>207</v>
      </c>
      <c r="E44" s="249">
        <v>1</v>
      </c>
      <c r="F44" s="192" t="s">
        <v>85</v>
      </c>
      <c r="G44" s="206">
        <v>4000</v>
      </c>
      <c r="H44" s="206">
        <f>E44*G44</f>
        <v>4000</v>
      </c>
      <c r="I44" s="207"/>
      <c r="J44" s="341"/>
      <c r="K44" s="51"/>
      <c r="L44" s="272"/>
      <c r="M44" s="51"/>
      <c r="N44" s="335"/>
    </row>
    <row r="45" spans="1:14" ht="15.65" customHeight="1" thickBot="1">
      <c r="A45" s="338"/>
      <c r="B45" s="274"/>
      <c r="C45" s="29"/>
      <c r="D45" s="191" t="s">
        <v>215</v>
      </c>
      <c r="E45" s="71"/>
      <c r="F45" s="71"/>
      <c r="G45" s="72"/>
      <c r="H45" s="73"/>
      <c r="I45" s="207"/>
      <c r="J45" s="341"/>
      <c r="K45" s="51"/>
      <c r="L45" s="51"/>
      <c r="M45" s="51"/>
      <c r="N45" s="335"/>
    </row>
    <row r="46" spans="1:14" ht="18.5" customHeight="1" thickBot="1">
      <c r="A46" s="338"/>
      <c r="B46" s="284" t="s">
        <v>216</v>
      </c>
      <c r="C46" s="247"/>
      <c r="D46" s="248" t="s">
        <v>218</v>
      </c>
      <c r="E46" s="249">
        <v>30</v>
      </c>
      <c r="F46" s="192" t="s">
        <v>85</v>
      </c>
      <c r="G46" s="206">
        <v>50</v>
      </c>
      <c r="H46" s="206">
        <f t="shared" ref="H46" si="0">E46*G46</f>
        <v>1500</v>
      </c>
      <c r="I46" s="207"/>
      <c r="J46" s="341"/>
      <c r="K46" s="51"/>
      <c r="L46" s="272"/>
      <c r="M46" s="51"/>
      <c r="N46" s="335"/>
    </row>
    <row r="47" spans="1:14" ht="15.65" customHeight="1">
      <c r="A47" s="338"/>
      <c r="B47" s="274"/>
      <c r="C47" s="29"/>
      <c r="D47" s="191" t="s">
        <v>200</v>
      </c>
      <c r="E47" s="71"/>
      <c r="F47" s="71"/>
      <c r="G47" s="72"/>
      <c r="H47" s="73"/>
      <c r="I47" s="207"/>
      <c r="J47" s="341"/>
      <c r="K47" s="51"/>
      <c r="L47" s="51"/>
      <c r="M47" s="51"/>
      <c r="N47" s="335"/>
    </row>
    <row r="48" spans="1:14" ht="17.5" customHeight="1">
      <c r="A48" s="338"/>
      <c r="B48" s="275" t="s">
        <v>208</v>
      </c>
      <c r="C48" s="200" t="s">
        <v>209</v>
      </c>
      <c r="D48" s="265" t="s">
        <v>210</v>
      </c>
      <c r="E48" s="266">
        <v>460</v>
      </c>
      <c r="F48" s="267" t="s">
        <v>145</v>
      </c>
      <c r="G48" s="271">
        <v>100</v>
      </c>
      <c r="H48" s="271">
        <f t="shared" ref="H48" si="1">E48*G48</f>
        <v>46000</v>
      </c>
      <c r="I48" s="207"/>
      <c r="J48" s="341"/>
      <c r="K48" s="51"/>
      <c r="L48" s="272"/>
      <c r="M48" s="51"/>
      <c r="N48" s="335"/>
    </row>
    <row r="49" spans="1:14" ht="19" customHeight="1">
      <c r="A49" s="338"/>
      <c r="B49" s="275" t="s">
        <v>211</v>
      </c>
      <c r="C49" s="200" t="s">
        <v>167</v>
      </c>
      <c r="D49" s="265" t="s">
        <v>200</v>
      </c>
      <c r="E49" s="266">
        <v>29</v>
      </c>
      <c r="F49" s="267" t="s">
        <v>145</v>
      </c>
      <c r="G49" s="271">
        <v>70</v>
      </c>
      <c r="H49" s="271">
        <f t="shared" ref="H49" si="2">E49*G49</f>
        <v>2030</v>
      </c>
      <c r="I49" s="207"/>
      <c r="J49" s="341"/>
      <c r="K49" s="51"/>
      <c r="L49" s="272"/>
      <c r="M49" s="51"/>
      <c r="N49" s="335"/>
    </row>
    <row r="50" spans="1:14" ht="19" customHeight="1" thickBot="1">
      <c r="A50" s="339"/>
      <c r="B50" s="285" t="s">
        <v>213</v>
      </c>
      <c r="C50" s="286" t="s">
        <v>212</v>
      </c>
      <c r="D50" s="287" t="s">
        <v>199</v>
      </c>
      <c r="E50" s="288">
        <v>28</v>
      </c>
      <c r="F50" s="289" t="s">
        <v>145</v>
      </c>
      <c r="G50" s="290">
        <v>70</v>
      </c>
      <c r="H50" s="290">
        <f t="shared" ref="H50" si="3">E50*G50</f>
        <v>1960</v>
      </c>
      <c r="I50" s="233"/>
      <c r="J50" s="342"/>
      <c r="K50" s="19"/>
      <c r="L50" s="273"/>
      <c r="M50" s="19"/>
      <c r="N50" s="336"/>
    </row>
    <row r="51" spans="1:14" ht="15.5" thickBot="1">
      <c r="A51" s="237"/>
      <c r="B51" s="301"/>
      <c r="C51" s="302"/>
      <c r="D51" s="303"/>
      <c r="E51" s="258"/>
      <c r="F51" s="235"/>
      <c r="G51" s="84"/>
      <c r="H51" s="85"/>
      <c r="I51" s="207"/>
      <c r="J51" s="239"/>
      <c r="K51" s="16"/>
      <c r="L51" s="16"/>
      <c r="M51" s="16"/>
      <c r="N51" s="208"/>
    </row>
    <row r="52" spans="1:14" ht="15.65" customHeight="1">
      <c r="A52" s="329" t="s">
        <v>245</v>
      </c>
      <c r="B52" s="305"/>
      <c r="C52" s="29"/>
      <c r="D52" s="191" t="s">
        <v>223</v>
      </c>
      <c r="E52" s="71"/>
      <c r="F52" s="71"/>
      <c r="G52" s="72"/>
      <c r="H52" s="73"/>
      <c r="I52" s="232" t="s">
        <v>243</v>
      </c>
      <c r="J52" s="293" t="s">
        <v>235</v>
      </c>
      <c r="K52" s="73"/>
      <c r="L52" s="73"/>
      <c r="M52" s="73"/>
      <c r="N52" s="295"/>
    </row>
    <row r="53" spans="1:14" ht="18.5" customHeight="1" thickBot="1">
      <c r="A53" s="330"/>
      <c r="B53" s="304" t="s">
        <v>224</v>
      </c>
      <c r="C53" s="319" t="s">
        <v>247</v>
      </c>
      <c r="D53" s="297" t="s">
        <v>225</v>
      </c>
      <c r="E53" s="300">
        <v>170</v>
      </c>
      <c r="F53" s="298" t="s">
        <v>85</v>
      </c>
      <c r="G53" s="299">
        <v>12</v>
      </c>
      <c r="H53" s="290">
        <f>E53*G53</f>
        <v>2040</v>
      </c>
      <c r="I53" s="233"/>
      <c r="J53" s="294"/>
      <c r="K53" s="19"/>
      <c r="L53" s="273"/>
      <c r="M53" s="19"/>
      <c r="N53" s="296"/>
    </row>
    <row r="54" spans="1:14" ht="19" customHeight="1" thickBot="1">
      <c r="A54" s="269"/>
      <c r="B54" s="270"/>
      <c r="C54" s="200"/>
      <c r="D54" s="265"/>
      <c r="E54" s="266"/>
      <c r="F54" s="267"/>
      <c r="G54" s="271"/>
      <c r="H54" s="271"/>
      <c r="I54" s="207"/>
      <c r="J54" s="86"/>
      <c r="K54" s="16"/>
      <c r="L54" s="252"/>
      <c r="M54" s="16"/>
      <c r="N54" s="257"/>
    </row>
    <row r="55" spans="1:14">
      <c r="A55" s="255"/>
      <c r="B55" s="241"/>
      <c r="C55" s="307"/>
      <c r="D55" s="242"/>
      <c r="E55" s="256">
        <f>SUMIF($F$8:$F$53,"M.",$E$8:$E$53)</f>
        <v>449.5</v>
      </c>
      <c r="F55" s="192" t="s">
        <v>147</v>
      </c>
      <c r="G55" s="250"/>
      <c r="H55" s="281">
        <f>SUMIF($F$8:$F$53,"M.",$H$8:$H$53)</f>
        <v>921781</v>
      </c>
      <c r="I55" s="89"/>
      <c r="J55" s="90"/>
      <c r="K55" s="91"/>
      <c r="L55" s="91"/>
      <c r="M55" s="91"/>
      <c r="N55" s="92"/>
    </row>
    <row r="56" spans="1:14">
      <c r="A56" s="51"/>
      <c r="B56" s="21"/>
      <c r="C56" s="51"/>
      <c r="D56" s="93"/>
      <c r="E56" s="88">
        <f>SUMIF($F$8:$F$53,"PCS.",$E$8:$E$53)</f>
        <v>955</v>
      </c>
      <c r="F56" s="87" t="s">
        <v>85</v>
      </c>
      <c r="G56" s="51"/>
      <c r="H56" s="282">
        <f>SUMIF($F$8:$F$53,"PCS.",$H$8:$H$53)</f>
        <v>294530</v>
      </c>
      <c r="I56" s="51"/>
      <c r="J56" s="94"/>
      <c r="K56" s="51"/>
      <c r="L56" s="51"/>
      <c r="M56" s="51"/>
      <c r="N56" s="95"/>
    </row>
    <row r="57" spans="1:14">
      <c r="A57" s="20"/>
      <c r="B57" s="63"/>
      <c r="C57" s="20"/>
      <c r="D57" s="308"/>
      <c r="E57" s="309">
        <f>SUMIF($F$8:$F$50,"SET.",$E$8:$E$50)</f>
        <v>0</v>
      </c>
      <c r="F57" s="310" t="s">
        <v>158</v>
      </c>
      <c r="G57" s="311"/>
      <c r="H57" s="312">
        <f>SUMIF($F$8:$F$50,"SET.",$H$8:$H$50)</f>
        <v>0</v>
      </c>
      <c r="I57" s="51"/>
      <c r="J57" s="94"/>
      <c r="K57" s="51"/>
      <c r="L57" s="51"/>
      <c r="M57" s="51"/>
      <c r="N57" s="95"/>
    </row>
    <row r="58" spans="1:14" ht="14" customHeight="1" thickBot="1">
      <c r="A58" s="313"/>
      <c r="B58" s="314" t="s">
        <v>144</v>
      </c>
      <c r="C58" s="315" t="s">
        <v>246</v>
      </c>
      <c r="D58" s="316"/>
      <c r="E58" s="314"/>
      <c r="F58" s="317"/>
      <c r="G58" s="19" t="s">
        <v>159</v>
      </c>
      <c r="H58" s="318">
        <f>SUM(H8:H54)</f>
        <v>1216311</v>
      </c>
      <c r="I58" s="233"/>
      <c r="J58" s="243"/>
      <c r="K58" s="244"/>
      <c r="L58" s="245"/>
      <c r="M58" s="231"/>
      <c r="N58" s="246"/>
    </row>
    <row r="62" spans="1:14">
      <c r="C62" s="3"/>
    </row>
    <row r="63" spans="1:14">
      <c r="C63" s="3"/>
    </row>
    <row r="110" spans="1:1">
      <c r="A110" s="7" t="s">
        <v>99</v>
      </c>
    </row>
  </sheetData>
  <mergeCells count="16">
    <mergeCell ref="A2:H2"/>
    <mergeCell ref="F4:G4"/>
    <mergeCell ref="A20:A24"/>
    <mergeCell ref="N20:N24"/>
    <mergeCell ref="A8:A12"/>
    <mergeCell ref="N8:N12"/>
    <mergeCell ref="A14:A18"/>
    <mergeCell ref="N14:N18"/>
    <mergeCell ref="A52:A53"/>
    <mergeCell ref="A26:A30"/>
    <mergeCell ref="N26:N30"/>
    <mergeCell ref="A32:A36"/>
    <mergeCell ref="N32:N36"/>
    <mergeCell ref="A38:A50"/>
    <mergeCell ref="J38:J50"/>
    <mergeCell ref="N38:N50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G6" sqref="G6"/>
    </sheetView>
  </sheetViews>
  <sheetFormatPr defaultRowHeight="31.5"/>
  <cols>
    <col min="1" max="1" width="14.453125" customWidth="1"/>
    <col min="2" max="2" width="40.90625" style="213" customWidth="1"/>
    <col min="3" max="3" width="41.36328125" style="214" customWidth="1"/>
    <col min="4" max="4" width="86.08984375" style="214" customWidth="1"/>
    <col min="5" max="5" width="42.08984375" style="214" customWidth="1"/>
    <col min="6" max="6" width="38.1796875" style="216" customWidth="1"/>
    <col min="7" max="7" width="50.6328125" style="216" customWidth="1"/>
    <col min="8" max="8" width="34.90625" style="217" customWidth="1"/>
    <col min="9" max="9" width="34.90625" style="218" customWidth="1"/>
    <col min="10" max="16" width="34.90625" customWidth="1"/>
  </cols>
  <sheetData>
    <row r="1" spans="1:9">
      <c r="D1" s="215" t="s">
        <v>149</v>
      </c>
    </row>
    <row r="2" spans="1:9" s="223" customFormat="1" ht="88.4" customHeight="1" thickBot="1">
      <c r="A2" s="219"/>
      <c r="B2" s="220" t="s">
        <v>150</v>
      </c>
      <c r="C2" s="221" t="s">
        <v>151</v>
      </c>
      <c r="D2" s="221"/>
      <c r="E2" s="221" t="s">
        <v>152</v>
      </c>
      <c r="F2" s="222" t="s">
        <v>153</v>
      </c>
      <c r="G2" s="222" t="s">
        <v>154</v>
      </c>
      <c r="H2" s="221" t="s">
        <v>155</v>
      </c>
      <c r="I2" s="222" t="s">
        <v>156</v>
      </c>
    </row>
    <row r="3" spans="1:9" ht="194.9" customHeight="1" thickBot="1">
      <c r="A3" s="224"/>
      <c r="B3" s="225" t="s">
        <v>202</v>
      </c>
      <c r="C3" s="226" t="s">
        <v>219</v>
      </c>
      <c r="D3" s="227" t="s">
        <v>206</v>
      </c>
      <c r="E3" s="228" t="s">
        <v>220</v>
      </c>
      <c r="F3" s="229" t="s">
        <v>100</v>
      </c>
      <c r="G3" s="229"/>
      <c r="H3" s="229" t="s">
        <v>160</v>
      </c>
      <c r="I3" s="230">
        <v>8</v>
      </c>
    </row>
    <row r="4" spans="1:9" ht="194.9" customHeight="1" thickBot="1">
      <c r="A4" s="224"/>
      <c r="B4" s="225"/>
      <c r="C4" s="226"/>
      <c r="D4" s="227"/>
      <c r="E4" s="228"/>
      <c r="F4" s="229"/>
      <c r="G4" s="229"/>
      <c r="H4" s="229"/>
      <c r="I4" s="230"/>
    </row>
    <row r="5" spans="1:9" ht="194.9" customHeight="1" thickBot="1">
      <c r="A5" s="224"/>
      <c r="B5" s="225"/>
      <c r="C5" s="226"/>
      <c r="D5" s="227"/>
      <c r="E5" s="228"/>
      <c r="F5" s="229"/>
      <c r="G5" s="229"/>
      <c r="H5" s="229"/>
      <c r="I5" s="283"/>
    </row>
    <row r="6" spans="1:9" ht="194.9" customHeight="1" thickBot="1">
      <c r="A6" s="224"/>
      <c r="B6" s="225"/>
      <c r="C6" s="226"/>
      <c r="D6" s="227"/>
      <c r="E6" s="228"/>
      <c r="F6" s="229"/>
      <c r="G6" s="229"/>
      <c r="H6" s="229"/>
      <c r="I6" s="230"/>
    </row>
    <row r="7" spans="1:9" ht="194.9" customHeight="1" thickBot="1">
      <c r="A7" s="224"/>
      <c r="B7" s="225"/>
      <c r="C7" s="226"/>
      <c r="D7" s="227"/>
      <c r="E7" s="228"/>
      <c r="F7" s="229"/>
      <c r="G7" s="229"/>
      <c r="H7" s="229"/>
      <c r="I7" s="230"/>
    </row>
    <row r="8" spans="1:9" ht="194.9" customHeight="1">
      <c r="A8" s="224"/>
      <c r="B8" s="225"/>
      <c r="C8" s="226"/>
      <c r="D8" s="227"/>
      <c r="E8" s="228"/>
      <c r="F8" s="229"/>
      <c r="G8" s="229"/>
      <c r="H8" s="229"/>
      <c r="I8" s="230"/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88"/>
  <sheetViews>
    <sheetView view="pageBreakPreview" topLeftCell="A22" zoomScale="70" zoomScaleNormal="70" zoomScaleSheetLayoutView="70" workbookViewId="0">
      <selection activeCell="J42" sqref="J42"/>
    </sheetView>
  </sheetViews>
  <sheetFormatPr defaultRowHeight="15"/>
  <cols>
    <col min="1" max="1" width="7.90625" customWidth="1"/>
    <col min="2" max="2" width="38.08984375" style="179" customWidth="1"/>
    <col min="3" max="3" width="81.6328125" customWidth="1"/>
    <col min="4" max="4" width="23.6328125" customWidth="1"/>
  </cols>
  <sheetData>
    <row r="1" spans="1:4" ht="17.5" customHeight="1">
      <c r="A1" s="147"/>
    </row>
    <row r="2" spans="1:4" ht="15" customHeight="1">
      <c r="A2" s="346" t="s">
        <v>141</v>
      </c>
      <c r="B2" s="346"/>
      <c r="C2" s="180"/>
    </row>
    <row r="3" spans="1:4" ht="15.65" customHeight="1" thickBot="1">
      <c r="A3" s="181"/>
      <c r="B3" s="182"/>
      <c r="C3" s="181"/>
    </row>
    <row r="4" spans="1:4" ht="21.75" customHeight="1" thickBot="1">
      <c r="A4" s="183" t="s">
        <v>36</v>
      </c>
      <c r="B4" s="24" t="s">
        <v>96</v>
      </c>
      <c r="C4" s="23" t="s">
        <v>87</v>
      </c>
      <c r="D4" s="184" t="s">
        <v>142</v>
      </c>
    </row>
    <row r="5" spans="1:4" ht="16" customHeight="1">
      <c r="A5" s="331" t="s">
        <v>176</v>
      </c>
      <c r="B5" s="29"/>
      <c r="C5" s="279" t="s">
        <v>173</v>
      </c>
      <c r="D5" s="185"/>
    </row>
    <row r="6" spans="1:4" ht="16" customHeight="1">
      <c r="A6" s="332"/>
      <c r="B6" s="30" t="s">
        <v>170</v>
      </c>
      <c r="C6" s="30" t="s">
        <v>146</v>
      </c>
      <c r="D6" s="277"/>
    </row>
    <row r="7" spans="1:4" ht="16" customHeight="1">
      <c r="A7" s="332"/>
      <c r="B7" s="21" t="s">
        <v>146</v>
      </c>
      <c r="C7" s="234" t="s">
        <v>174</v>
      </c>
      <c r="D7" s="277"/>
    </row>
    <row r="8" spans="1:4" ht="16" customHeight="1">
      <c r="A8" s="332"/>
      <c r="B8" s="33" t="s">
        <v>171</v>
      </c>
      <c r="C8" s="32" t="s">
        <v>175</v>
      </c>
      <c r="D8" s="277"/>
    </row>
    <row r="9" spans="1:4" ht="16" customHeight="1" thickBot="1">
      <c r="A9" s="333"/>
      <c r="B9" s="35" t="s">
        <v>161</v>
      </c>
      <c r="C9" s="34"/>
      <c r="D9" s="278"/>
    </row>
    <row r="10" spans="1:4" ht="15" customHeight="1" thickBot="1">
      <c r="A10" s="236"/>
      <c r="B10" s="203"/>
      <c r="C10" s="204"/>
      <c r="D10" s="253"/>
    </row>
    <row r="11" spans="1:4" ht="21.75" customHeight="1" thickBot="1">
      <c r="A11" s="183" t="s">
        <v>36</v>
      </c>
      <c r="B11" s="24" t="s">
        <v>96</v>
      </c>
      <c r="C11" s="280" t="s">
        <v>87</v>
      </c>
      <c r="D11" s="184" t="s">
        <v>142</v>
      </c>
    </row>
    <row r="12" spans="1:4" ht="17" customHeight="1">
      <c r="A12" s="331" t="s">
        <v>162</v>
      </c>
      <c r="B12" s="29"/>
      <c r="C12" s="279" t="s">
        <v>182</v>
      </c>
      <c r="D12" s="198"/>
    </row>
    <row r="13" spans="1:4" ht="16.399999999999999" customHeight="1">
      <c r="A13" s="332"/>
      <c r="B13" s="203" t="s">
        <v>179</v>
      </c>
      <c r="C13" s="30" t="s">
        <v>100</v>
      </c>
      <c r="D13" s="186"/>
    </row>
    <row r="14" spans="1:4" ht="15" customHeight="1">
      <c r="A14" s="332"/>
      <c r="B14" s="21" t="s">
        <v>146</v>
      </c>
      <c r="C14" s="234" t="s">
        <v>163</v>
      </c>
      <c r="D14" s="186"/>
    </row>
    <row r="15" spans="1:4" ht="15" customHeight="1">
      <c r="A15" s="332"/>
      <c r="B15" s="33" t="s">
        <v>188</v>
      </c>
      <c r="C15" s="32" t="s">
        <v>183</v>
      </c>
      <c r="D15" s="186"/>
    </row>
    <row r="16" spans="1:4" ht="15" customHeight="1" thickBot="1">
      <c r="A16" s="333"/>
      <c r="B16" s="35" t="s">
        <v>180</v>
      </c>
      <c r="C16" s="34"/>
      <c r="D16" s="186"/>
    </row>
    <row r="17" spans="1:4" ht="15" customHeight="1" thickBot="1">
      <c r="A17" s="237"/>
      <c r="B17" s="35"/>
      <c r="C17" s="34"/>
      <c r="D17" s="187"/>
    </row>
    <row r="18" spans="1:4" ht="21.75" customHeight="1" thickBot="1">
      <c r="A18" s="183" t="s">
        <v>36</v>
      </c>
      <c r="B18" s="24" t="s">
        <v>96</v>
      </c>
      <c r="C18" s="280" t="s">
        <v>87</v>
      </c>
      <c r="D18" s="184" t="s">
        <v>142</v>
      </c>
    </row>
    <row r="19" spans="1:4" ht="16.5" customHeight="1">
      <c r="A19" s="331" t="s">
        <v>186</v>
      </c>
      <c r="B19" s="29"/>
      <c r="C19" s="279" t="s">
        <v>191</v>
      </c>
      <c r="D19" s="186" t="s">
        <v>65</v>
      </c>
    </row>
    <row r="20" spans="1:4" ht="16.399999999999999" customHeight="1">
      <c r="A20" s="332"/>
      <c r="B20" s="203" t="s">
        <v>187</v>
      </c>
      <c r="C20" s="30" t="s">
        <v>146</v>
      </c>
      <c r="D20" s="186"/>
    </row>
    <row r="21" spans="1:4" ht="15" customHeight="1">
      <c r="A21" s="332"/>
      <c r="B21" s="21" t="s">
        <v>157</v>
      </c>
      <c r="C21" s="204" t="s">
        <v>192</v>
      </c>
      <c r="D21" s="186"/>
    </row>
    <row r="22" spans="1:4" ht="15" customHeight="1">
      <c r="A22" s="332"/>
      <c r="B22" s="33" t="s">
        <v>190</v>
      </c>
      <c r="C22" s="31" t="s">
        <v>193</v>
      </c>
      <c r="D22" s="186"/>
    </row>
    <row r="23" spans="1:4" ht="15" customHeight="1" thickBot="1">
      <c r="A23" s="333"/>
      <c r="B23" s="35" t="s">
        <v>189</v>
      </c>
      <c r="C23" s="34"/>
      <c r="D23" s="190"/>
    </row>
    <row r="24" spans="1:4" ht="15" customHeight="1" thickBot="1">
      <c r="A24" s="237"/>
      <c r="B24" s="35"/>
      <c r="C24" s="34"/>
      <c r="D24" s="187"/>
    </row>
    <row r="25" spans="1:4" ht="21.75" customHeight="1" thickBot="1">
      <c r="A25" s="183" t="s">
        <v>36</v>
      </c>
      <c r="B25" s="24" t="s">
        <v>96</v>
      </c>
      <c r="C25" s="280" t="s">
        <v>87</v>
      </c>
      <c r="D25" s="184" t="s">
        <v>142</v>
      </c>
    </row>
    <row r="26" spans="1:4" ht="16.5" customHeight="1">
      <c r="A26" s="331" t="s">
        <v>198</v>
      </c>
      <c r="B26" s="29"/>
      <c r="C26" s="279" t="s">
        <v>231</v>
      </c>
      <c r="D26" s="186" t="s">
        <v>65</v>
      </c>
    </row>
    <row r="27" spans="1:4" ht="16.399999999999999" customHeight="1">
      <c r="A27" s="332"/>
      <c r="B27" s="203" t="s">
        <v>227</v>
      </c>
      <c r="C27" s="21" t="s">
        <v>146</v>
      </c>
      <c r="D27" s="186"/>
    </row>
    <row r="28" spans="1:4" ht="15" customHeight="1">
      <c r="A28" s="332"/>
      <c r="B28" s="21" t="s">
        <v>146</v>
      </c>
      <c r="C28" s="204" t="s">
        <v>232</v>
      </c>
      <c r="D28" s="186"/>
    </row>
    <row r="29" spans="1:4" ht="15" customHeight="1">
      <c r="A29" s="332"/>
      <c r="B29" s="33" t="s">
        <v>228</v>
      </c>
      <c r="C29" s="31" t="s">
        <v>233</v>
      </c>
      <c r="D29" s="186"/>
    </row>
    <row r="30" spans="1:4" ht="15" customHeight="1" thickBot="1">
      <c r="A30" s="333"/>
      <c r="B30" s="35" t="s">
        <v>180</v>
      </c>
      <c r="C30" s="34"/>
      <c r="D30" s="190"/>
    </row>
    <row r="31" spans="1:4" ht="15" customHeight="1" thickBot="1">
      <c r="A31" s="237"/>
      <c r="B31" s="35"/>
      <c r="C31" s="34"/>
      <c r="D31" s="187"/>
    </row>
    <row r="32" spans="1:4" ht="21.75" customHeight="1" thickBot="1">
      <c r="A32" s="183" t="s">
        <v>36</v>
      </c>
      <c r="B32" s="24" t="s">
        <v>96</v>
      </c>
      <c r="C32" s="280" t="s">
        <v>87</v>
      </c>
      <c r="D32" s="184" t="s">
        <v>142</v>
      </c>
    </row>
    <row r="33" spans="1:4" ht="16.5" customHeight="1">
      <c r="A33" s="331" t="s">
        <v>226</v>
      </c>
      <c r="B33" s="29"/>
      <c r="C33" s="279" t="s">
        <v>237</v>
      </c>
      <c r="D33" s="186" t="s">
        <v>65</v>
      </c>
    </row>
    <row r="34" spans="1:4" ht="16.399999999999999" customHeight="1">
      <c r="A34" s="332"/>
      <c r="B34" s="203" t="s">
        <v>238</v>
      </c>
      <c r="C34" s="21" t="s">
        <v>146</v>
      </c>
      <c r="D34" s="186"/>
    </row>
    <row r="35" spans="1:4" ht="15" customHeight="1">
      <c r="A35" s="332"/>
      <c r="B35" s="21" t="s">
        <v>146</v>
      </c>
      <c r="C35" s="204" t="s">
        <v>163</v>
      </c>
      <c r="D35" s="186"/>
    </row>
    <row r="36" spans="1:4" ht="15" customHeight="1">
      <c r="A36" s="332"/>
      <c r="B36" s="33" t="s">
        <v>239</v>
      </c>
      <c r="C36" s="31" t="s">
        <v>240</v>
      </c>
      <c r="D36" s="186"/>
    </row>
    <row r="37" spans="1:4" ht="15" customHeight="1" thickBot="1">
      <c r="A37" s="333"/>
      <c r="B37" s="35" t="s">
        <v>241</v>
      </c>
      <c r="C37" s="34"/>
      <c r="D37" s="190"/>
    </row>
    <row r="38" spans="1:4" ht="14" customHeight="1" thickBot="1">
      <c r="A38" s="237"/>
      <c r="B38" s="197"/>
      <c r="C38" s="32"/>
      <c r="D38" s="188"/>
    </row>
    <row r="39" spans="1:4" ht="21" customHeight="1" thickBot="1">
      <c r="A39" s="183" t="s">
        <v>36</v>
      </c>
      <c r="B39" s="24" t="s">
        <v>96</v>
      </c>
      <c r="C39" s="280" t="s">
        <v>87</v>
      </c>
      <c r="D39" s="184" t="s">
        <v>142</v>
      </c>
    </row>
    <row r="40" spans="1:4" ht="15" customHeight="1">
      <c r="A40" s="337" t="s">
        <v>244</v>
      </c>
      <c r="B40" s="259"/>
      <c r="C40" s="279" t="s">
        <v>199</v>
      </c>
      <c r="D40" s="291"/>
    </row>
    <row r="41" spans="1:4" ht="18" customHeight="1">
      <c r="A41" s="338"/>
      <c r="B41" s="260" t="s">
        <v>196</v>
      </c>
      <c r="C41" s="31" t="s">
        <v>146</v>
      </c>
      <c r="D41" s="198"/>
    </row>
    <row r="42" spans="1:4" ht="16.399999999999999" customHeight="1">
      <c r="A42" s="338"/>
      <c r="B42" s="261" t="s">
        <v>197</v>
      </c>
      <c r="C42" s="31"/>
      <c r="D42" s="186" t="s">
        <v>168</v>
      </c>
    </row>
    <row r="43" spans="1:4" ht="16.399999999999999" customHeight="1">
      <c r="A43" s="338"/>
      <c r="B43" s="262" t="s">
        <v>164</v>
      </c>
      <c r="C43" s="32"/>
      <c r="D43" s="186" t="s">
        <v>65</v>
      </c>
    </row>
    <row r="44" spans="1:4" ht="16.399999999999999" customHeight="1" thickBot="1">
      <c r="A44" s="338"/>
      <c r="B44" s="263" t="s">
        <v>165</v>
      </c>
      <c r="C44" s="34"/>
      <c r="D44" s="186"/>
    </row>
    <row r="45" spans="1:4" ht="16.399999999999999" customHeight="1" thickBot="1">
      <c r="A45" s="338"/>
      <c r="B45" s="274"/>
      <c r="C45" s="279" t="s">
        <v>204</v>
      </c>
      <c r="D45" s="186"/>
    </row>
    <row r="46" spans="1:4" ht="16.399999999999999" customHeight="1" thickBot="1">
      <c r="A46" s="338"/>
      <c r="B46" s="276" t="s">
        <v>203</v>
      </c>
      <c r="C46" s="204" t="s">
        <v>206</v>
      </c>
      <c r="D46" s="186"/>
    </row>
    <row r="47" spans="1:4" ht="16.399999999999999" customHeight="1" thickBot="1">
      <c r="A47" s="338"/>
      <c r="B47" s="274"/>
      <c r="C47" s="234" t="s">
        <v>214</v>
      </c>
      <c r="D47" s="186"/>
    </row>
    <row r="48" spans="1:4" ht="16.399999999999999" customHeight="1" thickBot="1">
      <c r="A48" s="338"/>
      <c r="B48" s="284" t="s">
        <v>216</v>
      </c>
      <c r="C48" s="32" t="s">
        <v>217</v>
      </c>
      <c r="D48" s="186"/>
    </row>
    <row r="49" spans="1:4" ht="16.399999999999999" customHeight="1" thickBot="1">
      <c r="A49" s="338"/>
      <c r="B49" s="274"/>
      <c r="C49" s="34" t="s">
        <v>199</v>
      </c>
      <c r="D49" s="186"/>
    </row>
    <row r="50" spans="1:4" ht="16.399999999999999" customHeight="1" thickBot="1">
      <c r="A50" s="338"/>
      <c r="B50" s="275" t="s">
        <v>208</v>
      </c>
      <c r="C50" s="251" t="s">
        <v>210</v>
      </c>
      <c r="D50" s="186"/>
    </row>
    <row r="51" spans="1:4" ht="16.399999999999999" customHeight="1">
      <c r="A51" s="338"/>
      <c r="B51" s="275" t="s">
        <v>211</v>
      </c>
      <c r="C51" s="268" t="s">
        <v>199</v>
      </c>
      <c r="D51" s="186"/>
    </row>
    <row r="52" spans="1:4" ht="16.399999999999999" customHeight="1" thickBot="1">
      <c r="A52" s="339"/>
      <c r="B52" s="285" t="s">
        <v>213</v>
      </c>
      <c r="C52" s="34" t="s">
        <v>199</v>
      </c>
      <c r="D52" s="254"/>
    </row>
    <row r="53" spans="1:4" ht="15" customHeight="1" thickBot="1">
      <c r="A53" s="237"/>
      <c r="B53" s="35"/>
      <c r="C53" s="34"/>
      <c r="D53" s="187"/>
    </row>
    <row r="54" spans="1:4" ht="21.75" customHeight="1" thickBot="1">
      <c r="A54" s="183" t="s">
        <v>36</v>
      </c>
      <c r="B54" s="24" t="s">
        <v>96</v>
      </c>
      <c r="C54" s="280" t="s">
        <v>87</v>
      </c>
      <c r="D54" s="184" t="s">
        <v>142</v>
      </c>
    </row>
    <row r="55" spans="1:4" ht="16.5" customHeight="1">
      <c r="A55" s="329" t="s">
        <v>245</v>
      </c>
      <c r="B55" s="305"/>
      <c r="C55" s="279" t="s">
        <v>223</v>
      </c>
      <c r="D55" s="185" t="s">
        <v>65</v>
      </c>
    </row>
    <row r="56" spans="1:4" ht="16.399999999999999" customHeight="1" thickBot="1">
      <c r="A56" s="330"/>
      <c r="B56" s="304" t="s">
        <v>224</v>
      </c>
      <c r="C56" s="297" t="s">
        <v>225</v>
      </c>
      <c r="D56" s="254"/>
    </row>
    <row r="57" spans="1:4" ht="15" customHeight="1">
      <c r="A57" s="188"/>
      <c r="B57" s="188"/>
      <c r="C57" s="188"/>
      <c r="D57" s="188"/>
    </row>
    <row r="58" spans="1:4" ht="15" customHeight="1">
      <c r="A58" s="188"/>
      <c r="B58" s="188"/>
      <c r="C58" s="188"/>
      <c r="D58" s="188"/>
    </row>
    <row r="59" spans="1:4" ht="15" customHeight="1">
      <c r="A59" s="188"/>
      <c r="B59" s="188"/>
      <c r="C59" s="188"/>
      <c r="D59" s="188"/>
    </row>
    <row r="60" spans="1:4" ht="15" customHeight="1">
      <c r="A60" s="188"/>
      <c r="B60" s="188"/>
      <c r="C60" s="188"/>
      <c r="D60" s="188"/>
    </row>
    <row r="61" spans="1:4" ht="15" customHeight="1">
      <c r="A61" s="188"/>
      <c r="B61" s="188"/>
      <c r="C61" s="188"/>
      <c r="D61" s="188"/>
    </row>
    <row r="62" spans="1:4" ht="15.65" customHeight="1">
      <c r="A62" s="188"/>
      <c r="B62" s="188"/>
      <c r="C62" s="188"/>
      <c r="D62" s="188"/>
    </row>
    <row r="63" spans="1:4" ht="15" customHeight="1">
      <c r="A63" s="188"/>
      <c r="B63" s="188"/>
      <c r="C63" s="188"/>
      <c r="D63" s="188"/>
    </row>
    <row r="64" spans="1:4" ht="15" customHeight="1">
      <c r="A64" s="188"/>
      <c r="B64" s="188"/>
      <c r="C64" s="188"/>
      <c r="D64" s="188"/>
    </row>
    <row r="65" spans="1:4" ht="15" customHeight="1">
      <c r="A65" s="188"/>
      <c r="B65" s="188"/>
      <c r="C65" s="188"/>
      <c r="D65" s="188"/>
    </row>
    <row r="66" spans="1:4" ht="15" customHeight="1">
      <c r="A66" s="188"/>
      <c r="B66" s="188"/>
      <c r="C66" s="188"/>
      <c r="D66" s="188"/>
    </row>
    <row r="67" spans="1:4" ht="15" customHeight="1">
      <c r="A67" s="188"/>
      <c r="B67" s="188"/>
      <c r="C67" s="188"/>
      <c r="D67" s="188"/>
    </row>
    <row r="68" spans="1:4" ht="15" customHeight="1">
      <c r="A68" s="188"/>
      <c r="B68" s="188"/>
      <c r="C68" s="188"/>
      <c r="D68" s="188"/>
    </row>
    <row r="69" spans="1:4" ht="15" customHeight="1">
      <c r="A69" s="188"/>
      <c r="B69" s="188"/>
      <c r="C69" s="188"/>
      <c r="D69" s="188"/>
    </row>
    <row r="70" spans="1:4" ht="15" customHeight="1">
      <c r="A70" s="188"/>
      <c r="B70" s="188"/>
      <c r="C70" s="188"/>
      <c r="D70" s="188"/>
    </row>
    <row r="71" spans="1:4" ht="15" customHeight="1">
      <c r="A71" s="188"/>
      <c r="B71" s="188"/>
      <c r="C71" s="188"/>
      <c r="D71" s="188"/>
    </row>
    <row r="72" spans="1:4" ht="14.15" customHeight="1">
      <c r="A72" s="188"/>
      <c r="B72" s="188"/>
      <c r="C72" s="188"/>
      <c r="D72" s="188"/>
    </row>
    <row r="73" spans="1:4" ht="15" customHeight="1">
      <c r="A73" s="188"/>
      <c r="B73" s="188"/>
      <c r="C73" s="188"/>
      <c r="D73" s="188"/>
    </row>
    <row r="74" spans="1:4" ht="15" customHeight="1">
      <c r="A74" s="188"/>
      <c r="B74" s="188"/>
      <c r="C74" s="188"/>
      <c r="D74" s="188"/>
    </row>
    <row r="75" spans="1:4" ht="15" customHeight="1">
      <c r="A75" s="188"/>
      <c r="B75" s="188"/>
      <c r="C75" s="188"/>
      <c r="D75" s="188"/>
    </row>
    <row r="76" spans="1:4" ht="15" customHeight="1">
      <c r="A76" s="188"/>
      <c r="B76" s="188"/>
      <c r="C76" s="188"/>
      <c r="D76" s="188"/>
    </row>
    <row r="77" spans="1:4" ht="15" customHeight="1">
      <c r="A77" s="188"/>
      <c r="B77" s="188"/>
      <c r="C77" s="188"/>
      <c r="D77" s="188"/>
    </row>
    <row r="78" spans="1:4" ht="15" customHeight="1">
      <c r="A78" s="188"/>
      <c r="B78" s="188"/>
      <c r="C78" s="188"/>
      <c r="D78" s="188"/>
    </row>
    <row r="79" spans="1:4" ht="12.65" customHeight="1">
      <c r="A79" s="188"/>
      <c r="B79" s="188"/>
      <c r="C79" s="188"/>
      <c r="D79" s="188"/>
    </row>
    <row r="80" spans="1:4" ht="15.65" customHeight="1">
      <c r="A80" s="188"/>
      <c r="B80" s="188"/>
      <c r="C80" s="188"/>
      <c r="D80" s="188"/>
    </row>
    <row r="81" spans="1:4" ht="41.15" customHeight="1">
      <c r="A81" s="188"/>
      <c r="B81" s="188"/>
      <c r="C81" s="188"/>
      <c r="D81" s="188"/>
    </row>
    <row r="82" spans="1:4" ht="21.75" customHeight="1">
      <c r="A82" s="188"/>
      <c r="B82" s="188"/>
      <c r="C82" s="188"/>
      <c r="D82" s="188"/>
    </row>
    <row r="83" spans="1:4" ht="15" customHeight="1">
      <c r="A83" s="188"/>
      <c r="B83" s="188"/>
      <c r="C83" s="188"/>
      <c r="D83" s="188"/>
    </row>
    <row r="84" spans="1:4" ht="10.4" customHeight="1">
      <c r="A84" s="165"/>
      <c r="B84" s="165"/>
      <c r="C84" s="189"/>
      <c r="D84" s="165"/>
    </row>
    <row r="85" spans="1:4">
      <c r="A85" s="165"/>
      <c r="B85" s="165"/>
      <c r="C85" s="165"/>
      <c r="D85" s="165"/>
    </row>
    <row r="86" spans="1:4">
      <c r="A86" s="165"/>
      <c r="B86" s="165"/>
      <c r="C86" s="165"/>
      <c r="D86" s="165"/>
    </row>
    <row r="87" spans="1:4">
      <c r="A87" s="165"/>
      <c r="B87" s="165"/>
      <c r="C87" s="165"/>
      <c r="D87" s="165"/>
    </row>
    <row r="88" spans="1:4">
      <c r="A88" s="165"/>
      <c r="B88" s="165"/>
      <c r="C88" s="165"/>
      <c r="D88" s="165"/>
    </row>
  </sheetData>
  <mergeCells count="8">
    <mergeCell ref="A55:A56"/>
    <mergeCell ref="A2:B2"/>
    <mergeCell ref="A5:A9"/>
    <mergeCell ref="A12:A16"/>
    <mergeCell ref="A19:A23"/>
    <mergeCell ref="A40:A52"/>
    <mergeCell ref="A26:A30"/>
    <mergeCell ref="A33:A37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2025-06-26T03:27:35Z</dcterms:modified>
</cp:coreProperties>
</file>