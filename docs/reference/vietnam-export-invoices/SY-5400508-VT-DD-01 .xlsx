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F5EA1CF6-7EAB-4BCE-BD32-ECE384D79028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54" r:id="rId2"/>
    <sheet name="invoice" sheetId="21" r:id="rId3"/>
    <sheet name="NARITA " sheetId="60" r:id="rId4"/>
    <sheet name="NARITA (2)" sheetId="61" r:id="rId5"/>
    <sheet name="サンプル製品カタログ" sheetId="63" r:id="rId6"/>
    <sheet name="LABEL" sheetId="62" r:id="rId7"/>
  </sheets>
  <externalReferences>
    <externalReference r:id="rId8"/>
    <externalReference r:id="rId9"/>
    <externalReference r:id="rId10"/>
  </externalReferences>
  <definedNames>
    <definedName name="pricetable" localSheetId="1">#REF!</definedName>
    <definedName name="pricetable" localSheetId="6">#REF!</definedName>
    <definedName name="pricetable" localSheetId="3">#REF!</definedName>
    <definedName name="pricetable" localSheetId="4">#REF!</definedName>
    <definedName name="pricetable" localSheetId="5">#REF!</definedName>
    <definedName name="pricetable">#REF!</definedName>
    <definedName name="_xlnm.Print_Area" localSheetId="6">LABEL!$A$1:$D$59</definedName>
    <definedName name="_xlnm.Print_Area" localSheetId="3">'NARITA '!$A$2:$P$42</definedName>
    <definedName name="_xlnm.Print_Area" localSheetId="4">'NARITA (2)'!$A$1:$N$29</definedName>
    <definedName name="_xlnm.Print_Area" localSheetId="5">サンプル製品カタログ!$A$2:$I$3</definedName>
    <definedName name="_xlnm.Print_Titles" localSheetId="6">LABEL!$1:$4</definedName>
    <definedName name="_xlnm.Print_Titles" localSheetId="3">'NARITA '!$1:$6</definedName>
    <definedName name="_xlnm.Print_Titles" localSheetId="4">'NARITA (2)'!$1:$6</definedName>
    <definedName name="_xlnm.Print_Titles" localSheetId="5">サンプル製品カタログ!$2:$2</definedName>
  </definedNames>
  <calcPr calcId="191029"/>
</workbook>
</file>

<file path=xl/calcChain.xml><?xml version="1.0" encoding="utf-8"?>
<calcChain xmlns="http://schemas.openxmlformats.org/spreadsheetml/2006/main">
  <c r="H26" i="61" l="1"/>
  <c r="E33" i="21"/>
  <c r="C33" i="21"/>
  <c r="J27" i="21"/>
  <c r="H42" i="60"/>
  <c r="H40" i="60"/>
  <c r="H39" i="60"/>
  <c r="E40" i="60"/>
  <c r="E39" i="60"/>
  <c r="H34" i="60"/>
  <c r="H35" i="60"/>
  <c r="H33" i="60"/>
  <c r="E28" i="61"/>
  <c r="E27" i="61"/>
  <c r="E26" i="61"/>
  <c r="H28" i="61"/>
  <c r="H27" i="61"/>
  <c r="H30" i="60" l="1"/>
  <c r="H28" i="60" l="1"/>
  <c r="H27" i="60" l="1"/>
  <c r="H29" i="61"/>
  <c r="H21" i="61"/>
  <c r="H22" i="61"/>
  <c r="H20" i="61"/>
  <c r="H17" i="61"/>
  <c r="H13" i="61" l="1"/>
  <c r="H10" i="61"/>
  <c r="H22" i="60" l="1"/>
  <c r="H16" i="60"/>
  <c r="H14" i="61" l="1"/>
  <c r="J28" i="21"/>
  <c r="H21" i="60" l="1"/>
  <c r="H15" i="60" l="1"/>
  <c r="H9" i="60"/>
  <c r="J29" i="21"/>
  <c r="L32" i="21" l="1"/>
  <c r="L28" i="21"/>
  <c r="L33" i="21" s="1"/>
  <c r="L30" i="21"/>
  <c r="K30" i="21"/>
  <c r="K29" i="21"/>
  <c r="K28" i="21"/>
  <c r="K27" i="21"/>
  <c r="J32" i="21"/>
  <c r="J30" i="21"/>
  <c r="G6" i="61"/>
  <c r="J31" i="21"/>
  <c r="G6" i="60"/>
  <c r="D6" i="60"/>
  <c r="D6" i="61" s="1"/>
  <c r="L31" i="21" l="1"/>
  <c r="L29" i="21"/>
  <c r="L27" i="21"/>
  <c r="J33" i="21"/>
  <c r="C45" i="17" l="1"/>
  <c r="K9" i="2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3" i="21" l="1"/>
  <c r="A10" i="21" l="1"/>
  <c r="B28" i="21"/>
  <c r="E7" i="21"/>
  <c r="A37" i="21"/>
  <c r="A36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8" i="21"/>
  <c r="A39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<sst xmlns="http://schemas.openxmlformats.org/spreadsheetml/2006/main" count="422" uniqueCount="260">
  <si>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</si>
  <si>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</si>
  <si>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</si>
  <si>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</si>
  <si>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</si>
  <si>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</si>
  <si>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</si>
  <si>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</si>
  <si>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</si>
  <si>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</si>
  <si>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</si>
  <si>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</si>
  <si>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</si>
  <si>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</si>
  <si>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</si>
  <si>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</si>
  <si>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</si>
  <si>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</si>
  <si>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</si>
  <si>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</si>
  <si>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</si>
  <si>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</si>
  <si>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</si>
  <si>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</si>
  <si>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</si>
  <si>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</si>
  <si>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</si>
  <si>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</si>
  <si>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</si>
  <si>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</si>
  <si>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</si>
  <si>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</si>
  <si>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</si>
  <si>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</si>
  <si>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</si>
  <si>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</si>
  <si>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</si>
  <si>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</si>
  <si>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</si>
  <si>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</si>
  <si>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</si>
  <si>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</si>
  <si>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</si>
  <si>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</si>
  <si>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</si>
  <si>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</si>
  <si>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</si>
  <si>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</si>
  <si>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</si>
  <si>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</si>
  <si>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</si>
  <si>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</si>
  <si>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</si>
  <si>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</si>
  <si>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</si>
  <si>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</si>
  <si>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</si>
  <si>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</si>
  <si>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</si>
  <si>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</si>
  <si>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</si>
  <si>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</si>
  <si>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</si>
  <si>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</si>
  <si>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PCS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</si>
  <si>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</si>
  <si>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</si>
  <si>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</si>
  <si>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</si>
  <si>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</si>
  <si>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</si>
  <si>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</si>
  <si>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</si>
  <si>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</si>
  <si>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</si>
  <si>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</si>
  <si>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</si>
  <si>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</si>
  <si>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</si>
  <si>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</si>
  <si>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</si>
  <si>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</si>
  <si>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</si>
  <si>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</si>
  <si>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</si>
  <si>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</si>
  <si>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</si>
  <si>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</si>
  <si>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</si>
  <si>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</si>
  <si>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</si>
  <si>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</si>
  <si>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</si>
  <si>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</si>
  <si>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</si>
  <si>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</si>
  <si>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</si>
  <si>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</si>
  <si>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</si>
  <si>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</si>
  <si>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</si>
  <si>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</si>
  <si>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</si>
  <si>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</si>
  <si>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</si>
  <si>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</si>
  <si>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</si>
  <si>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</si>
  <si>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</si>
  <si>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</si>
  <si>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</si>
  <si>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</si>
  <si>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</si>
  <si>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</si>
  <si>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</si>
  <si>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</si>
  <si>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</si>
  <si>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</si>
  <si>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</si>
  <si>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</si>
  <si>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</si>
  <si>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</si>
  <si>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</si>
  <si>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</si>
  <si>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</si>
  <si>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</si>
  <si>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</si>
  <si>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</si>
  <si>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</si>
  <si>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</si>
  <si>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</si>
  <si>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</si>
  <si>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</si>
  <si>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</si>
  <si>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</si>
  <si>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</si>
  <si>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</si>
  <si>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</si>
  <si>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TOTAL</t>
    <phoneticPr fontId="40"/>
  </si>
  <si>
    <t>WOVEN FABRIC</t>
    <phoneticPr fontId="11"/>
  </si>
  <si>
    <t>No.10 , D17 Street , Sai Gon South Residential Area</t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</si>
  <si>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</si>
  <si>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</si>
  <si>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</si>
  <si>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</si>
  <si>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WOVEN FABRIC</t>
  </si>
  <si>
    <t>SET.</t>
    <phoneticPr fontId="11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</si>
  <si>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</si>
  <si>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</si>
  <si>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</si>
  <si>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</si>
  <si>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</si>
  <si>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搬入内容</t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</si>
  <si>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1"/>
  </si>
  <si>
    <t>LABEL SHEET -</t>
    <phoneticPr fontId="11"/>
  </si>
  <si>
    <t>KGS</t>
    <phoneticPr fontId="11"/>
  </si>
  <si>
    <t>長繊維、テクスチャード加工無し</t>
    <rPh sb="0" eb="2">
      <t>チョウセンイ</t>
    </rPh>
    <rPh sb="10" eb="12">
      <t>カコウ</t>
    </rPh>
    <rPh sb="12" eb="13">
      <t>ナ</t>
    </rPh>
    <phoneticPr fontId="11"/>
  </si>
  <si>
    <t>ITEM</t>
    <phoneticPr fontId="11"/>
  </si>
  <si>
    <t>NAME</t>
    <phoneticPr fontId="11"/>
  </si>
  <si>
    <t>color</t>
    <phoneticPr fontId="11"/>
  </si>
  <si>
    <t>lady's or men's</t>
    <phoneticPr fontId="11"/>
  </si>
  <si>
    <t>WOVEN or  KNIT</t>
    <phoneticPr fontId="11"/>
  </si>
  <si>
    <t>picture</t>
    <phoneticPr fontId="11"/>
  </si>
  <si>
    <t>Composition</t>
    <phoneticPr fontId="11"/>
  </si>
  <si>
    <t>packingNo.</t>
    <phoneticPr fontId="11"/>
  </si>
  <si>
    <t xml:space="preserve">FRONT COTTON 100% </t>
    <phoneticPr fontId="11"/>
  </si>
  <si>
    <t>3</t>
    <phoneticPr fontId="11"/>
  </si>
  <si>
    <t>A5100</t>
    <phoneticPr fontId="11"/>
  </si>
  <si>
    <t>朱子織　後染めサテン生地</t>
    <rPh sb="0" eb="1">
      <t>シュシ</t>
    </rPh>
    <rPh sb="1" eb="2">
      <t>オリ</t>
    </rPh>
    <rPh sb="3" eb="5">
      <t>アトソ</t>
    </rPh>
    <rPh sb="9" eb="11">
      <t>キジ</t>
    </rPh>
    <phoneticPr fontId="11"/>
  </si>
  <si>
    <t>長繊維、テクスチャード加工無し</t>
    <rPh sb="0" eb="1">
      <t>チョウ</t>
    </rPh>
    <rPh sb="1" eb="3">
      <t>センイ</t>
    </rPh>
    <rPh sb="9" eb="11">
      <t>カコウ</t>
    </rPh>
    <rPh sb="11" eb="12">
      <t>ナ</t>
    </rPh>
    <phoneticPr fontId="11"/>
  </si>
  <si>
    <t>C/#BK</t>
    <phoneticPr fontId="11"/>
  </si>
  <si>
    <t>STYLE: 24A-PT01/02/03</t>
    <phoneticPr fontId="11"/>
  </si>
  <si>
    <t>acetate 100%</t>
    <phoneticPr fontId="11"/>
  </si>
  <si>
    <r>
      <t>WIDTH:122CM (135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</si>
  <si>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cotton100%</t>
    <phoneticPr fontId="11"/>
  </si>
  <si>
    <t>made in japan</t>
    <phoneticPr fontId="11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</si>
  <si>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　テクスチャード加工無し</t>
    </r>
    <rPh sb="0" eb="1">
      <t>タン</t>
    </rPh>
    <rPh sb="1" eb="3">
      <t>センイ</t>
    </rPh>
    <rPh sb="10" eb="12">
      <t>カコウ</t>
    </rPh>
    <rPh sb="12" eb="13">
      <t>ナ</t>
    </rPh>
    <phoneticPr fontId="11"/>
  </si>
  <si>
    <t>1-2</t>
    <phoneticPr fontId="11"/>
  </si>
  <si>
    <t>3-6</t>
    <phoneticPr fontId="11"/>
  </si>
  <si>
    <t>men's used jeans</t>
    <phoneticPr fontId="11"/>
  </si>
  <si>
    <t>C/#BLUE</t>
    <phoneticPr fontId="11"/>
  </si>
  <si>
    <t>c/#BLACK</t>
    <phoneticPr fontId="11"/>
  </si>
  <si>
    <t>7</t>
    <phoneticPr fontId="11"/>
  </si>
  <si>
    <t>NFD-30</t>
    <phoneticPr fontId="11"/>
  </si>
  <si>
    <t>NYLON100%</t>
    <phoneticPr fontId="11"/>
  </si>
  <si>
    <t>後染め綾織　タフタ生地</t>
    <rPh sb="2" eb="3">
      <t>ヒラ</t>
    </rPh>
    <rPh sb="3" eb="4">
      <t>アヤ</t>
    </rPh>
    <rPh sb="9" eb="11">
      <t>キジ</t>
    </rPh>
    <phoneticPr fontId="11"/>
  </si>
  <si>
    <t>C/#F-4 BEIGE</t>
    <phoneticPr fontId="11"/>
  </si>
  <si>
    <t>c/#F-15 GRAY</t>
    <phoneticPr fontId="11"/>
  </si>
  <si>
    <t>NYLON 100%</t>
    <phoneticPr fontId="11"/>
  </si>
  <si>
    <r>
      <t>WIDTH:145M (174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</si>
  <si>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t>STYLE</t>
    </r>
    <r>
      <rPr>
        <b/>
        <sz val="10"/>
        <color theme="1"/>
        <rFont val="Yu Gothic"/>
        <family val="3"/>
        <charset val="128"/>
      </rPr>
      <t>、</t>
    </r>
    <r>
      <rPr>
        <b/>
        <sz val="10"/>
        <color theme="1"/>
        <rFont val="Century Gothic"/>
        <family val="2"/>
      </rPr>
      <t>AVANI-01</t>
    </r>
    <phoneticPr fontId="11"/>
  </si>
  <si>
    <t>STYLE: AVANI-02</t>
    <phoneticPr fontId="11"/>
  </si>
  <si>
    <t>8</t>
    <phoneticPr fontId="11"/>
  </si>
  <si>
    <t>M.</t>
  </si>
  <si>
    <t>AST1018</t>
  </si>
  <si>
    <t>09 BLACK</t>
    <phoneticPr fontId="11"/>
  </si>
  <si>
    <t xml:space="preserve">SIC3141 </t>
  </si>
  <si>
    <t>BK</t>
  </si>
  <si>
    <t>SIC199</t>
  </si>
  <si>
    <t xml:space="preserve">2CC </t>
    <phoneticPr fontId="40"/>
  </si>
  <si>
    <t>315</t>
    <phoneticPr fontId="40"/>
  </si>
  <si>
    <t>315</t>
  </si>
  <si>
    <t>STYLE: 23sy-67</t>
    <phoneticPr fontId="11"/>
  </si>
  <si>
    <t>PACKING</t>
  </si>
  <si>
    <t>FB011</t>
  </si>
  <si>
    <t>SPC</t>
  </si>
  <si>
    <t>BOX</t>
  </si>
  <si>
    <t>D/G</t>
  </si>
  <si>
    <t>100</t>
  </si>
  <si>
    <t>50</t>
  </si>
  <si>
    <t>23SY-63</t>
  </si>
  <si>
    <t>EYELET</t>
  </si>
  <si>
    <t>TAPE  12MM</t>
  </si>
  <si>
    <t>2CARTONS</t>
    <phoneticPr fontId="11"/>
  </si>
  <si>
    <t>7CARTONS</t>
    <phoneticPr fontId="11"/>
  </si>
  <si>
    <t>001</t>
  </si>
  <si>
    <t>shell PINCTA DA MARGARITIFERA 11.5mm</t>
  </si>
  <si>
    <r>
      <t xml:space="preserve">ST1005 shell button </t>
    </r>
    <r>
      <rPr>
        <b/>
        <sz val="8"/>
        <color rgb="FFFF0000"/>
        <rFont val="Century Gothic"/>
        <family val="2"/>
      </rPr>
      <t>PINCTA DA MARGARITIFERA</t>
    </r>
    <phoneticPr fontId="11"/>
  </si>
  <si>
    <r>
      <t xml:space="preserve">SB1005 shell button </t>
    </r>
    <r>
      <rPr>
        <b/>
        <sz val="8"/>
        <color rgb="FFFF0000"/>
        <rFont val="Century Gothic"/>
        <family val="2"/>
      </rPr>
      <t>PINCTA DA MARGARITIFERA</t>
    </r>
    <phoneticPr fontId="11"/>
  </si>
  <si>
    <t>c/#takase</t>
    <phoneticPr fontId="11"/>
  </si>
  <si>
    <t>c/#kokucho</t>
    <phoneticPr fontId="11"/>
  </si>
  <si>
    <r>
      <t>STYLE</t>
    </r>
    <r>
      <rPr>
        <b/>
        <sz val="10"/>
        <color theme="1"/>
        <rFont val="Yu Gothic"/>
        <family val="3"/>
        <charset val="128"/>
      </rPr>
      <t>、24A-SH01</t>
    </r>
    <phoneticPr fontId="11"/>
  </si>
  <si>
    <t>lady's satin pants CLOTHES</t>
    <phoneticPr fontId="11"/>
  </si>
  <si>
    <t>24A-PT03  sample</t>
    <phoneticPr fontId="11"/>
  </si>
  <si>
    <r>
      <t>入庫</t>
    </r>
    <r>
      <rPr>
        <b/>
        <sz val="10"/>
        <rFont val="Century Gothic"/>
        <family val="2"/>
      </rPr>
      <t>NO.22063388</t>
    </r>
    <phoneticPr fontId="11"/>
  </si>
  <si>
    <t>入庫NO.22063386</t>
    <rPh sb="0" eb="2">
      <t>ニュウコ</t>
    </rPh>
    <phoneticPr fontId="11"/>
  </si>
  <si>
    <t>入庫NO.22063385</t>
    <phoneticPr fontId="11"/>
  </si>
  <si>
    <t>入庫NO.22063220</t>
    <phoneticPr fontId="11"/>
  </si>
  <si>
    <r>
      <rPr>
        <b/>
        <sz val="18"/>
        <rFont val="新細明體"/>
        <family val="1"/>
      </rPr>
      <t>箱</t>
    </r>
    <r>
      <rPr>
        <b/>
        <sz val="18"/>
        <rFont val="Century Gothic"/>
        <family val="2"/>
      </rPr>
      <t>NO.1</t>
    </r>
    <rPh sb="0" eb="1">
      <t>ハコ</t>
    </rPh>
    <phoneticPr fontId="11"/>
  </si>
  <si>
    <r>
      <rPr>
        <b/>
        <sz val="16"/>
        <rFont val="ＭＳ Ｐゴシック"/>
        <family val="2"/>
        <charset val="128"/>
      </rPr>
      <t>箱</t>
    </r>
    <r>
      <rPr>
        <b/>
        <sz val="16"/>
        <rFont val="Century Gothic"/>
        <family val="2"/>
      </rPr>
      <t>NO.2</t>
    </r>
    <r>
      <rPr>
        <b/>
        <sz val="16"/>
        <rFont val="Yu Gothic"/>
        <family val="2"/>
        <charset val="128"/>
      </rPr>
      <t>－</t>
    </r>
    <r>
      <rPr>
        <b/>
        <sz val="16"/>
        <rFont val="Century Gothic"/>
        <family val="2"/>
      </rPr>
      <t>4</t>
    </r>
    <rPh sb="0" eb="1">
      <t>ハコ</t>
    </rPh>
    <phoneticPr fontId="11"/>
  </si>
  <si>
    <t>C/#GRAY</t>
    <phoneticPr fontId="11"/>
  </si>
  <si>
    <t>lady's</t>
    <phoneticPr fontId="11"/>
  </si>
  <si>
    <r>
      <t>3CF(URA ATAMAAWASE</t>
    </r>
    <r>
      <rPr>
        <b/>
        <sz val="10"/>
        <rFont val="ＭＳ Ｐゴシック"/>
        <family val="3"/>
        <charset val="128"/>
      </rPr>
      <t>）</t>
    </r>
    <r>
      <rPr>
        <b/>
        <sz val="10"/>
        <rFont val="Century Gothic"/>
        <family val="2"/>
      </rPr>
      <t>DA*DA</t>
    </r>
  </si>
  <si>
    <t>131-500</t>
    <phoneticPr fontId="11"/>
  </si>
  <si>
    <r>
      <t>CORD STOPPER</t>
    </r>
    <r>
      <rPr>
        <b/>
        <sz val="10"/>
        <rFont val="ＭＳ Ｐゴシック"/>
        <family val="3"/>
        <charset val="128"/>
      </rPr>
      <t>　材質：ポリカーポネイト</t>
    </r>
    <r>
      <rPr>
        <b/>
        <sz val="10"/>
        <rFont val="Century Gothic"/>
        <family val="2"/>
      </rPr>
      <t>/</t>
    </r>
    <r>
      <rPr>
        <b/>
        <sz val="10"/>
        <rFont val="ＭＳ Ｐゴシック"/>
        <family val="3"/>
        <charset val="128"/>
      </rPr>
      <t>真鍮</t>
    </r>
    <phoneticPr fontId="40"/>
  </si>
  <si>
    <r>
      <t>ELASTICK CORD</t>
    </r>
    <r>
      <rPr>
        <b/>
        <sz val="10"/>
        <rFont val="ＭＳ Ｐゴシック"/>
        <family val="3"/>
        <charset val="128"/>
      </rPr>
      <t>　材質：</t>
    </r>
    <r>
      <rPr>
        <b/>
        <sz val="10"/>
        <rFont val="Century Gothic"/>
        <family val="2"/>
      </rPr>
      <t>polyester100%</t>
    </r>
    <rPh sb="14" eb="16">
      <t>ザイシツ</t>
    </rPh>
    <phoneticPr fontId="14"/>
  </si>
  <si>
    <r>
      <t xml:space="preserve">TAPE </t>
    </r>
    <r>
      <rPr>
        <b/>
        <sz val="10"/>
        <rFont val="ＭＳ Ｐゴシック"/>
        <family val="3"/>
        <charset val="128"/>
      </rPr>
      <t>材質：</t>
    </r>
    <r>
      <rPr>
        <b/>
        <sz val="10"/>
        <rFont val="Century Gothic"/>
        <family val="2"/>
      </rPr>
      <t>polyester 100%</t>
    </r>
    <rPh sb="5" eb="7">
      <t>ザイシツ</t>
    </rPh>
    <phoneticPr fontId="14"/>
  </si>
  <si>
    <r>
      <t xml:space="preserve">ZIPPER   22CM </t>
    </r>
    <r>
      <rPr>
        <b/>
        <sz val="10"/>
        <rFont val="ＭＳ Ｐゴシック"/>
        <family val="3"/>
        <charset val="128"/>
      </rPr>
      <t>材質：</t>
    </r>
    <r>
      <rPr>
        <b/>
        <sz val="10"/>
        <rFont val="Century Gothic"/>
        <family val="2"/>
      </rPr>
      <t>polyester UP</t>
    </r>
    <rPh sb="14" eb="16">
      <t>ザイシツ</t>
    </rPh>
    <phoneticPr fontId="40"/>
  </si>
  <si>
    <r>
      <t xml:space="preserve">ZIPPER  </t>
    </r>
    <r>
      <rPr>
        <b/>
        <sz val="10"/>
        <rFont val="ＭＳ Ｐゴシック"/>
        <family val="3"/>
        <charset val="128"/>
      </rPr>
      <t>材質：</t>
    </r>
    <r>
      <rPr>
        <b/>
        <sz val="10"/>
        <rFont val="Century Gothic"/>
        <family val="2"/>
      </rPr>
      <t>polyester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29CM-8   32CM-169</t>
    </r>
    <rPh sb="8" eb="10">
      <t>ザイシツ</t>
    </rPh>
    <phoneticPr fontId="14"/>
  </si>
  <si>
    <r>
      <t>COTTON 100% PIECE-DYED SLEEK    W/102CM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#125-31M  #802-1-31M</t>
    </r>
    <phoneticPr fontId="11"/>
  </si>
  <si>
    <r>
      <t>TAPE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4</t>
    </r>
    <r>
      <rPr>
        <b/>
        <sz val="10"/>
        <rFont val="ＭＳ Ｐゴシック"/>
        <family val="3"/>
        <charset val="128"/>
      </rPr>
      <t>ＭＭ　</t>
    </r>
  </si>
  <si>
    <t>4-6</t>
    <phoneticPr fontId="11"/>
  </si>
  <si>
    <t>11267</t>
    <phoneticPr fontId="11"/>
  </si>
  <si>
    <t>平織　後染めブロード生地</t>
    <rPh sb="0" eb="1">
      <t>ヒラ</t>
    </rPh>
    <rPh sb="2" eb="4">
      <t>アトソ</t>
    </rPh>
    <rPh sb="10" eb="12">
      <t>キジ</t>
    </rPh>
    <phoneticPr fontId="11"/>
  </si>
  <si>
    <t>短繊維、プリント加工あり</t>
    <rPh sb="0" eb="1">
      <t>ミジカ</t>
    </rPh>
    <rPh sb="1" eb="3">
      <t>センイ</t>
    </rPh>
    <rPh sb="8" eb="9">
      <t>ナ</t>
    </rPh>
    <phoneticPr fontId="11"/>
  </si>
  <si>
    <t>C/#51 WHITE</t>
    <phoneticPr fontId="11"/>
  </si>
  <si>
    <t>C/#19 KHAKI</t>
    <phoneticPr fontId="11"/>
  </si>
  <si>
    <t>C/#20 BLACK</t>
    <phoneticPr fontId="11"/>
  </si>
  <si>
    <t>STYLE: 24A-SH01</t>
    <phoneticPr fontId="11"/>
  </si>
  <si>
    <t>COTTON 100%</t>
    <phoneticPr fontId="11"/>
  </si>
  <si>
    <r>
      <t>WIDTH:145CM (115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</si>
  <si>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9</t>
    <phoneticPr fontId="11"/>
  </si>
  <si>
    <t>伝票457815962424</t>
    <rPh sb="0" eb="2">
      <t>デンピョウ</t>
    </rPh>
    <phoneticPr fontId="11"/>
  </si>
  <si>
    <t xml:space="preserve"> C/NO. 1-9</t>
    <phoneticPr fontId="11"/>
  </si>
  <si>
    <t>9CARTONS</t>
    <phoneticPr fontId="11"/>
  </si>
  <si>
    <t xml:space="preserve"> SY-5400508-VT-DD-01</t>
    <phoneticPr fontId="11"/>
  </si>
  <si>
    <t>May, 08 2024</t>
    <phoneticPr fontId="11"/>
  </si>
  <si>
    <t>MAY,08, 2024</t>
    <phoneticPr fontId="11"/>
  </si>
  <si>
    <t>1706.5M 2951PCS. 370SET.</t>
    <phoneticPr fontId="11"/>
  </si>
  <si>
    <t>9PACKAGES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</si>
</sst>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81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ＭＳ Ｐゴシック"/>
      <family val="2"/>
      <charset val="128"/>
    </font>
    <font>
      <b/>
      <sz val="10"/>
      <color theme="1"/>
      <name val="Microsoft YaHei"/>
      <family val="3"/>
      <charset val="134"/>
    </font>
    <font>
      <sz val="12"/>
      <name val="ＭＳ Ｐゴシック"/>
      <family val="3"/>
      <charset val="128"/>
    </font>
    <font>
      <b/>
      <sz val="12"/>
      <color rgb="FFFF0000"/>
      <name val="Century Gothic"/>
      <family val="2"/>
    </font>
    <font>
      <b/>
      <sz val="12"/>
      <color rgb="FFFF0000"/>
      <name val="ＭＳ Ｐゴシック"/>
      <family val="2"/>
      <charset val="128"/>
    </font>
    <font>
      <u/>
      <sz val="12"/>
      <name val="ＭＳ Ｐゴシック"/>
      <family val="3"/>
      <charset val="128"/>
    </font>
    <font>
      <b/>
      <sz val="10"/>
      <name val="ＭＳ Ｐゴシック"/>
      <family val="3"/>
      <charset val="128"/>
      <scheme val="major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1"/>
      <color rgb="FFFF0000"/>
      <name val="Century Gothic"/>
      <family val="2"/>
    </font>
    <font>
      <b/>
      <sz val="10"/>
      <color rgb="FFFF0000"/>
      <name val="Yu Gothic"/>
      <family val="2"/>
      <charset val="128"/>
    </font>
    <font>
      <sz val="11"/>
      <name val="ＭＳ Ｐゴシック"/>
      <family val="3"/>
      <charset val="128"/>
    </font>
    <font>
      <b/>
      <sz val="8"/>
      <color rgb="FFFF0000"/>
      <name val="Century Gothic"/>
      <family val="2"/>
    </font>
    <font>
      <b/>
      <sz val="18"/>
      <name val="Century Gothic"/>
      <family val="2"/>
    </font>
    <font>
      <b/>
      <sz val="18"/>
      <name val="新細明體"/>
      <family val="1"/>
    </font>
    <font>
      <b/>
      <sz val="16"/>
      <name val="Century Gothic"/>
      <family val="2"/>
      <charset val="128"/>
    </font>
    <font>
      <b/>
      <sz val="16"/>
      <name val="ＭＳ Ｐゴシック"/>
      <family val="2"/>
      <charset val="128"/>
    </font>
    <font>
      <b/>
      <sz val="16"/>
      <name val="Century Gothic"/>
      <family val="2"/>
    </font>
    <font>
      <b/>
      <sz val="16"/>
      <name val="Yu Gothic"/>
      <family val="2"/>
      <charset val="128"/>
    </font>
    <font>
      <b/>
      <sz val="18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2" fillId="0" borderId="0">
      <alignment vertical="center"/>
    </xf>
  </cellStyleXfs>
  <cellXfs count="577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8" xfId="0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179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5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6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1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7" fillId="0" borderId="0" xfId="0" applyFont="1">
      <alignment vertical="center"/>
    </xf>
    <xf numFmtId="0" fontId="27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37" fillId="0" borderId="16" xfId="0" applyFont="1" applyBorder="1">
      <alignment vertical="center"/>
    </xf>
    <xf numFmtId="0" fontId="37" fillId="0" borderId="17" xfId="0" applyFont="1" applyBorder="1">
      <alignment vertical="center"/>
    </xf>
    <xf numFmtId="0" fontId="37" fillId="0" borderId="18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8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>
      <alignment vertical="center"/>
    </xf>
    <xf numFmtId="0" fontId="14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180" fontId="9" fillId="0" borderId="21" xfId="0" applyNumberFormat="1" applyFont="1" applyBorder="1">
      <alignment vertical="center"/>
    </xf>
    <xf numFmtId="0" fontId="9" fillId="0" borderId="19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 shrinkToFit="1"/>
    </xf>
    <xf numFmtId="182" fontId="9" fillId="0" borderId="10" xfId="0" applyNumberFormat="1" applyFont="1" applyBorder="1" applyAlignment="1">
      <alignment vertical="center" shrinkToFit="1"/>
    </xf>
    <xf numFmtId="0" fontId="23" fillId="0" borderId="33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43" fillId="0" borderId="3" xfId="0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49" fontId="9" fillId="0" borderId="19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23" fillId="0" borderId="3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41" fillId="0" borderId="21" xfId="0" applyFont="1" applyBorder="1">
      <alignment vertical="center"/>
    </xf>
    <xf numFmtId="176" fontId="9" fillId="0" borderId="21" xfId="2" applyFont="1" applyFill="1" applyBorder="1" applyAlignment="1">
      <alignment horizontal="right"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shrinkToFit="1"/>
    </xf>
    <xf numFmtId="0" fontId="9" fillId="4" borderId="21" xfId="0" applyFont="1" applyFill="1" applyBorder="1">
      <alignment vertical="center"/>
    </xf>
    <xf numFmtId="0" fontId="9" fillId="0" borderId="21" xfId="0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43" fillId="0" borderId="3" xfId="0" applyNumberFormat="1" applyFont="1" applyBorder="1" applyAlignment="1">
      <alignment horizontal="left" vertical="center"/>
    </xf>
    <xf numFmtId="49" fontId="23" fillId="0" borderId="38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180" fontId="9" fillId="0" borderId="10" xfId="0" applyNumberFormat="1" applyFont="1" applyBorder="1">
      <alignment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26" fontId="14" fillId="0" borderId="14" xfId="0" applyNumberFormat="1" applyFont="1" applyBorder="1">
      <alignment vertical="center"/>
    </xf>
    <xf numFmtId="0" fontId="23" fillId="0" borderId="46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8" fillId="3" borderId="8" xfId="0" applyFont="1" applyFill="1" applyBorder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4" fontId="36" fillId="0" borderId="10" xfId="2" applyNumberFormat="1" applyFont="1" applyFill="1" applyBorder="1" applyAlignment="1">
      <alignment horizontal="right" vertical="center"/>
    </xf>
    <xf numFmtId="0" fontId="36" fillId="0" borderId="10" xfId="2" applyNumberFormat="1" applyFont="1" applyFill="1" applyBorder="1" applyAlignment="1">
      <alignment horizontal="left" vertical="center"/>
    </xf>
    <xf numFmtId="180" fontId="36" fillId="0" borderId="8" xfId="2" applyNumberFormat="1" applyFont="1" applyFill="1" applyBorder="1" applyAlignment="1">
      <alignment horizontal="right" vertical="center"/>
    </xf>
    <xf numFmtId="176" fontId="36" fillId="0" borderId="10" xfId="2" applyFont="1" applyFill="1" applyBorder="1" applyAlignment="1">
      <alignment horizontal="right" vertical="center"/>
    </xf>
    <xf numFmtId="181" fontId="36" fillId="0" borderId="2" xfId="2" applyNumberFormat="1" applyFont="1" applyFill="1" applyBorder="1" applyAlignment="1"/>
    <xf numFmtId="183" fontId="36" fillId="0" borderId="5" xfId="2" applyNumberFormat="1" applyFont="1" applyFill="1" applyBorder="1" applyAlignment="1">
      <alignment horizontal="left" vertical="center"/>
    </xf>
    <xf numFmtId="177" fontId="36" fillId="0" borderId="5" xfId="0" applyNumberFormat="1" applyFont="1" applyBorder="1" applyAlignment="1">
      <alignment horizontal="left" vertical="center"/>
    </xf>
    <xf numFmtId="181" fontId="36" fillId="0" borderId="5" xfId="0" applyNumberFormat="1" applyFont="1" applyBorder="1" applyAlignment="1">
      <alignment horizontal="right" vertical="center"/>
    </xf>
    <xf numFmtId="0" fontId="38" fillId="3" borderId="19" xfId="0" applyFont="1" applyFill="1" applyBorder="1" applyAlignment="1">
      <alignment horizontal="left" vertical="center"/>
    </xf>
    <xf numFmtId="0" fontId="23" fillId="3" borderId="38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80" fontId="36" fillId="5" borderId="8" xfId="2" applyNumberFormat="1" applyFont="1" applyFill="1" applyBorder="1" applyAlignment="1">
      <alignment horizontal="right" vertical="center"/>
    </xf>
    <xf numFmtId="180" fontId="31" fillId="5" borderId="0" xfId="0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38" fillId="0" borderId="14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 shrinkToFit="1"/>
    </xf>
    <xf numFmtId="180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>
      <alignment vertical="center"/>
    </xf>
    <xf numFmtId="49" fontId="36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80" fontId="9" fillId="0" borderId="0" xfId="0" applyNumberFormat="1" applyFont="1" applyAlignment="1">
      <alignment horizontal="right" vertical="center"/>
    </xf>
    <xf numFmtId="0" fontId="0" fillId="0" borderId="1" xfId="0" applyBorder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56" fontId="9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8" fillId="5" borderId="0" xfId="0" applyFont="1" applyFill="1">
      <alignment vertical="center"/>
    </xf>
    <xf numFmtId="0" fontId="9" fillId="5" borderId="0" xfId="0" applyFont="1" applyFill="1">
      <alignment vertical="center"/>
    </xf>
    <xf numFmtId="3" fontId="9" fillId="5" borderId="0" xfId="0" applyNumberFormat="1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/>
    </xf>
    <xf numFmtId="180" fontId="9" fillId="5" borderId="0" xfId="0" applyNumberFormat="1" applyFont="1" applyFill="1">
      <alignment vertical="center"/>
    </xf>
    <xf numFmtId="3" fontId="9" fillId="5" borderId="0" xfId="0" applyNumberFormat="1" applyFont="1" applyFill="1" applyAlignment="1">
      <alignment horizontal="center" vertical="center" shrinkToFit="1"/>
    </xf>
    <xf numFmtId="1" fontId="9" fillId="5" borderId="0" xfId="0" applyNumberFormat="1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 shrinkToFit="1"/>
    </xf>
    <xf numFmtId="0" fontId="9" fillId="5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36" fillId="5" borderId="0" xfId="0" applyFont="1" applyFill="1">
      <alignment vertical="center"/>
    </xf>
    <xf numFmtId="0" fontId="51" fillId="0" borderId="0" xfId="0" applyFont="1" applyAlignment="1">
      <alignment horizontal="center" vertical="center"/>
    </xf>
    <xf numFmtId="176" fontId="9" fillId="5" borderId="0" xfId="2" applyFont="1" applyFill="1" applyBorder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/>
    </xf>
    <xf numFmtId="0" fontId="9" fillId="6" borderId="1" xfId="0" applyFont="1" applyFill="1" applyBorder="1">
      <alignment vertical="center"/>
    </xf>
    <xf numFmtId="1" fontId="9" fillId="5" borderId="1" xfId="0" applyNumberFormat="1" applyFont="1" applyFill="1" applyBorder="1" applyAlignment="1">
      <alignment horizontal="center" vertical="center"/>
    </xf>
    <xf numFmtId="180" fontId="9" fillId="5" borderId="1" xfId="0" applyNumberFormat="1" applyFont="1" applyFill="1" applyBorder="1">
      <alignment vertical="center"/>
    </xf>
    <xf numFmtId="180" fontId="9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1" fontId="9" fillId="0" borderId="21" xfId="2" applyNumberFormat="1" applyFont="1" applyFill="1" applyBorder="1" applyAlignment="1">
      <alignment horizontal="right" vertical="center"/>
    </xf>
    <xf numFmtId="1" fontId="9" fillId="0" borderId="23" xfId="0" applyNumberFormat="1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0" fontId="23" fillId="0" borderId="49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49" fontId="38" fillId="3" borderId="0" xfId="0" applyNumberFormat="1" applyFont="1" applyFill="1" applyAlignment="1">
      <alignment horizontal="left" vertical="center"/>
    </xf>
    <xf numFmtId="0" fontId="14" fillId="0" borderId="41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9" fillId="0" borderId="24" xfId="0" applyFont="1" applyBorder="1" applyAlignment="1">
      <alignment horizontal="center" vertical="center"/>
    </xf>
    <xf numFmtId="1" fontId="36" fillId="0" borderId="10" xfId="2" applyNumberFormat="1" applyFont="1" applyFill="1" applyBorder="1" applyAlignment="1">
      <alignment horizontal="left" vertical="center"/>
    </xf>
    <xf numFmtId="180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49" fontId="9" fillId="0" borderId="1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57" xfId="0" applyFont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77" fontId="36" fillId="0" borderId="1" xfId="0" applyNumberFormat="1" applyFont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left" vertical="center"/>
    </xf>
    <xf numFmtId="0" fontId="42" fillId="0" borderId="14" xfId="0" applyFont="1" applyBorder="1">
      <alignment vertical="center"/>
    </xf>
    <xf numFmtId="0" fontId="9" fillId="0" borderId="13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14" fillId="0" borderId="21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49" fontId="38" fillId="0" borderId="21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52" fillId="0" borderId="13" xfId="0" applyFont="1" applyBorder="1" applyAlignment="1">
      <alignment horizontal="left" vertical="center"/>
    </xf>
    <xf numFmtId="49" fontId="36" fillId="0" borderId="21" xfId="0" applyNumberFormat="1" applyFont="1" applyBorder="1" applyAlignment="1">
      <alignment horizontal="left" vertical="center"/>
    </xf>
    <xf numFmtId="0" fontId="36" fillId="0" borderId="21" xfId="0" applyFont="1" applyBorder="1" applyAlignment="1">
      <alignment horizontal="left" vertical="center"/>
    </xf>
    <xf numFmtId="0" fontId="36" fillId="0" borderId="21" xfId="0" applyFont="1" applyBorder="1" applyAlignment="1">
      <alignment vertical="center" wrapText="1"/>
    </xf>
    <xf numFmtId="182" fontId="36" fillId="0" borderId="21" xfId="0" applyNumberFormat="1" applyFont="1" applyBorder="1" applyAlignment="1">
      <alignment vertical="center" shrinkToFit="1"/>
    </xf>
    <xf numFmtId="49" fontId="53" fillId="0" borderId="21" xfId="0" quotePrefix="1" applyNumberFormat="1" applyFont="1" applyBorder="1" applyAlignment="1">
      <alignment horizontal="left" vertical="center"/>
    </xf>
    <xf numFmtId="0" fontId="36" fillId="0" borderId="23" xfId="0" applyFont="1" applyBorder="1" applyAlignment="1">
      <alignment horizontal="left" vertical="center"/>
    </xf>
    <xf numFmtId="182" fontId="36" fillId="0" borderId="23" xfId="0" applyNumberFormat="1" applyFont="1" applyBorder="1" applyAlignment="1">
      <alignment vertical="center" shrinkToFit="1"/>
    </xf>
    <xf numFmtId="0" fontId="32" fillId="0" borderId="34" xfId="0" applyFont="1" applyBorder="1" applyAlignment="1">
      <alignment horizontal="center" vertical="center"/>
    </xf>
    <xf numFmtId="0" fontId="9" fillId="0" borderId="31" xfId="0" applyFont="1" applyBorder="1">
      <alignment vertical="center"/>
    </xf>
    <xf numFmtId="0" fontId="9" fillId="0" borderId="29" xfId="0" applyFont="1" applyBorder="1">
      <alignment vertical="center"/>
    </xf>
    <xf numFmtId="0" fontId="8" fillId="0" borderId="14" xfId="0" applyFont="1" applyBorder="1">
      <alignment vertical="center"/>
    </xf>
    <xf numFmtId="0" fontId="9" fillId="0" borderId="51" xfId="0" applyFont="1" applyBorder="1">
      <alignment vertical="center"/>
    </xf>
    <xf numFmtId="0" fontId="12" fillId="0" borderId="14" xfId="0" applyFont="1" applyBorder="1">
      <alignment vertical="center"/>
    </xf>
    <xf numFmtId="0" fontId="38" fillId="5" borderId="54" xfId="0" applyFont="1" applyFill="1" applyBorder="1" applyAlignment="1">
      <alignment horizontal="center"/>
    </xf>
    <xf numFmtId="0" fontId="0" fillId="0" borderId="14" xfId="0" applyBorder="1">
      <alignment vertical="center"/>
    </xf>
    <xf numFmtId="0" fontId="0" fillId="0" borderId="47" xfId="0" applyBorder="1" applyAlignment="1">
      <alignment horizontal="center" vertical="center"/>
    </xf>
    <xf numFmtId="0" fontId="42" fillId="0" borderId="0" xfId="0" applyFont="1">
      <alignment vertical="center"/>
    </xf>
    <xf numFmtId="49" fontId="9" fillId="0" borderId="28" xfId="0" applyNumberFormat="1" applyFont="1" applyBorder="1">
      <alignment vertical="center"/>
    </xf>
    <xf numFmtId="0" fontId="38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50" fillId="0" borderId="0" xfId="0" applyFont="1">
      <alignment vertical="center"/>
    </xf>
    <xf numFmtId="0" fontId="9" fillId="5" borderId="1" xfId="0" applyFont="1" applyFill="1" applyBorder="1" applyAlignment="1">
      <alignment horizontal="left" vertical="center"/>
    </xf>
    <xf numFmtId="0" fontId="36" fillId="0" borderId="13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182" fontId="36" fillId="0" borderId="21" xfId="0" applyNumberFormat="1" applyFont="1" applyBorder="1" applyAlignment="1">
      <alignment horizontal="center" vertical="center" shrinkToFit="1"/>
    </xf>
    <xf numFmtId="182" fontId="36" fillId="0" borderId="23" xfId="0" applyNumberFormat="1" applyFont="1" applyBorder="1" applyAlignment="1">
      <alignment horizontal="center" vertical="center" shrinkToFit="1"/>
    </xf>
    <xf numFmtId="0" fontId="0" fillId="0" borderId="30" xfId="0" applyBorder="1">
      <alignment vertical="center"/>
    </xf>
    <xf numFmtId="0" fontId="9" fillId="0" borderId="74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9" xfId="0" applyBorder="1">
      <alignment vertical="center"/>
    </xf>
    <xf numFmtId="49" fontId="38" fillId="0" borderId="57" xfId="0" applyNumberFormat="1" applyFont="1" applyBorder="1">
      <alignment vertical="center"/>
    </xf>
    <xf numFmtId="49" fontId="46" fillId="0" borderId="23" xfId="0" quotePrefix="1" applyNumberFormat="1" applyFont="1" applyBorder="1" applyAlignment="1">
      <alignment horizontal="left" vertical="center"/>
    </xf>
    <xf numFmtId="0" fontId="9" fillId="0" borderId="0" xfId="9" applyFont="1" applyAlignment="1">
      <alignment horizontal="center"/>
    </xf>
    <xf numFmtId="49" fontId="49" fillId="0" borderId="0" xfId="9" applyNumberFormat="1" applyFont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47" fillId="0" borderId="0" xfId="9" applyFont="1">
      <alignment vertical="center"/>
    </xf>
    <xf numFmtId="3" fontId="9" fillId="0" borderId="0" xfId="9" applyNumberFormat="1" applyFont="1" applyAlignment="1">
      <alignment horizontal="center" vertical="center"/>
    </xf>
    <xf numFmtId="0" fontId="9" fillId="0" borderId="0" xfId="9" applyFont="1" applyAlignment="1">
      <alignment horizontal="center" vertical="center"/>
    </xf>
    <xf numFmtId="180" fontId="9" fillId="0" borderId="0" xfId="9" applyNumberFormat="1" applyFont="1" applyAlignment="1">
      <alignment horizontal="right" vertical="center"/>
    </xf>
    <xf numFmtId="180" fontId="9" fillId="0" borderId="0" xfId="9" applyNumberFormat="1" applyFont="1">
      <alignment vertical="center"/>
    </xf>
    <xf numFmtId="0" fontId="9" fillId="0" borderId="38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182" fontId="36" fillId="0" borderId="10" xfId="0" applyNumberFormat="1" applyFont="1" applyBorder="1" applyAlignment="1">
      <alignment vertical="center" shrinkToFit="1"/>
    </xf>
    <xf numFmtId="178" fontId="9" fillId="0" borderId="24" xfId="0" applyNumberFormat="1" applyFont="1" applyBorder="1" applyAlignment="1">
      <alignment horizontal="center" vertical="center"/>
    </xf>
    <xf numFmtId="49" fontId="43" fillId="0" borderId="0" xfId="0" applyNumberFormat="1" applyFont="1">
      <alignment vertical="center"/>
    </xf>
    <xf numFmtId="0" fontId="36" fillId="0" borderId="10" xfId="0" applyFont="1" applyBorder="1" applyAlignment="1">
      <alignment horizontal="left" vertical="center"/>
    </xf>
    <xf numFmtId="182" fontId="36" fillId="0" borderId="10" xfId="0" applyNumberFormat="1" applyFont="1" applyBorder="1" applyAlignment="1">
      <alignment horizontal="center" vertical="center" shrinkToFit="1"/>
    </xf>
    <xf numFmtId="49" fontId="46" fillId="0" borderId="15" xfId="0" quotePrefix="1" applyNumberFormat="1" applyFont="1" applyBorder="1" applyAlignment="1">
      <alignment horizontal="left" vertical="center"/>
    </xf>
    <xf numFmtId="0" fontId="47" fillId="0" borderId="21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26" fontId="14" fillId="0" borderId="21" xfId="0" applyNumberFormat="1" applyFont="1" applyBorder="1" applyAlignment="1">
      <alignment horizontal="center" vertical="center"/>
    </xf>
    <xf numFmtId="26" fontId="14" fillId="0" borderId="14" xfId="0" applyNumberFormat="1" applyFont="1" applyBorder="1" applyAlignment="1">
      <alignment horizontal="center" vertical="center"/>
    </xf>
    <xf numFmtId="181" fontId="36" fillId="0" borderId="13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84" fontId="9" fillId="5" borderId="19" xfId="2" applyNumberFormat="1" applyFont="1" applyFill="1" applyBorder="1" applyAlignment="1">
      <alignment horizontal="center" vertical="center"/>
    </xf>
    <xf numFmtId="176" fontId="9" fillId="0" borderId="19" xfId="2" applyFont="1" applyFill="1" applyBorder="1" applyAlignment="1">
      <alignment horizontal="center" vertical="center"/>
    </xf>
    <xf numFmtId="176" fontId="9" fillId="0" borderId="21" xfId="2" applyFont="1" applyFill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13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 applyAlignment="1">
      <alignment horizontal="center"/>
    </xf>
    <xf numFmtId="0" fontId="38" fillId="0" borderId="24" xfId="0" applyFont="1" applyBorder="1" applyAlignment="1">
      <alignment horizontal="left" vertical="center"/>
    </xf>
    <xf numFmtId="182" fontId="9" fillId="0" borderId="65" xfId="0" applyNumberFormat="1" applyFont="1" applyBorder="1" applyAlignment="1">
      <alignment horizontal="center" vertical="center" shrinkToFit="1"/>
    </xf>
    <xf numFmtId="0" fontId="9" fillId="0" borderId="65" xfId="0" applyFont="1" applyBorder="1" applyAlignment="1">
      <alignment horizontal="center" vertical="center"/>
    </xf>
    <xf numFmtId="180" fontId="9" fillId="0" borderId="65" xfId="0" applyNumberFormat="1" applyFont="1" applyBorder="1" applyAlignment="1">
      <alignment horizontal="center" vertical="center" shrinkToFit="1"/>
    </xf>
    <xf numFmtId="180" fontId="9" fillId="0" borderId="65" xfId="0" applyNumberFormat="1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49" fontId="58" fillId="0" borderId="56" xfId="0" applyNumberFormat="1" applyFont="1" applyBorder="1">
      <alignment vertical="center"/>
    </xf>
    <xf numFmtId="49" fontId="58" fillId="0" borderId="0" xfId="0" applyNumberFormat="1" applyFont="1">
      <alignment vertical="center"/>
    </xf>
    <xf numFmtId="0" fontId="9" fillId="0" borderId="58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80" fontId="9" fillId="0" borderId="3" xfId="0" applyNumberFormat="1" applyFont="1" applyBorder="1" applyAlignment="1">
      <alignment horizontal="right" vertical="center"/>
    </xf>
    <xf numFmtId="0" fontId="12" fillId="0" borderId="24" xfId="0" applyFont="1" applyBorder="1">
      <alignment vertical="center"/>
    </xf>
    <xf numFmtId="56" fontId="12" fillId="0" borderId="67" xfId="0" applyNumberFormat="1" applyFont="1" applyBorder="1" applyAlignment="1">
      <alignment horizontal="center" vertical="center"/>
    </xf>
    <xf numFmtId="0" fontId="9" fillId="0" borderId="39" xfId="0" applyFont="1" applyBorder="1" applyAlignment="1"/>
    <xf numFmtId="49" fontId="9" fillId="0" borderId="13" xfId="0" applyNumberFormat="1" applyFont="1" applyBorder="1" applyAlignment="1">
      <alignment horizontal="left" vertical="center"/>
    </xf>
    <xf numFmtId="0" fontId="38" fillId="3" borderId="13" xfId="0" applyFont="1" applyFill="1" applyBorder="1" applyAlignment="1">
      <alignment horizontal="left" vertical="center"/>
    </xf>
    <xf numFmtId="184" fontId="9" fillId="0" borderId="13" xfId="2" applyNumberFormat="1" applyFont="1" applyFill="1" applyBorder="1" applyAlignment="1">
      <alignment horizontal="right" vertical="center"/>
    </xf>
    <xf numFmtId="180" fontId="9" fillId="0" borderId="13" xfId="0" applyNumberFormat="1" applyFont="1" applyBorder="1">
      <alignment vertical="center"/>
    </xf>
    <xf numFmtId="181" fontId="9" fillId="0" borderId="13" xfId="2" applyNumberFormat="1" applyFont="1" applyFill="1" applyBorder="1" applyAlignment="1">
      <alignment horizontal="right" vertical="center"/>
    </xf>
    <xf numFmtId="49" fontId="9" fillId="0" borderId="40" xfId="0" applyNumberFormat="1" applyFont="1" applyBorder="1">
      <alignment vertical="center"/>
    </xf>
    <xf numFmtId="0" fontId="0" fillId="0" borderId="76" xfId="0" applyBorder="1" applyAlignment="1">
      <alignment horizontal="center" vertical="center"/>
    </xf>
    <xf numFmtId="0" fontId="9" fillId="0" borderId="41" xfId="0" applyFont="1" applyBorder="1">
      <alignment vertical="center"/>
    </xf>
    <xf numFmtId="0" fontId="9" fillId="0" borderId="42" xfId="0" applyFont="1" applyBorder="1">
      <alignment vertical="center"/>
    </xf>
    <xf numFmtId="0" fontId="9" fillId="0" borderId="23" xfId="0" applyFont="1" applyBorder="1" applyAlignment="1">
      <alignment vertical="center" shrinkToFit="1"/>
    </xf>
    <xf numFmtId="176" fontId="9" fillId="0" borderId="23" xfId="2" applyFont="1" applyFill="1" applyBorder="1" applyAlignment="1">
      <alignment horizontal="right" vertical="center"/>
    </xf>
    <xf numFmtId="180" fontId="9" fillId="0" borderId="23" xfId="0" applyNumberFormat="1" applyFont="1" applyBorder="1">
      <alignment vertical="center"/>
    </xf>
    <xf numFmtId="181" fontId="9" fillId="0" borderId="23" xfId="2" applyNumberFormat="1" applyFont="1" applyFill="1" applyBorder="1" applyAlignment="1">
      <alignment horizontal="right" vertical="center"/>
    </xf>
    <xf numFmtId="49" fontId="9" fillId="0" borderId="43" xfId="0" applyNumberFormat="1" applyFont="1" applyBorder="1">
      <alignment vertical="center"/>
    </xf>
    <xf numFmtId="0" fontId="0" fillId="0" borderId="77" xfId="0" applyBorder="1" applyAlignment="1">
      <alignment horizontal="center" vertical="center"/>
    </xf>
    <xf numFmtId="182" fontId="9" fillId="0" borderId="65" xfId="0" applyNumberFormat="1" applyFont="1" applyBorder="1" applyAlignment="1">
      <alignment vertical="center" shrinkToFit="1"/>
    </xf>
    <xf numFmtId="49" fontId="38" fillId="0" borderId="55" xfId="0" applyNumberFormat="1" applyFont="1" applyBorder="1">
      <alignment vertical="center"/>
    </xf>
    <xf numFmtId="49" fontId="38" fillId="0" borderId="75" xfId="0" applyNumberFormat="1" applyFont="1" applyBorder="1">
      <alignment vertical="center"/>
    </xf>
    <xf numFmtId="49" fontId="60" fillId="0" borderId="13" xfId="0" applyNumberFormat="1" applyFont="1" applyBorder="1" applyAlignment="1">
      <alignment horizontal="center" vertical="center"/>
    </xf>
    <xf numFmtId="180" fontId="57" fillId="0" borderId="13" xfId="0" applyNumberFormat="1" applyFont="1" applyBorder="1" applyAlignment="1">
      <alignment horizontal="left" vertical="center" shrinkToFit="1"/>
    </xf>
    <xf numFmtId="49" fontId="58" fillId="0" borderId="21" xfId="0" applyNumberFormat="1" applyFont="1" applyBorder="1">
      <alignment vertical="center"/>
    </xf>
    <xf numFmtId="180" fontId="57" fillId="0" borderId="13" xfId="0" applyNumberFormat="1" applyFont="1" applyBorder="1" applyAlignment="1">
      <alignment horizontal="left" vertical="center"/>
    </xf>
    <xf numFmtId="49" fontId="58" fillId="0" borderId="13" xfId="0" applyNumberFormat="1" applyFont="1" applyBorder="1">
      <alignment vertical="center"/>
    </xf>
    <xf numFmtId="0" fontId="9" fillId="0" borderId="40" xfId="0" applyFont="1" applyBorder="1">
      <alignment vertical="center"/>
    </xf>
    <xf numFmtId="0" fontId="9" fillId="0" borderId="28" xfId="0" applyFont="1" applyBorder="1">
      <alignment vertical="center"/>
    </xf>
    <xf numFmtId="49" fontId="38" fillId="0" borderId="15" xfId="0" applyNumberFormat="1" applyFont="1" applyBorder="1">
      <alignment vertical="center"/>
    </xf>
    <xf numFmtId="0" fontId="36" fillId="0" borderId="13" xfId="0" applyFont="1" applyBorder="1" applyAlignment="1">
      <alignment horizontal="left" vertical="center"/>
    </xf>
    <xf numFmtId="0" fontId="9" fillId="0" borderId="78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49" fontId="38" fillId="0" borderId="54" xfId="0" applyNumberFormat="1" applyFont="1" applyBorder="1" applyAlignment="1">
      <alignment horizontal="center" vertical="center"/>
    </xf>
    <xf numFmtId="49" fontId="46" fillId="0" borderId="10" xfId="0" quotePrefix="1" applyNumberFormat="1" applyFont="1" applyBorder="1" applyAlignment="1">
      <alignment horizontal="left" vertical="center"/>
    </xf>
    <xf numFmtId="181" fontId="36" fillId="0" borderId="13" xfId="0" applyNumberFormat="1" applyFont="1" applyBorder="1" applyAlignment="1">
      <alignment horizontal="right" vertical="center"/>
    </xf>
    <xf numFmtId="181" fontId="36" fillId="0" borderId="21" xfId="0" applyNumberFormat="1" applyFont="1" applyBorder="1" applyAlignment="1">
      <alignment horizontal="right" vertical="center"/>
    </xf>
    <xf numFmtId="180" fontId="9" fillId="0" borderId="21" xfId="0" applyNumberFormat="1" applyFont="1" applyBorder="1" applyAlignment="1">
      <alignment horizontal="right" vertical="center"/>
    </xf>
    <xf numFmtId="181" fontId="36" fillId="0" borderId="23" xfId="0" applyNumberFormat="1" applyFont="1" applyBorder="1" applyAlignment="1">
      <alignment horizontal="right" vertical="center"/>
    </xf>
    <xf numFmtId="180" fontId="9" fillId="0" borderId="23" xfId="0" applyNumberFormat="1" applyFont="1" applyBorder="1" applyAlignment="1">
      <alignment horizontal="right" vertical="center"/>
    </xf>
    <xf numFmtId="0" fontId="12" fillId="0" borderId="10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49" fontId="61" fillId="0" borderId="13" xfId="0" applyNumberFormat="1" applyFont="1" applyBorder="1" applyAlignment="1">
      <alignment horizontal="center" vertical="center"/>
    </xf>
    <xf numFmtId="185" fontId="61" fillId="0" borderId="21" xfId="0" applyNumberFormat="1" applyFont="1" applyBorder="1" applyAlignment="1">
      <alignment horizontal="center" vertical="center"/>
    </xf>
    <xf numFmtId="49" fontId="61" fillId="0" borderId="21" xfId="0" applyNumberFormat="1" applyFont="1" applyBorder="1" applyAlignment="1">
      <alignment horizontal="center" vertical="center"/>
    </xf>
    <xf numFmtId="0" fontId="61" fillId="0" borderId="21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1" fillId="0" borderId="8" xfId="0" applyFont="1" applyBorder="1" applyAlignment="1">
      <alignment horizontal="center" vertical="center"/>
    </xf>
    <xf numFmtId="49" fontId="46" fillId="0" borderId="0" xfId="0" quotePrefix="1" applyNumberFormat="1" applyFont="1" applyAlignment="1">
      <alignment horizontal="left" vertical="center"/>
    </xf>
    <xf numFmtId="182" fontId="36" fillId="0" borderId="0" xfId="0" applyNumberFormat="1" applyFont="1" applyAlignment="1">
      <alignment vertical="center" shrinkToFit="1"/>
    </xf>
    <xf numFmtId="0" fontId="0" fillId="0" borderId="76" xfId="0" applyBorder="1">
      <alignment vertical="center"/>
    </xf>
    <xf numFmtId="0" fontId="0" fillId="0" borderId="48" xfId="0" applyBorder="1">
      <alignment vertical="center"/>
    </xf>
    <xf numFmtId="0" fontId="0" fillId="0" borderId="47" xfId="0" applyBorder="1">
      <alignment vertical="center"/>
    </xf>
    <xf numFmtId="49" fontId="38" fillId="0" borderId="68" xfId="0" applyNumberFormat="1" applyFont="1" applyBorder="1" applyAlignment="1">
      <alignment horizontal="center" vertical="center"/>
    </xf>
    <xf numFmtId="49" fontId="38" fillId="0" borderId="66" xfId="0" applyNumberFormat="1" applyFont="1" applyBorder="1" applyAlignment="1">
      <alignment horizontal="center" vertical="center"/>
    </xf>
    <xf numFmtId="49" fontId="62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3" fillId="0" borderId="0" xfId="0" applyFont="1">
      <alignment vertical="center"/>
    </xf>
    <xf numFmtId="0" fontId="63" fillId="0" borderId="0" xfId="0" applyFont="1" applyAlignment="1">
      <alignment vertical="center" wrapText="1"/>
    </xf>
    <xf numFmtId="0" fontId="65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49" fontId="66" fillId="0" borderId="14" xfId="0" applyNumberFormat="1" applyFont="1" applyBorder="1" applyAlignment="1">
      <alignment horizontal="center" vertical="center" wrapText="1"/>
    </xf>
    <xf numFmtId="0" fontId="67" fillId="0" borderId="14" xfId="0" applyFont="1" applyBorder="1" applyAlignment="1">
      <alignment horizontal="center" vertical="center" wrapText="1"/>
    </xf>
    <xf numFmtId="0" fontId="67" fillId="0" borderId="14" xfId="0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5" borderId="39" xfId="0" applyFont="1" applyFill="1" applyBorder="1" applyAlignment="1">
      <alignment horizontal="center" vertical="center"/>
    </xf>
    <xf numFmtId="49" fontId="69" fillId="0" borderId="13" xfId="0" quotePrefix="1" applyNumberFormat="1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69" fillId="0" borderId="13" xfId="0" quotePrefix="1" applyFont="1" applyBorder="1" applyAlignment="1">
      <alignment horizontal="center" vertical="center" wrapText="1"/>
    </xf>
    <xf numFmtId="0" fontId="67" fillId="0" borderId="13" xfId="0" applyFont="1" applyBorder="1" applyAlignment="1">
      <alignment horizontal="center" vertical="center" wrapText="1"/>
    </xf>
    <xf numFmtId="0" fontId="66" fillId="0" borderId="40" xfId="0" applyFont="1" applyBorder="1" applyAlignment="1">
      <alignment horizontal="center" vertical="center"/>
    </xf>
    <xf numFmtId="0" fontId="60" fillId="0" borderId="39" xfId="0" applyFont="1" applyBorder="1" applyAlignment="1">
      <alignment horizontal="center" vertical="center"/>
    </xf>
    <xf numFmtId="3" fontId="57" fillId="0" borderId="33" xfId="0" applyNumberFormat="1" applyFont="1" applyBorder="1" applyAlignment="1">
      <alignment horizontal="left" vertical="center"/>
    </xf>
    <xf numFmtId="0" fontId="57" fillId="0" borderId="33" xfId="0" applyFont="1" applyBorder="1" applyAlignment="1">
      <alignment horizontal="left" vertical="center"/>
    </xf>
    <xf numFmtId="49" fontId="59" fillId="0" borderId="38" xfId="0" applyNumberFormat="1" applyFont="1" applyBorder="1">
      <alignment vertical="center"/>
    </xf>
    <xf numFmtId="49" fontId="59" fillId="0" borderId="10" xfId="0" applyNumberFormat="1" applyFont="1" applyBorder="1">
      <alignment vertical="center"/>
    </xf>
    <xf numFmtId="49" fontId="59" fillId="0" borderId="24" xfId="0" applyNumberFormat="1" applyFont="1" applyBorder="1">
      <alignment vertical="center"/>
    </xf>
    <xf numFmtId="1" fontId="9" fillId="0" borderId="24" xfId="0" applyNumberFormat="1" applyFont="1" applyBorder="1" applyAlignment="1">
      <alignment horizontal="center" vertical="center"/>
    </xf>
    <xf numFmtId="181" fontId="36" fillId="0" borderId="10" xfId="0" applyNumberFormat="1" applyFont="1" applyBorder="1" applyAlignment="1">
      <alignment horizontal="right" vertical="center"/>
    </xf>
    <xf numFmtId="1" fontId="9" fillId="0" borderId="14" xfId="0" applyNumberFormat="1" applyFont="1" applyBorder="1" applyAlignment="1">
      <alignment horizontal="center" vertical="center"/>
    </xf>
    <xf numFmtId="0" fontId="0" fillId="0" borderId="10" xfId="0" applyBorder="1">
      <alignment vertical="center"/>
    </xf>
    <xf numFmtId="49" fontId="46" fillId="0" borderId="33" xfId="0" quotePrefix="1" applyNumberFormat="1" applyFont="1" applyBorder="1" applyAlignment="1">
      <alignment horizontal="left" vertical="center"/>
    </xf>
    <xf numFmtId="0" fontId="36" fillId="0" borderId="33" xfId="0" applyFont="1" applyBorder="1" applyAlignment="1">
      <alignment horizontal="left" vertical="center"/>
    </xf>
    <xf numFmtId="182" fontId="36" fillId="0" borderId="33" xfId="0" applyNumberFormat="1" applyFont="1" applyBorder="1" applyAlignment="1">
      <alignment vertical="center" shrinkToFit="1"/>
    </xf>
    <xf numFmtId="182" fontId="36" fillId="0" borderId="33" xfId="0" applyNumberFormat="1" applyFont="1" applyBorder="1" applyAlignment="1">
      <alignment horizontal="center" vertical="center" shrinkToFit="1"/>
    </xf>
    <xf numFmtId="181" fontId="36" fillId="0" borderId="33" xfId="0" applyNumberFormat="1" applyFont="1" applyBorder="1" applyAlignment="1">
      <alignment horizontal="right" vertical="center"/>
    </xf>
    <xf numFmtId="180" fontId="9" fillId="0" borderId="33" xfId="0" applyNumberFormat="1" applyFont="1" applyBorder="1" applyAlignment="1">
      <alignment horizontal="right" vertical="center"/>
    </xf>
    <xf numFmtId="49" fontId="9" fillId="5" borderId="24" xfId="0" applyNumberFormat="1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left" vertical="center"/>
    </xf>
    <xf numFmtId="3" fontId="9" fillId="5" borderId="24" xfId="0" applyNumberFormat="1" applyFont="1" applyFill="1" applyBorder="1" applyAlignment="1">
      <alignment horizontal="center" vertical="center"/>
    </xf>
    <xf numFmtId="180" fontId="9" fillId="5" borderId="24" xfId="0" applyNumberFormat="1" applyFont="1" applyFill="1" applyBorder="1" applyAlignment="1">
      <alignment horizontal="right" vertical="center" shrinkToFit="1"/>
    </xf>
    <xf numFmtId="180" fontId="9" fillId="5" borderId="24" xfId="0" applyNumberFormat="1" applyFont="1" applyFill="1" applyBorder="1" applyAlignment="1">
      <alignment horizontal="right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left" vertical="center"/>
    </xf>
    <xf numFmtId="180" fontId="9" fillId="5" borderId="10" xfId="0" applyNumberFormat="1" applyFont="1" applyFill="1" applyBorder="1" applyAlignment="1">
      <alignment horizontal="right" vertical="center" shrinkToFit="1"/>
    </xf>
    <xf numFmtId="180" fontId="9" fillId="5" borderId="10" xfId="0" applyNumberFormat="1" applyFont="1" applyFill="1" applyBorder="1" applyAlignment="1">
      <alignment horizontal="right" vertical="center"/>
    </xf>
    <xf numFmtId="49" fontId="9" fillId="5" borderId="24" xfId="0" applyNumberFormat="1" applyFont="1" applyFill="1" applyBorder="1" applyAlignment="1">
      <alignment horizontal="left" vertical="center"/>
    </xf>
    <xf numFmtId="180" fontId="9" fillId="0" borderId="24" xfId="0" applyNumberFormat="1" applyFont="1" applyBorder="1" applyAlignment="1">
      <alignment horizontal="right" vertical="center"/>
    </xf>
    <xf numFmtId="0" fontId="9" fillId="5" borderId="21" xfId="0" applyFont="1" applyFill="1" applyBorder="1" applyAlignment="1">
      <alignment horizontal="left" vertical="center"/>
    </xf>
    <xf numFmtId="49" fontId="9" fillId="5" borderId="21" xfId="0" applyNumberFormat="1" applyFont="1" applyFill="1" applyBorder="1" applyAlignment="1">
      <alignment horizontal="left" vertical="center"/>
    </xf>
    <xf numFmtId="3" fontId="9" fillId="5" borderId="21" xfId="0" applyNumberFormat="1" applyFont="1" applyFill="1" applyBorder="1" applyAlignment="1">
      <alignment horizontal="center" vertical="center"/>
    </xf>
    <xf numFmtId="180" fontId="9" fillId="5" borderId="21" xfId="0" applyNumberFormat="1" applyFont="1" applyFill="1" applyBorder="1" applyAlignment="1">
      <alignment horizontal="right" vertical="center" shrinkToFit="1"/>
    </xf>
    <xf numFmtId="180" fontId="9" fillId="5" borderId="21" xfId="0" applyNumberFormat="1" applyFont="1" applyFill="1" applyBorder="1" applyAlignment="1">
      <alignment horizontal="right" vertical="center"/>
    </xf>
    <xf numFmtId="185" fontId="9" fillId="0" borderId="10" xfId="0" applyNumberFormat="1" applyFont="1" applyBorder="1">
      <alignment vertical="center"/>
    </xf>
    <xf numFmtId="0" fontId="38" fillId="8" borderId="68" xfId="0" applyFont="1" applyFill="1" applyBorder="1" applyAlignment="1">
      <alignment horizontal="center" vertical="center"/>
    </xf>
    <xf numFmtId="49" fontId="38" fillId="0" borderId="24" xfId="0" quotePrefix="1" applyNumberFormat="1" applyFont="1" applyBorder="1" applyAlignment="1">
      <alignment horizontal="left" vertical="center"/>
    </xf>
    <xf numFmtId="49" fontId="38" fillId="0" borderId="33" xfId="0" quotePrefix="1" applyNumberFormat="1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182" fontId="9" fillId="0" borderId="33" xfId="0" applyNumberFormat="1" applyFont="1" applyBorder="1" applyAlignment="1">
      <alignment vertical="center" shrinkToFit="1"/>
    </xf>
    <xf numFmtId="182" fontId="9" fillId="0" borderId="33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  <xf numFmtId="180" fontId="9" fillId="0" borderId="33" xfId="0" applyNumberFormat="1" applyFont="1" applyBorder="1" applyAlignment="1">
      <alignment horizontal="center" vertical="center"/>
    </xf>
    <xf numFmtId="182" fontId="9" fillId="0" borderId="24" xfId="0" applyNumberFormat="1" applyFont="1" applyBorder="1" applyAlignment="1">
      <alignment vertical="center" shrinkToFit="1"/>
    </xf>
    <xf numFmtId="182" fontId="9" fillId="0" borderId="24" xfId="0" applyNumberFormat="1" applyFont="1" applyBorder="1" applyAlignment="1">
      <alignment horizontal="center" vertical="center"/>
    </xf>
    <xf numFmtId="0" fontId="47" fillId="0" borderId="38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24" xfId="0" applyFont="1" applyBorder="1">
      <alignment vertical="center"/>
    </xf>
    <xf numFmtId="49" fontId="55" fillId="0" borderId="10" xfId="0" applyNumberFormat="1" applyFont="1" applyBorder="1">
      <alignment vertical="center"/>
    </xf>
    <xf numFmtId="185" fontId="9" fillId="0" borderId="24" xfId="0" applyNumberFormat="1" applyFont="1" applyBorder="1">
      <alignment vertical="center"/>
    </xf>
    <xf numFmtId="49" fontId="61" fillId="0" borderId="7" xfId="0" applyNumberFormat="1" applyFont="1" applyBorder="1" applyAlignment="1">
      <alignment horizontal="center" vertical="center"/>
    </xf>
    <xf numFmtId="185" fontId="61" fillId="0" borderId="8" xfId="0" applyNumberFormat="1" applyFont="1" applyBorder="1" applyAlignment="1">
      <alignment horizontal="center" vertical="center"/>
    </xf>
    <xf numFmtId="49" fontId="61" fillId="0" borderId="8" xfId="0" applyNumberFormat="1" applyFont="1" applyBorder="1" applyAlignment="1">
      <alignment horizontal="center" vertical="center"/>
    </xf>
    <xf numFmtId="0" fontId="61" fillId="0" borderId="85" xfId="0" applyFont="1" applyBorder="1" applyAlignment="1">
      <alignment horizontal="center" vertical="center"/>
    </xf>
    <xf numFmtId="0" fontId="9" fillId="0" borderId="38" xfId="0" applyFont="1" applyBorder="1">
      <alignment vertical="center"/>
    </xf>
    <xf numFmtId="0" fontId="0" fillId="0" borderId="24" xfId="0" applyBorder="1">
      <alignment vertical="center"/>
    </xf>
    <xf numFmtId="0" fontId="0" fillId="0" borderId="38" xfId="0" applyBorder="1">
      <alignment vertical="center"/>
    </xf>
    <xf numFmtId="49" fontId="58" fillId="0" borderId="39" xfId="0" applyNumberFormat="1" applyFont="1" applyBorder="1">
      <alignment vertical="center"/>
    </xf>
    <xf numFmtId="49" fontId="58" fillId="0" borderId="41" xfId="0" applyNumberFormat="1" applyFont="1" applyBorder="1">
      <alignment vertical="center"/>
    </xf>
    <xf numFmtId="49" fontId="58" fillId="0" borderId="42" xfId="0" applyNumberFormat="1" applyFont="1" applyBorder="1">
      <alignment vertical="center"/>
    </xf>
    <xf numFmtId="49" fontId="58" fillId="0" borderId="23" xfId="0" applyNumberFormat="1" applyFont="1" applyBorder="1">
      <alignment vertical="center"/>
    </xf>
    <xf numFmtId="0" fontId="9" fillId="0" borderId="43" xfId="0" applyFont="1" applyBorder="1">
      <alignment vertical="center"/>
    </xf>
    <xf numFmtId="0" fontId="66" fillId="0" borderId="13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center" vertical="center"/>
    </xf>
    <xf numFmtId="0" fontId="9" fillId="5" borderId="41" xfId="0" applyFont="1" applyFill="1" applyBorder="1" applyAlignment="1">
      <alignment horizontal="center" vertical="center"/>
    </xf>
    <xf numFmtId="49" fontId="36" fillId="5" borderId="41" xfId="0" applyNumberFormat="1" applyFont="1" applyFill="1" applyBorder="1" applyAlignment="1">
      <alignment horizontal="center" vertical="center"/>
    </xf>
    <xf numFmtId="0" fontId="9" fillId="5" borderId="42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9" fillId="5" borderId="54" xfId="0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49" fontId="9" fillId="5" borderId="23" xfId="0" applyNumberFormat="1" applyFont="1" applyFill="1" applyBorder="1" applyAlignment="1">
      <alignment horizontal="center" vertical="center"/>
    </xf>
    <xf numFmtId="49" fontId="14" fillId="0" borderId="13" xfId="0" applyNumberFormat="1" applyFont="1" applyBorder="1" applyAlignment="1">
      <alignment horizontal="center" vertical="center"/>
    </xf>
    <xf numFmtId="0" fontId="9" fillId="5" borderId="19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3" fontId="9" fillId="0" borderId="19" xfId="0" applyNumberFormat="1" applyFont="1" applyBorder="1" applyAlignment="1">
      <alignment horizontal="right" vertical="center"/>
    </xf>
    <xf numFmtId="3" fontId="9" fillId="5" borderId="21" xfId="0" applyNumberFormat="1" applyFont="1" applyFill="1" applyBorder="1" applyAlignment="1">
      <alignment horizontal="right" vertical="center"/>
    </xf>
    <xf numFmtId="3" fontId="9" fillId="5" borderId="23" xfId="0" applyNumberFormat="1" applyFont="1" applyFill="1" applyBorder="1" applyAlignment="1">
      <alignment horizontal="right" vertical="center" shrinkToFit="1"/>
    </xf>
    <xf numFmtId="3" fontId="9" fillId="0" borderId="33" xfId="0" applyNumberFormat="1" applyFont="1" applyBorder="1" applyAlignment="1">
      <alignment horizontal="left" vertical="center"/>
    </xf>
    <xf numFmtId="3" fontId="9" fillId="5" borderId="21" xfId="0" applyNumberFormat="1" applyFont="1" applyFill="1" applyBorder="1" applyAlignment="1">
      <alignment horizontal="right" vertical="center" shrinkToFit="1"/>
    </xf>
    <xf numFmtId="3" fontId="9" fillId="5" borderId="10" xfId="0" applyNumberFormat="1" applyFont="1" applyFill="1" applyBorder="1" applyAlignment="1">
      <alignment horizontal="right" vertical="center" shrinkToFit="1"/>
    </xf>
    <xf numFmtId="180" fontId="9" fillId="0" borderId="19" xfId="0" applyNumberFormat="1" applyFont="1" applyBorder="1" applyAlignment="1">
      <alignment horizontal="right" vertical="center" shrinkToFit="1"/>
    </xf>
    <xf numFmtId="180" fontId="9" fillId="5" borderId="19" xfId="0" applyNumberFormat="1" applyFont="1" applyFill="1" applyBorder="1" applyAlignment="1">
      <alignment horizontal="right" vertical="center"/>
    </xf>
    <xf numFmtId="180" fontId="9" fillId="5" borderId="23" xfId="0" applyNumberFormat="1" applyFont="1" applyFill="1" applyBorder="1" applyAlignment="1">
      <alignment horizontal="right" vertical="center" shrinkToFit="1"/>
    </xf>
    <xf numFmtId="180" fontId="9" fillId="5" borderId="23" xfId="0" applyNumberFormat="1" applyFont="1" applyFill="1" applyBorder="1" applyAlignment="1">
      <alignment horizontal="right" vertical="center"/>
    </xf>
    <xf numFmtId="180" fontId="9" fillId="0" borderId="13" xfId="0" applyNumberFormat="1" applyFont="1" applyBorder="1" applyAlignment="1">
      <alignment horizontal="left" vertical="center" shrinkToFit="1"/>
    </xf>
    <xf numFmtId="180" fontId="9" fillId="0" borderId="13" xfId="0" applyNumberFormat="1" applyFont="1" applyBorder="1" applyAlignment="1">
      <alignment horizontal="left" vertical="center"/>
    </xf>
    <xf numFmtId="0" fontId="60" fillId="0" borderId="70" xfId="0" applyFont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49" fontId="36" fillId="5" borderId="22" xfId="0" applyNumberFormat="1" applyFont="1" applyFill="1" applyBorder="1" applyAlignment="1">
      <alignment horizontal="center" vertical="center"/>
    </xf>
    <xf numFmtId="0" fontId="9" fillId="5" borderId="69" xfId="0" applyFont="1" applyFill="1" applyBorder="1" applyAlignment="1">
      <alignment horizontal="center" vertical="center"/>
    </xf>
    <xf numFmtId="0" fontId="0" fillId="0" borderId="74" xfId="0" applyBorder="1">
      <alignment vertical="center"/>
    </xf>
    <xf numFmtId="0" fontId="0" fillId="0" borderId="84" xfId="0" applyBorder="1">
      <alignment vertical="center"/>
    </xf>
    <xf numFmtId="0" fontId="9" fillId="5" borderId="58" xfId="0" applyFont="1" applyFill="1" applyBorder="1" applyAlignment="1">
      <alignment horizontal="center" vertical="center"/>
    </xf>
    <xf numFmtId="0" fontId="9" fillId="5" borderId="80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left" vertical="center"/>
    </xf>
    <xf numFmtId="3" fontId="9" fillId="5" borderId="24" xfId="0" applyNumberFormat="1" applyFont="1" applyFill="1" applyBorder="1" applyAlignment="1">
      <alignment horizontal="right" vertical="center" shrinkToFit="1"/>
    </xf>
    <xf numFmtId="49" fontId="59" fillId="0" borderId="75" xfId="0" applyNumberFormat="1" applyFont="1" applyBorder="1" applyAlignment="1">
      <alignment horizontal="center" vertical="center"/>
    </xf>
    <xf numFmtId="49" fontId="9" fillId="5" borderId="33" xfId="0" applyNumberFormat="1" applyFont="1" applyFill="1" applyBorder="1" applyAlignment="1">
      <alignment horizontal="center" vertical="center"/>
    </xf>
    <xf numFmtId="3" fontId="9" fillId="5" borderId="33" xfId="0" applyNumberFormat="1" applyFont="1" applyFill="1" applyBorder="1" applyAlignment="1">
      <alignment horizontal="right" vertical="center" shrinkToFit="1"/>
    </xf>
    <xf numFmtId="180" fontId="9" fillId="5" borderId="33" xfId="0" applyNumberFormat="1" applyFont="1" applyFill="1" applyBorder="1" applyAlignment="1">
      <alignment horizontal="right" vertical="center" shrinkToFit="1"/>
    </xf>
    <xf numFmtId="180" fontId="9" fillId="5" borderId="33" xfId="0" applyNumberFormat="1" applyFont="1" applyFill="1" applyBorder="1" applyAlignment="1">
      <alignment horizontal="right" vertical="center"/>
    </xf>
    <xf numFmtId="49" fontId="59" fillId="0" borderId="33" xfId="0" applyNumberFormat="1" applyFont="1" applyBorder="1">
      <alignment vertical="center"/>
    </xf>
    <xf numFmtId="49" fontId="59" fillId="0" borderId="49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9" fontId="38" fillId="0" borderId="46" xfId="0" applyNumberFormat="1" applyFont="1" applyBorder="1" applyAlignment="1">
      <alignment horizontal="center" vertical="center"/>
    </xf>
    <xf numFmtId="49" fontId="38" fillId="0" borderId="54" xfId="0" applyNumberFormat="1" applyFont="1" applyBorder="1" applyAlignment="1">
      <alignment horizontal="center" vertical="center"/>
    </xf>
    <xf numFmtId="49" fontId="38" fillId="0" borderId="58" xfId="0" applyNumberFormat="1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49" fontId="38" fillId="8" borderId="56" xfId="0" applyNumberFormat="1" applyFont="1" applyFill="1" applyBorder="1" applyAlignment="1">
      <alignment horizontal="center" vertical="center"/>
    </xf>
    <xf numFmtId="49" fontId="38" fillId="8" borderId="66" xfId="0" applyNumberFormat="1" applyFont="1" applyFill="1" applyBorder="1" applyAlignment="1">
      <alignment horizontal="center" vertical="center"/>
    </xf>
    <xf numFmtId="0" fontId="47" fillId="0" borderId="38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/>
    </xf>
    <xf numFmtId="0" fontId="78" fillId="0" borderId="24" xfId="0" applyFont="1" applyBorder="1" applyAlignment="1">
      <alignment horizontal="center" vertical="center"/>
    </xf>
    <xf numFmtId="0" fontId="80" fillId="0" borderId="38" xfId="0" applyFont="1" applyBorder="1" applyAlignment="1">
      <alignment horizontal="center" vertical="center"/>
    </xf>
    <xf numFmtId="0" fontId="74" fillId="0" borderId="10" xfId="0" applyFont="1" applyBorder="1" applyAlignment="1">
      <alignment horizontal="center" vertical="center"/>
    </xf>
    <xf numFmtId="0" fontId="74" fillId="0" borderId="24" xfId="0" applyFont="1" applyBorder="1" applyAlignment="1">
      <alignment horizontal="center" vertical="center"/>
    </xf>
    <xf numFmtId="49" fontId="59" fillId="0" borderId="73" xfId="0" applyNumberFormat="1" applyFont="1" applyBorder="1" applyAlignment="1">
      <alignment horizontal="center" vertical="center"/>
    </xf>
    <xf numFmtId="49" fontId="59" fillId="0" borderId="57" xfId="0" applyNumberFormat="1" applyFont="1" applyBorder="1" applyAlignment="1">
      <alignment horizontal="center" vertical="center"/>
    </xf>
    <xf numFmtId="0" fontId="70" fillId="0" borderId="81" xfId="0" applyFont="1" applyBorder="1" applyAlignment="1">
      <alignment horizontal="center" vertical="center"/>
    </xf>
    <xf numFmtId="0" fontId="70" fillId="0" borderId="82" xfId="0" applyFont="1" applyBorder="1" applyAlignment="1">
      <alignment horizontal="center" vertical="center"/>
    </xf>
    <xf numFmtId="0" fontId="70" fillId="0" borderId="8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43" fillId="0" borderId="0" xfId="0" applyNumberFormat="1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70" fillId="0" borderId="86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88" xfId="0" applyFont="1" applyBorder="1" applyAlignment="1">
      <alignment horizontal="center" vertical="center"/>
    </xf>
    <xf numFmtId="49" fontId="59" fillId="0" borderId="67" xfId="0" applyNumberFormat="1" applyFont="1" applyBorder="1" applyAlignment="1">
      <alignment horizontal="center" vertical="center"/>
    </xf>
    <xf numFmtId="0" fontId="52" fillId="3" borderId="13" xfId="0" applyFont="1" applyFill="1" applyBorder="1" applyAlignment="1">
      <alignment horizontal="left" vertical="center"/>
    </xf>
    <xf numFmtId="0" fontId="36" fillId="3" borderId="13" xfId="0" applyFont="1" applyFill="1" applyBorder="1" applyAlignment="1">
      <alignment horizontal="center" vertical="center"/>
    </xf>
    <xf numFmtId="181" fontId="36" fillId="3" borderId="13" xfId="0" applyNumberFormat="1" applyFont="1" applyFill="1" applyBorder="1" applyAlignment="1">
      <alignment horizontal="right" vertical="center"/>
    </xf>
    <xf numFmtId="0" fontId="9" fillId="3" borderId="13" xfId="0" applyFont="1" applyFill="1" applyBorder="1" applyAlignment="1">
      <alignment horizontal="right" vertical="center"/>
    </xf>
    <xf numFmtId="49" fontId="36" fillId="3" borderId="21" xfId="0" applyNumberFormat="1" applyFont="1" applyFill="1" applyBorder="1" applyAlignment="1">
      <alignment horizontal="left" vertical="center"/>
    </xf>
    <xf numFmtId="0" fontId="36" fillId="3" borderId="21" xfId="0" applyFont="1" applyFill="1" applyBorder="1" applyAlignment="1">
      <alignment vertical="center" wrapText="1"/>
    </xf>
    <xf numFmtId="0" fontId="36" fillId="3" borderId="21" xfId="0" applyFont="1" applyFill="1" applyBorder="1" applyAlignment="1">
      <alignment horizontal="center" vertical="center" wrapText="1"/>
    </xf>
    <xf numFmtId="1" fontId="9" fillId="3" borderId="21" xfId="0" applyNumberFormat="1" applyFont="1" applyFill="1" applyBorder="1" applyAlignment="1">
      <alignment horizontal="center" vertical="center"/>
    </xf>
    <xf numFmtId="181" fontId="36" fillId="3" borderId="21" xfId="0" applyNumberFormat="1" applyFont="1" applyFill="1" applyBorder="1" applyAlignment="1">
      <alignment horizontal="right" vertical="center"/>
    </xf>
    <xf numFmtId="180" fontId="9" fillId="3" borderId="21" xfId="0" applyNumberFormat="1" applyFont="1" applyFill="1" applyBorder="1" applyAlignment="1">
      <alignment horizontal="right" vertical="center"/>
    </xf>
    <xf numFmtId="49" fontId="9" fillId="3" borderId="21" xfId="0" applyNumberFormat="1" applyFont="1" applyFill="1" applyBorder="1" applyAlignment="1">
      <alignment horizontal="left" vertical="center"/>
    </xf>
    <xf numFmtId="49" fontId="53" fillId="3" borderId="21" xfId="0" quotePrefix="1" applyNumberFormat="1" applyFont="1" applyFill="1" applyBorder="1" applyAlignment="1">
      <alignment horizontal="left" vertical="center"/>
    </xf>
    <xf numFmtId="182" fontId="36" fillId="3" borderId="21" xfId="0" applyNumberFormat="1" applyFont="1" applyFill="1" applyBorder="1" applyAlignment="1">
      <alignment vertical="center" shrinkToFit="1"/>
    </xf>
    <xf numFmtId="182" fontId="36" fillId="3" borderId="21" xfId="0" applyNumberFormat="1" applyFont="1" applyFill="1" applyBorder="1" applyAlignment="1">
      <alignment horizontal="center" vertical="center" shrinkToFit="1"/>
    </xf>
    <xf numFmtId="49" fontId="46" fillId="3" borderId="23" xfId="0" quotePrefix="1" applyNumberFormat="1" applyFont="1" applyFill="1" applyBorder="1" applyAlignment="1">
      <alignment horizontal="left" vertical="center"/>
    </xf>
    <xf numFmtId="182" fontId="36" fillId="3" borderId="23" xfId="0" applyNumberFormat="1" applyFont="1" applyFill="1" applyBorder="1" applyAlignment="1">
      <alignment vertical="center" shrinkToFit="1"/>
    </xf>
    <xf numFmtId="182" fontId="36" fillId="3" borderId="23" xfId="0" applyNumberFormat="1" applyFont="1" applyFill="1" applyBorder="1" applyAlignment="1">
      <alignment horizontal="center" vertical="center" shrinkToFit="1"/>
    </xf>
    <xf numFmtId="181" fontId="36" fillId="3" borderId="23" xfId="0" applyNumberFormat="1" applyFont="1" applyFill="1" applyBorder="1" applyAlignment="1">
      <alignment horizontal="right" vertical="center"/>
    </xf>
    <xf numFmtId="180" fontId="9" fillId="3" borderId="23" xfId="0" applyNumberFormat="1" applyFont="1" applyFill="1" applyBorder="1" applyAlignment="1">
      <alignment horizontal="right" vertical="center"/>
    </xf>
  </cellXfs>
  <cellStyles count="11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39</xdr:row>
      <xdr:rowOff>112395</xdr:rowOff>
    </xdr:from>
    <xdr:to>
      <xdr:col>11</xdr:col>
      <xdr:colOff>645795</xdr:colOff>
      <xdr:row>47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2</xdr:row>
      <xdr:rowOff>412750</xdr:rowOff>
    </xdr:from>
    <xdr:to>
      <xdr:col>6</xdr:col>
      <xdr:colOff>3363190</xdr:colOff>
      <xdr:row>2</xdr:row>
      <xdr:rowOff>2127250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1FA15B-DD30-5B75-C16B-B489823C5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94375" y="1920875"/>
          <a:ext cx="3267940" cy="1714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10" workbookViewId="0">
      <selection activeCell="F56" sqref="F56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91</v>
      </c>
    </row>
    <row r="3" spans="1:3">
      <c r="A3" s="70">
        <f>A2+1</f>
        <v>3</v>
      </c>
      <c r="B3" s="7" t="s">
        <v>4</v>
      </c>
      <c r="C3" s="2" t="s">
        <v>92</v>
      </c>
    </row>
    <row r="4" spans="1:3">
      <c r="A4" s="70">
        <f t="shared" ref="A4:A68" si="0">A3+1</f>
        <v>4</v>
      </c>
      <c r="B4" s="7" t="s">
        <v>3</v>
      </c>
      <c r="C4" s="2" t="s">
        <v>93</v>
      </c>
    </row>
    <row r="5" spans="1:3" s="71" customFormat="1">
      <c r="A5" s="70">
        <f t="shared" si="0"/>
        <v>5</v>
      </c>
      <c r="B5" s="7" t="s">
        <v>5</v>
      </c>
      <c r="C5" s="7" t="s">
        <v>94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106</v>
      </c>
      <c r="C9" s="7" t="s">
        <v>141</v>
      </c>
    </row>
    <row r="10" spans="1:3" s="71" customFormat="1">
      <c r="A10" s="70">
        <f t="shared" si="0"/>
        <v>10</v>
      </c>
      <c r="B10" s="72" t="s">
        <v>107</v>
      </c>
      <c r="C10" s="7" t="s">
        <v>140</v>
      </c>
    </row>
    <row r="11" spans="1:3" s="71" customFormat="1">
      <c r="A11" s="70">
        <f t="shared" si="0"/>
        <v>11</v>
      </c>
      <c r="B11" s="72" t="s">
        <v>108</v>
      </c>
      <c r="C11" s="2" t="s">
        <v>142</v>
      </c>
    </row>
    <row r="12" spans="1:3" s="71" customFormat="1">
      <c r="A12" s="70">
        <f t="shared" si="0"/>
        <v>12</v>
      </c>
      <c r="B12" s="72" t="s">
        <v>109</v>
      </c>
      <c r="C12" s="2" t="s">
        <v>143</v>
      </c>
    </row>
    <row r="13" spans="1:3" s="71" customFormat="1">
      <c r="A13" s="70">
        <f t="shared" si="0"/>
        <v>13</v>
      </c>
      <c r="B13" s="72" t="s">
        <v>33</v>
      </c>
      <c r="C13" s="3" t="s">
        <v>149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95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116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110</v>
      </c>
    </row>
    <row r="25" spans="1:3" s="71" customFormat="1">
      <c r="A25" s="70">
        <f t="shared" si="0"/>
        <v>25</v>
      </c>
      <c r="B25" s="72" t="s">
        <v>44</v>
      </c>
      <c r="C25" s="170" t="s">
        <v>256</v>
      </c>
    </row>
    <row r="26" spans="1:3">
      <c r="A26" s="70">
        <f t="shared" si="0"/>
        <v>26</v>
      </c>
      <c r="B26" s="72" t="s">
        <v>45</v>
      </c>
      <c r="C26" s="171" t="s">
        <v>255</v>
      </c>
    </row>
    <row r="27" spans="1:3">
      <c r="A27" s="70">
        <f t="shared" si="0"/>
        <v>27</v>
      </c>
      <c r="B27" s="72" t="s">
        <v>46</v>
      </c>
      <c r="C27" s="171" t="str">
        <f>C26</f>
        <v xml:space="preserve"> SY-5400508-VT-DD-01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96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90</v>
      </c>
    </row>
    <row r="36" spans="1:3">
      <c r="A36" s="70">
        <f t="shared" si="0"/>
        <v>36</v>
      </c>
      <c r="B36" s="72" t="s">
        <v>56</v>
      </c>
      <c r="C36" s="81" t="s">
        <v>148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</row>
    <row r="43" spans="1:3">
      <c r="A43" s="70">
        <f t="shared" si="0"/>
        <v>43</v>
      </c>
      <c r="B43" s="72" t="s">
        <v>65</v>
      </c>
      <c r="C43" s="2" t="s">
        <v>258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173">
        <f>invoice!L33</f>
        <v>502400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90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SY-5400508-VT-DD-01</v>
      </c>
    </row>
    <row r="50" spans="1:3">
      <c r="A50" s="70">
        <f t="shared" si="0"/>
        <v>50</v>
      </c>
      <c r="B50" s="72" t="s">
        <v>70</v>
      </c>
      <c r="C50" s="7" t="s">
        <v>141</v>
      </c>
    </row>
    <row r="51" spans="1:3">
      <c r="A51" s="70">
        <f t="shared" si="0"/>
        <v>51</v>
      </c>
      <c r="B51" s="72" t="s">
        <v>71</v>
      </c>
      <c r="C51" s="7" t="s">
        <v>140</v>
      </c>
    </row>
    <row r="52" spans="1:3">
      <c r="A52" s="70">
        <f t="shared" si="0"/>
        <v>52</v>
      </c>
      <c r="B52" s="72" t="s">
        <v>72</v>
      </c>
      <c r="C52" s="2" t="s">
        <v>142</v>
      </c>
    </row>
    <row r="53" spans="1:3">
      <c r="A53" s="70">
        <f t="shared" si="0"/>
        <v>53</v>
      </c>
      <c r="B53" s="72" t="s">
        <v>73</v>
      </c>
      <c r="C53" s="2" t="s">
        <v>143</v>
      </c>
    </row>
    <row r="54" spans="1:3">
      <c r="A54" s="70">
        <f t="shared" si="0"/>
        <v>54</v>
      </c>
      <c r="B54" s="72" t="s">
        <v>74</v>
      </c>
      <c r="C54" s="3" t="s">
        <v>144</v>
      </c>
    </row>
    <row r="55" spans="1:3">
      <c r="A55" s="70">
        <f t="shared" si="0"/>
        <v>55</v>
      </c>
      <c r="B55" s="245" t="s">
        <v>75</v>
      </c>
      <c r="C55" s="171" t="s">
        <v>259</v>
      </c>
    </row>
    <row r="56" spans="1:3">
      <c r="A56" s="70">
        <f t="shared" si="0"/>
        <v>56</v>
      </c>
      <c r="B56" s="7" t="s">
        <v>76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77</v>
      </c>
      <c r="C60" s="2" t="s">
        <v>78</v>
      </c>
    </row>
    <row r="61" spans="1:3">
      <c r="A61" s="70">
        <f t="shared" si="0"/>
        <v>61</v>
      </c>
      <c r="B61" s="7" t="s">
        <v>79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111</v>
      </c>
      <c r="C63" s="90" t="s">
        <v>113</v>
      </c>
    </row>
    <row r="64" spans="1:3">
      <c r="A64" s="70">
        <f t="shared" si="0"/>
        <v>64</v>
      </c>
      <c r="B64" s="7"/>
      <c r="C64" s="90" t="s">
        <v>114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80</v>
      </c>
      <c r="C67" s="68"/>
    </row>
    <row r="68" spans="1:3">
      <c r="A68" s="70">
        <f t="shared" si="0"/>
        <v>68</v>
      </c>
      <c r="B68" s="72" t="s">
        <v>81</v>
      </c>
      <c r="C68" s="2" t="s">
        <v>105</v>
      </c>
    </row>
    <row r="69" spans="1:3">
      <c r="A69" s="70">
        <f t="shared" ref="A69:A86" si="1">A68+1</f>
        <v>69</v>
      </c>
      <c r="B69" s="7" t="s">
        <v>82</v>
      </c>
      <c r="C69" s="2" t="s">
        <v>103</v>
      </c>
    </row>
    <row r="70" spans="1:3">
      <c r="A70" s="70">
        <f t="shared" si="1"/>
        <v>70</v>
      </c>
      <c r="B70" s="7" t="s">
        <v>83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84</v>
      </c>
      <c r="C75" s="2" t="s">
        <v>101</v>
      </c>
    </row>
    <row r="76" spans="1:3">
      <c r="A76" s="70">
        <f t="shared" si="1"/>
        <v>76</v>
      </c>
      <c r="B76" s="7" t="s">
        <v>85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86</v>
      </c>
      <c r="C78" s="2" t="s">
        <v>104</v>
      </c>
    </row>
    <row r="79" spans="1:3">
      <c r="A79" s="70">
        <f t="shared" si="1"/>
        <v>79</v>
      </c>
      <c r="B79" s="7" t="s">
        <v>87</v>
      </c>
      <c r="C79" s="2" t="s">
        <v>104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88</v>
      </c>
      <c r="C81" s="77" t="s">
        <v>257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89</v>
      </c>
      <c r="C83" s="2" t="s">
        <v>100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I26" sqref="H26:I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'shipper master'!C49</f>
        <v xml:space="preserve"> SY-5400508-VT-DD-01</v>
      </c>
      <c r="H2" s="85"/>
      <c r="I2" s="82" t="str">
        <f>'shipper master'!C49</f>
        <v xml:space="preserve"> SY-5400508-VT-DD-01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99</v>
      </c>
      <c r="C6" s="82">
        <v>1</v>
      </c>
      <c r="D6" s="84"/>
      <c r="H6" s="85"/>
      <c r="I6" s="82" t="s">
        <v>99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'shipper master'!C49</f>
        <v xml:space="preserve"> SY-5400508-VT-DD-01</v>
      </c>
      <c r="H13" s="85"/>
      <c r="I13" s="82" t="str">
        <f>'shipper master'!C49</f>
        <v xml:space="preserve"> SY-5400508-VT-DD-01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99</v>
      </c>
      <c r="C17" s="82">
        <v>3</v>
      </c>
      <c r="H17" s="85"/>
      <c r="I17" s="82" t="s">
        <v>99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4"/>
  <sheetViews>
    <sheetView showZeros="0" topLeftCell="A19" zoomScale="115" zoomScaleNormal="115" workbookViewId="0">
      <selection activeCell="N38" sqref="N38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515" t="s">
        <v>29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102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SY-5400508-VT-DD-01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'shipper master'!C49</f>
        <v xml:space="preserve"> SY-5400508-VT-DD-01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May, 08 2024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8"/>
      <c r="E11" s="516" t="str">
        <f>'shipper master'!C27</f>
        <v xml:space="preserve"> SY-5400508-VT-DD-01</v>
      </c>
      <c r="F11" s="517"/>
      <c r="G11" s="517"/>
      <c r="H11" s="517"/>
      <c r="I11" s="517"/>
      <c r="J11" s="518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155" t="s">
        <v>253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516">
        <f>'shipper master'!C30</f>
        <v>0</v>
      </c>
      <c r="F13" s="517"/>
      <c r="G13" s="517"/>
      <c r="H13" s="517"/>
      <c r="I13" s="517"/>
      <c r="J13" s="518"/>
      <c r="K13" s="36" t="s">
        <v>147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516">
        <f>'shipper master'!C29</f>
        <v>0</v>
      </c>
      <c r="F15" s="517"/>
      <c r="G15" s="517"/>
      <c r="H15" s="517"/>
      <c r="I15" s="517"/>
      <c r="J15" s="518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519"/>
      <c r="F17" s="520"/>
      <c r="G17" s="520"/>
      <c r="H17" s="520"/>
      <c r="I17" s="520"/>
      <c r="J17" s="521"/>
      <c r="K17" s="34"/>
      <c r="L17" s="5"/>
    </row>
    <row r="18" spans="1:12" ht="13.2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2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2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25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159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160">
        <f>'NARITA '!E39</f>
        <v>244.5</v>
      </c>
      <c r="K27" s="237" t="str">
        <f>'NARITA '!F39</f>
        <v>M.</v>
      </c>
      <c r="L27" s="162">
        <f>'NARITA '!H39</f>
        <v>244420</v>
      </c>
    </row>
    <row r="28" spans="1:12" s="1" customFormat="1" ht="13.4" customHeight="1">
      <c r="A28" s="19"/>
      <c r="B28" s="131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60">
        <f>'NARITA (2)'!E26</f>
        <v>1462</v>
      </c>
      <c r="K28" s="237" t="str">
        <f>'NARITA (2)'!F26</f>
        <v>M.</v>
      </c>
      <c r="L28" s="162">
        <f>'NARITA (2)'!H26</f>
        <v>87880</v>
      </c>
    </row>
    <row r="29" spans="1:12" s="1" customFormat="1" ht="13.4" customHeight="1">
      <c r="A29" s="19"/>
      <c r="B29" s="131"/>
      <c r="C29" s="3"/>
      <c r="D29" s="7"/>
      <c r="E29" s="3"/>
      <c r="F29" s="3"/>
      <c r="G29" s="3"/>
      <c r="H29" s="3"/>
      <c r="I29" s="3"/>
      <c r="J29" s="163">
        <f>'NARITA '!E40</f>
        <v>1001</v>
      </c>
      <c r="K29" s="237" t="str">
        <f>'NARITA '!F40</f>
        <v>PCS.</v>
      </c>
      <c r="L29" s="172">
        <f>'NARITA '!H40</f>
        <v>47000</v>
      </c>
    </row>
    <row r="30" spans="1:12" s="1" customFormat="1" ht="13.4" customHeight="1">
      <c r="A30" s="19"/>
      <c r="B30" s="131"/>
      <c r="C30" s="3"/>
      <c r="D30" s="7"/>
      <c r="E30" s="3"/>
      <c r="F30" s="3"/>
      <c r="G30" s="3"/>
      <c r="H30" s="3"/>
      <c r="I30" s="3"/>
      <c r="J30" s="163">
        <f>'NARITA (2)'!E27</f>
        <v>1950</v>
      </c>
      <c r="K30" s="237" t="str">
        <f>'NARITA (2)'!F27</f>
        <v>PCS.</v>
      </c>
      <c r="L30" s="172">
        <f>'NARITA (2)'!H27</f>
        <v>84500</v>
      </c>
    </row>
    <row r="31" spans="1:12" s="1" customFormat="1" ht="13.4" customHeight="1">
      <c r="A31" s="19"/>
      <c r="B31" s="131"/>
      <c r="C31" s="3"/>
      <c r="D31" s="7"/>
      <c r="E31" s="3"/>
      <c r="F31" s="3"/>
      <c r="G31" s="3"/>
      <c r="H31" s="3"/>
      <c r="I31" s="3"/>
      <c r="J31" s="163">
        <f>'NARITA '!E41</f>
        <v>0</v>
      </c>
      <c r="K31" s="161" t="s">
        <v>146</v>
      </c>
      <c r="L31" s="172">
        <f>'NARITA '!H41</f>
        <v>0</v>
      </c>
    </row>
    <row r="32" spans="1:12" s="1" customFormat="1" ht="13.4" customHeight="1">
      <c r="A32" s="27"/>
      <c r="B32" s="9"/>
      <c r="C32" s="8"/>
      <c r="D32" s="9"/>
      <c r="E32" s="8"/>
      <c r="F32" s="8"/>
      <c r="G32" s="8"/>
      <c r="H32" s="8"/>
      <c r="I32" s="8"/>
      <c r="J32" s="163">
        <f>'NARITA (2)'!E28</f>
        <v>370</v>
      </c>
      <c r="K32" s="246" t="s">
        <v>146</v>
      </c>
      <c r="L32" s="164">
        <f>'NARITA (2)'!H28</f>
        <v>38600</v>
      </c>
    </row>
    <row r="33" spans="1:12" s="1" customFormat="1" ht="17.25" customHeight="1" thickBot="1">
      <c r="A33" s="20"/>
      <c r="B33" s="21" t="s">
        <v>27</v>
      </c>
      <c r="C33" s="220">
        <f>J28+J27</f>
        <v>1706.5</v>
      </c>
      <c r="D33" s="220" t="s">
        <v>117</v>
      </c>
      <c r="E33" s="522">
        <f>J29+J30</f>
        <v>2951</v>
      </c>
      <c r="F33" s="522"/>
      <c r="G33" s="522"/>
      <c r="H33" s="165">
        <f>H29</f>
        <v>0</v>
      </c>
      <c r="I33" s="166" t="s">
        <v>64</v>
      </c>
      <c r="J33" s="165">
        <f>J31+J32</f>
        <v>370</v>
      </c>
      <c r="K33" s="166" t="s">
        <v>146</v>
      </c>
      <c r="L33" s="167">
        <f>SUM(L27:L32)</f>
        <v>502400</v>
      </c>
    </row>
    <row r="34" spans="1:12" s="1" customFormat="1" ht="13.4" customHeight="1" thickTop="1">
      <c r="A34" s="22"/>
      <c r="B34" s="23"/>
      <c r="C34" s="3"/>
      <c r="D34" s="57"/>
      <c r="E34" s="3"/>
      <c r="F34" s="57"/>
      <c r="G34" s="3"/>
      <c r="H34" s="3"/>
      <c r="I34" s="3"/>
      <c r="J34" s="19"/>
      <c r="K34" s="46"/>
      <c r="L34" s="22"/>
    </row>
    <row r="35" spans="1:12" s="1" customFormat="1" ht="13.4" customHeight="1">
      <c r="A35" s="3"/>
      <c r="B35" s="7"/>
      <c r="C35" s="3"/>
      <c r="D35" s="3"/>
      <c r="E35" s="3"/>
      <c r="F35" s="3"/>
      <c r="G35" s="3"/>
      <c r="H35" s="3"/>
      <c r="I35" s="3"/>
      <c r="J35" s="58"/>
      <c r="K35" s="46"/>
      <c r="L35" s="56"/>
    </row>
    <row r="36" spans="1:12" s="1" customFormat="1" ht="13.4" customHeight="1">
      <c r="A36" s="3" t="str">
        <f>'shipper master'!C63</f>
        <v>" THESE GOODS WILL BE RETURN TO JAPAN</v>
      </c>
      <c r="B36" s="91"/>
      <c r="C36" s="91"/>
      <c r="D36" s="91"/>
      <c r="E36" s="91"/>
      <c r="F36" s="3"/>
      <c r="G36" s="3"/>
      <c r="H36" s="3" t="s">
        <v>97</v>
      </c>
      <c r="I36" s="3"/>
      <c r="J36" s="58" t="s">
        <v>112</v>
      </c>
      <c r="K36" s="46"/>
      <c r="L36" s="3"/>
    </row>
    <row r="37" spans="1:12" s="1" customFormat="1" ht="13.4" customHeight="1">
      <c r="A37" s="514" t="str">
        <f>'shipper master'!C64</f>
        <v xml:space="preserve">  AFTER MANUFACTURED AT VIET NAM "</v>
      </c>
      <c r="B37" s="514"/>
      <c r="C37" s="514"/>
      <c r="D37" s="7"/>
      <c r="E37" s="3"/>
      <c r="F37" s="3"/>
      <c r="G37" s="3"/>
      <c r="H37" s="3" t="s">
        <v>98</v>
      </c>
      <c r="I37" s="3"/>
      <c r="J37" s="58" t="s">
        <v>115</v>
      </c>
      <c r="K37" s="46"/>
      <c r="L37" s="56"/>
    </row>
    <row r="38" spans="1:12" s="1" customFormat="1" ht="13.4" customHeight="1">
      <c r="A38" s="3"/>
      <c r="B38" s="7"/>
      <c r="C38" s="7">
        <f>'shipper master'!C58</f>
        <v>0</v>
      </c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 t="str">
        <f>'shipper master'!C60</f>
        <v>COUNTRY OF ORIGIN : JAPAN</v>
      </c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7"/>
      <c r="B40" s="7"/>
      <c r="C40" s="7"/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32" t="s">
        <v>134</v>
      </c>
      <c r="B41" s="109"/>
      <c r="C41" s="229" t="s">
        <v>254</v>
      </c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132" t="s">
        <v>135</v>
      </c>
      <c r="B42" s="109"/>
      <c r="C42" s="158" t="s">
        <v>155</v>
      </c>
      <c r="D42" s="7"/>
      <c r="E42" s="3"/>
      <c r="F42" s="3"/>
      <c r="G42" s="3"/>
      <c r="H42" s="3"/>
      <c r="I42" s="3"/>
      <c r="J42" s="19"/>
      <c r="K42" s="46"/>
      <c r="L42" s="3"/>
    </row>
    <row r="43" spans="1:12" s="1" customFormat="1" ht="13.4" customHeight="1">
      <c r="A43" s="45"/>
      <c r="B43" s="17"/>
      <c r="C43" s="69"/>
      <c r="D43" s="17"/>
      <c r="E43" s="67"/>
      <c r="F43" s="67"/>
      <c r="G43" s="67"/>
      <c r="H43" s="3"/>
      <c r="I43" s="3"/>
      <c r="J43" s="19"/>
      <c r="K43" s="46"/>
      <c r="L43" s="3"/>
    </row>
    <row r="44" spans="1:12" ht="18" customHeight="1">
      <c r="A44" s="45"/>
      <c r="B44" s="5"/>
      <c r="C44" s="5"/>
      <c r="D44" s="5"/>
      <c r="E44" s="5"/>
      <c r="F44" s="5"/>
      <c r="G44" s="14"/>
      <c r="H44" s="5"/>
      <c r="I44" s="5"/>
      <c r="J44" s="1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48"/>
      <c r="C46" s="5"/>
      <c r="D46" s="5"/>
      <c r="E46" s="5"/>
      <c r="F46" s="5"/>
      <c r="G46" s="5"/>
      <c r="H46" s="5"/>
      <c r="I46" s="5"/>
      <c r="J46" s="24"/>
      <c r="K46" s="47"/>
      <c r="L46" s="5"/>
    </row>
    <row r="47" spans="1:12" ht="13.4" customHeight="1">
      <c r="A47" s="5"/>
      <c r="B47" s="5"/>
      <c r="C47" s="5"/>
      <c r="D47" s="5"/>
      <c r="E47" s="5"/>
      <c r="F47" s="5"/>
      <c r="G47" s="37"/>
      <c r="H47" s="37"/>
      <c r="I47" s="37"/>
      <c r="J47" s="49"/>
      <c r="K47" s="50"/>
      <c r="L47" s="37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 ht="13.4" customHeight="1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47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24"/>
      <c r="K74" s="51"/>
      <c r="L74" s="5"/>
    </row>
    <row r="75" spans="1:12">
      <c r="J75" s="25"/>
      <c r="K75" s="11"/>
    </row>
    <row r="76" spans="1:12">
      <c r="J76" s="25"/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  <row r="94" spans="11:11">
      <c r="K94" s="11"/>
    </row>
  </sheetData>
  <mergeCells count="7">
    <mergeCell ref="A37:C37"/>
    <mergeCell ref="A1:L1"/>
    <mergeCell ref="E15:J15"/>
    <mergeCell ref="E11:J11"/>
    <mergeCell ref="E17:J17"/>
    <mergeCell ref="E13:J13"/>
    <mergeCell ref="E33:G33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N94"/>
  <sheetViews>
    <sheetView tabSelected="1" view="pageBreakPreview" topLeftCell="A7" zoomScale="80" zoomScaleNormal="90" zoomScaleSheetLayoutView="80" workbookViewId="0">
      <selection activeCell="B21" sqref="B21"/>
    </sheetView>
  </sheetViews>
  <sheetFormatPr defaultRowHeight="15"/>
  <cols>
    <col min="1" max="1" width="7.90625" style="70" customWidth="1"/>
    <col min="2" max="2" width="41.90625" style="131" customWidth="1"/>
    <col min="3" max="3" width="24.08984375" style="70" customWidth="1"/>
    <col min="4" max="4" width="50.81640625" style="3" customWidth="1"/>
    <col min="5" max="5" width="10.1796875" style="70" customWidth="1"/>
    <col min="6" max="6" width="5.6328125" style="70" customWidth="1"/>
    <col min="7" max="7" width="13.453125" style="70" customWidth="1"/>
    <col min="8" max="8" width="13.90625" style="70" customWidth="1"/>
    <col min="9" max="9" width="36" style="70" customWidth="1"/>
    <col min="10" max="10" width="14.453125" style="70" customWidth="1"/>
    <col min="11" max="11" width="11.453125" style="70" customWidth="1"/>
    <col min="12" max="12" width="25.36328125" style="70" customWidth="1"/>
    <col min="13" max="13" width="10.08984375" style="70" customWidth="1"/>
    <col min="14" max="14" width="7" style="70" customWidth="1"/>
  </cols>
  <sheetData>
    <row r="1" spans="1:14">
      <c r="A1" s="26"/>
      <c r="I1" s="26"/>
      <c r="J1" s="26"/>
      <c r="K1" s="26"/>
      <c r="L1" s="26"/>
      <c r="M1" s="26"/>
      <c r="N1" s="26"/>
    </row>
    <row r="2" spans="1:14" ht="15.5" thickBot="1">
      <c r="A2" s="523" t="s">
        <v>132</v>
      </c>
      <c r="B2" s="523"/>
      <c r="C2" s="523"/>
      <c r="D2" s="523"/>
      <c r="E2" s="523"/>
      <c r="F2" s="523"/>
      <c r="G2" s="523"/>
      <c r="H2" s="523"/>
      <c r="I2" s="241"/>
      <c r="L2" s="103"/>
      <c r="M2" s="103"/>
      <c r="N2" s="103"/>
    </row>
    <row r="3" spans="1:14" ht="15.5" thickBot="1">
      <c r="A3" s="242"/>
      <c r="B3" s="243"/>
      <c r="C3" s="242"/>
      <c r="D3" s="242"/>
      <c r="E3" s="242"/>
      <c r="F3" s="242"/>
      <c r="G3" s="242"/>
      <c r="H3" s="242"/>
      <c r="I3" s="241"/>
      <c r="L3" s="103"/>
      <c r="M3" s="103"/>
      <c r="N3" s="103"/>
    </row>
    <row r="4" spans="1:14" ht="21.75" customHeight="1" thickBot="1">
      <c r="A4" s="169" t="s">
        <v>60</v>
      </c>
      <c r="B4" s="145" t="s">
        <v>130</v>
      </c>
      <c r="C4" s="133" t="s">
        <v>119</v>
      </c>
      <c r="D4" s="134" t="s">
        <v>120</v>
      </c>
      <c r="E4" s="133" t="s">
        <v>121</v>
      </c>
      <c r="F4" s="524" t="s">
        <v>122</v>
      </c>
      <c r="G4" s="525"/>
      <c r="H4" s="135" t="s">
        <v>123</v>
      </c>
      <c r="I4" s="123" t="s">
        <v>124</v>
      </c>
      <c r="J4" s="119" t="s">
        <v>125</v>
      </c>
      <c r="K4" s="120" t="s">
        <v>126</v>
      </c>
      <c r="L4" s="124" t="s">
        <v>150</v>
      </c>
      <c r="M4" s="124" t="s">
        <v>127</v>
      </c>
      <c r="N4" s="125" t="s">
        <v>128</v>
      </c>
    </row>
    <row r="5" spans="1:14">
      <c r="A5" s="252"/>
      <c r="B5" s="146"/>
      <c r="C5" s="100"/>
      <c r="D5" s="136"/>
      <c r="E5" s="100"/>
      <c r="F5" s="100"/>
      <c r="G5" s="98"/>
      <c r="H5" s="98"/>
      <c r="I5" s="253"/>
      <c r="J5" s="112"/>
      <c r="K5" s="112"/>
      <c r="L5" s="112"/>
      <c r="M5" s="112"/>
      <c r="N5" s="254"/>
    </row>
    <row r="6" spans="1:14">
      <c r="A6" s="255"/>
      <c r="B6" s="256" t="s">
        <v>131</v>
      </c>
      <c r="C6" s="100"/>
      <c r="D6" s="106" t="str">
        <f>[2]invoice!B24</f>
        <v>FABRIC &amp; PARTS FOR WEAR &amp; SAMPLE CLOTHES</v>
      </c>
      <c r="E6" s="98"/>
      <c r="F6" s="98"/>
      <c r="G6" s="316" t="str">
        <f>'[1]shipper master'!C48</f>
        <v>F.O.B. TOKYO IN YEN</v>
      </c>
      <c r="H6" s="98"/>
      <c r="I6" s="257"/>
      <c r="J6" s="94"/>
      <c r="K6" s="94"/>
      <c r="L6" s="94"/>
      <c r="M6" s="94"/>
      <c r="N6" s="258"/>
    </row>
    <row r="7" spans="1:14" ht="15.5" thickBot="1">
      <c r="A7" s="259"/>
      <c r="B7" s="149"/>
      <c r="C7" s="150"/>
      <c r="D7" s="151" t="s">
        <v>151</v>
      </c>
      <c r="E7" s="150"/>
      <c r="F7" s="150"/>
      <c r="G7" s="317"/>
      <c r="H7" s="104"/>
      <c r="I7" s="260"/>
      <c r="J7" s="261"/>
      <c r="K7" s="261"/>
      <c r="L7" s="261"/>
      <c r="M7" s="262"/>
      <c r="N7" s="263"/>
    </row>
    <row r="8" spans="1:14" ht="15.4" customHeight="1">
      <c r="A8" s="526" t="s">
        <v>177</v>
      </c>
      <c r="B8" s="264"/>
      <c r="C8" s="264"/>
      <c r="D8" s="248" t="s">
        <v>171</v>
      </c>
      <c r="E8" s="287"/>
      <c r="F8" s="287"/>
      <c r="G8" s="318"/>
      <c r="H8" s="148"/>
      <c r="I8" s="305"/>
      <c r="J8" s="383"/>
      <c r="K8" s="148"/>
      <c r="L8" s="148"/>
      <c r="M8" s="148"/>
      <c r="N8" s="529">
        <v>2</v>
      </c>
    </row>
    <row r="9" spans="1:14">
      <c r="A9" s="527"/>
      <c r="B9" s="265" t="s">
        <v>167</v>
      </c>
      <c r="C9" s="266" t="s">
        <v>170</v>
      </c>
      <c r="D9" s="267" t="s">
        <v>139</v>
      </c>
      <c r="E9" s="288">
        <v>138</v>
      </c>
      <c r="F9" s="142" t="s">
        <v>117</v>
      </c>
      <c r="G9" s="377">
        <v>590</v>
      </c>
      <c r="H9" s="378">
        <f>E9*G9</f>
        <v>81420</v>
      </c>
      <c r="I9" s="314"/>
      <c r="J9" s="384"/>
      <c r="K9" s="98"/>
      <c r="L9" s="313"/>
      <c r="M9" s="98"/>
      <c r="N9" s="530"/>
    </row>
    <row r="10" spans="1:14">
      <c r="A10" s="527"/>
      <c r="B10" s="126" t="s">
        <v>139</v>
      </c>
      <c r="C10" s="266"/>
      <c r="D10" s="267" t="s">
        <v>172</v>
      </c>
      <c r="E10" s="288"/>
      <c r="F10" s="289"/>
      <c r="G10" s="377"/>
      <c r="H10" s="378"/>
      <c r="I10" s="381" t="s">
        <v>224</v>
      </c>
      <c r="J10" s="385"/>
      <c r="K10" s="98"/>
      <c r="L10" s="98"/>
      <c r="M10" s="98"/>
      <c r="N10" s="530"/>
    </row>
    <row r="11" spans="1:14" ht="16.5">
      <c r="A11" s="527"/>
      <c r="B11" s="269" t="s">
        <v>168</v>
      </c>
      <c r="C11" s="266"/>
      <c r="D11" s="268" t="s">
        <v>173</v>
      </c>
      <c r="E11" s="289"/>
      <c r="F11" s="289"/>
      <c r="G11" s="377"/>
      <c r="H11" s="378"/>
      <c r="I11" s="89"/>
      <c r="J11" s="386"/>
      <c r="K11" s="98"/>
      <c r="L11" s="98"/>
      <c r="M11" s="98"/>
      <c r="N11" s="530"/>
    </row>
    <row r="12" spans="1:14" ht="15.5" thickBot="1">
      <c r="A12" s="528"/>
      <c r="B12" s="296" t="s">
        <v>169</v>
      </c>
      <c r="C12" s="270"/>
      <c r="D12" s="271"/>
      <c r="E12" s="290"/>
      <c r="F12" s="290"/>
      <c r="G12" s="379"/>
      <c r="H12" s="380"/>
      <c r="I12" s="236"/>
      <c r="J12" s="387"/>
      <c r="K12" s="101"/>
      <c r="L12" s="101"/>
      <c r="M12" s="101"/>
      <c r="N12" s="531"/>
    </row>
    <row r="13" spans="1:14" ht="15.5" thickBot="1">
      <c r="A13" s="374"/>
      <c r="B13" s="312"/>
      <c r="C13" s="310"/>
      <c r="D13" s="307"/>
      <c r="E13" s="311"/>
      <c r="F13" s="311"/>
      <c r="G13" s="420"/>
      <c r="H13" s="121"/>
      <c r="I13" s="89"/>
      <c r="J13" s="382"/>
      <c r="K13" s="89"/>
      <c r="L13" s="89"/>
      <c r="M13" s="89"/>
      <c r="N13" s="244"/>
    </row>
    <row r="14" spans="1:14" ht="15.4" customHeight="1">
      <c r="A14" s="446"/>
      <c r="B14" s="264"/>
      <c r="C14" s="264"/>
      <c r="D14" s="248" t="s">
        <v>191</v>
      </c>
      <c r="E14" s="287"/>
      <c r="F14" s="287"/>
      <c r="G14" s="376"/>
      <c r="H14" s="250"/>
      <c r="I14" s="534" t="s">
        <v>225</v>
      </c>
      <c r="J14" s="461"/>
      <c r="K14" s="465"/>
      <c r="L14" s="537" t="s">
        <v>229</v>
      </c>
      <c r="M14" s="305"/>
      <c r="N14" s="529">
        <v>4</v>
      </c>
    </row>
    <row r="15" spans="1:14">
      <c r="A15" s="532" t="s">
        <v>178</v>
      </c>
      <c r="B15" s="265" t="s">
        <v>179</v>
      </c>
      <c r="C15" s="266" t="s">
        <v>180</v>
      </c>
      <c r="D15" s="267"/>
      <c r="E15" s="288">
        <v>50</v>
      </c>
      <c r="F15" s="138" t="s">
        <v>117</v>
      </c>
      <c r="G15" s="377">
        <v>1500</v>
      </c>
      <c r="H15" s="378">
        <f>E15*G15</f>
        <v>75000</v>
      </c>
      <c r="I15" s="535"/>
      <c r="J15" s="462"/>
      <c r="K15" s="457"/>
      <c r="L15" s="538"/>
      <c r="M15" s="89"/>
      <c r="N15" s="530"/>
    </row>
    <row r="16" spans="1:14">
      <c r="A16" s="532"/>
      <c r="B16" s="265" t="s">
        <v>174</v>
      </c>
      <c r="C16" s="266" t="s">
        <v>181</v>
      </c>
      <c r="D16" s="267"/>
      <c r="E16" s="288">
        <v>33</v>
      </c>
      <c r="F16" s="138" t="s">
        <v>117</v>
      </c>
      <c r="G16" s="377">
        <v>1500</v>
      </c>
      <c r="H16" s="378">
        <f>E16*G16</f>
        <v>49500</v>
      </c>
      <c r="I16" s="535"/>
      <c r="J16" s="463"/>
      <c r="K16" s="457"/>
      <c r="L16" s="538"/>
      <c r="M16" s="89"/>
      <c r="N16" s="530"/>
    </row>
    <row r="17" spans="1:14">
      <c r="A17" s="532"/>
      <c r="B17" s="265" t="s">
        <v>175</v>
      </c>
      <c r="C17" s="266"/>
      <c r="D17" s="268"/>
      <c r="E17" s="289"/>
      <c r="F17" s="289"/>
      <c r="G17" s="377"/>
      <c r="H17" s="378"/>
      <c r="I17" s="535"/>
      <c r="J17" s="388"/>
      <c r="K17" s="457"/>
      <c r="L17" s="538"/>
      <c r="M17" s="89"/>
      <c r="N17" s="530"/>
    </row>
    <row r="18" spans="1:14" ht="17" thickBot="1">
      <c r="A18" s="532"/>
      <c r="B18" s="447" t="s">
        <v>176</v>
      </c>
      <c r="C18" s="270"/>
      <c r="D18" s="271"/>
      <c r="E18" s="290"/>
      <c r="F18" s="290"/>
      <c r="G18" s="379"/>
      <c r="H18" s="380"/>
      <c r="I18" s="535"/>
      <c r="J18" s="464"/>
      <c r="K18" s="458"/>
      <c r="L18" s="539"/>
      <c r="M18" s="236"/>
      <c r="N18" s="530"/>
    </row>
    <row r="19" spans="1:14" ht="15.5" thickBot="1">
      <c r="A19" s="532"/>
      <c r="B19" s="375"/>
      <c r="C19" s="310"/>
      <c r="D19" s="307"/>
      <c r="E19" s="311"/>
      <c r="F19" s="311"/>
      <c r="G19" s="420"/>
      <c r="H19" s="121"/>
      <c r="I19" s="535"/>
      <c r="J19" s="388"/>
      <c r="K19" s="89"/>
      <c r="M19" s="89"/>
      <c r="N19" s="530"/>
    </row>
    <row r="20" spans="1:14" ht="15" customHeight="1">
      <c r="A20" s="532"/>
      <c r="B20" s="558"/>
      <c r="C20" s="248"/>
      <c r="D20" s="248" t="s">
        <v>190</v>
      </c>
      <c r="E20" s="559"/>
      <c r="F20" s="559"/>
      <c r="G20" s="560"/>
      <c r="H20" s="561"/>
      <c r="I20" s="535"/>
      <c r="J20" s="461"/>
      <c r="K20" s="467"/>
      <c r="L20" s="540" t="s">
        <v>228</v>
      </c>
      <c r="M20" s="467"/>
      <c r="N20" s="530"/>
    </row>
    <row r="21" spans="1:14" ht="15.5" customHeight="1">
      <c r="A21" s="532"/>
      <c r="B21" s="562" t="s">
        <v>183</v>
      </c>
      <c r="C21" s="563" t="s">
        <v>186</v>
      </c>
      <c r="D21" s="563" t="s">
        <v>145</v>
      </c>
      <c r="E21" s="564">
        <v>5</v>
      </c>
      <c r="F21" s="565" t="s">
        <v>117</v>
      </c>
      <c r="G21" s="566">
        <v>1000</v>
      </c>
      <c r="H21" s="567">
        <f>E21*G21</f>
        <v>5000</v>
      </c>
      <c r="I21" s="535"/>
      <c r="J21" s="462"/>
      <c r="K21" s="422"/>
      <c r="L21" s="541"/>
      <c r="M21" s="422"/>
      <c r="N21" s="530"/>
    </row>
    <row r="22" spans="1:14" ht="15" customHeight="1">
      <c r="A22" s="532"/>
      <c r="B22" s="568" t="s">
        <v>184</v>
      </c>
      <c r="C22" s="563" t="s">
        <v>187</v>
      </c>
      <c r="D22" s="563" t="s">
        <v>188</v>
      </c>
      <c r="E22" s="564">
        <v>3.5</v>
      </c>
      <c r="F22" s="565" t="s">
        <v>117</v>
      </c>
      <c r="G22" s="566">
        <v>1000</v>
      </c>
      <c r="H22" s="567">
        <f>E22*G22</f>
        <v>3500</v>
      </c>
      <c r="I22" s="535"/>
      <c r="J22" s="463"/>
      <c r="K22" s="422"/>
      <c r="L22" s="541"/>
      <c r="M22" s="422"/>
      <c r="N22" s="530"/>
    </row>
    <row r="23" spans="1:14" ht="16.25" customHeight="1">
      <c r="A23" s="532"/>
      <c r="B23" s="569" t="s">
        <v>185</v>
      </c>
      <c r="C23" s="570"/>
      <c r="D23" s="570" t="s">
        <v>189</v>
      </c>
      <c r="E23" s="571"/>
      <c r="F23" s="571"/>
      <c r="G23" s="566"/>
      <c r="H23" s="567"/>
      <c r="I23" s="535"/>
      <c r="J23" s="388"/>
      <c r="K23" s="422"/>
      <c r="L23" s="541"/>
      <c r="M23" s="422"/>
      <c r="N23" s="530"/>
    </row>
    <row r="24" spans="1:14" ht="15" customHeight="1" thickBot="1">
      <c r="A24" s="532"/>
      <c r="B24" s="572" t="s">
        <v>156</v>
      </c>
      <c r="C24" s="573"/>
      <c r="D24" s="573"/>
      <c r="E24" s="574"/>
      <c r="F24" s="574"/>
      <c r="G24" s="575"/>
      <c r="H24" s="576"/>
      <c r="I24" s="535"/>
      <c r="J24" s="388"/>
      <c r="K24" s="422"/>
      <c r="L24" s="541"/>
      <c r="M24" s="422"/>
      <c r="N24" s="530"/>
    </row>
    <row r="25" spans="1:14" ht="15.5" thickBot="1">
      <c r="A25" s="532"/>
      <c r="B25" s="423"/>
      <c r="C25" s="424"/>
      <c r="D25" s="425"/>
      <c r="E25" s="426"/>
      <c r="F25" s="426"/>
      <c r="G25" s="427"/>
      <c r="H25" s="428"/>
      <c r="I25" s="535"/>
      <c r="J25" s="388"/>
      <c r="K25" s="422"/>
      <c r="L25" s="541"/>
      <c r="M25" s="89"/>
      <c r="N25" s="530"/>
    </row>
    <row r="26" spans="1:14" ht="15" customHeight="1">
      <c r="A26" s="532"/>
      <c r="B26" s="264"/>
      <c r="C26" s="370"/>
      <c r="D26" s="248" t="s">
        <v>221</v>
      </c>
      <c r="E26" s="287"/>
      <c r="F26" s="287"/>
      <c r="G26" s="376"/>
      <c r="H26" s="250"/>
      <c r="I26" s="535"/>
      <c r="J26" s="463"/>
      <c r="K26" s="422"/>
      <c r="L26" s="541"/>
      <c r="M26" s="422"/>
      <c r="N26" s="530"/>
    </row>
    <row r="27" spans="1:14" ht="16.25" customHeight="1">
      <c r="A27" s="532"/>
      <c r="B27" s="440" t="s">
        <v>217</v>
      </c>
      <c r="C27" s="441" t="s">
        <v>219</v>
      </c>
      <c r="D27" s="440" t="s">
        <v>216</v>
      </c>
      <c r="E27" s="442">
        <v>500</v>
      </c>
      <c r="F27" s="138" t="s">
        <v>118</v>
      </c>
      <c r="G27" s="443">
        <v>45</v>
      </c>
      <c r="H27" s="444">
        <f t="shared" ref="H27" si="0">E27*G27</f>
        <v>22500</v>
      </c>
      <c r="I27" s="535"/>
      <c r="J27" s="388"/>
      <c r="K27" s="422"/>
      <c r="L27" s="541"/>
      <c r="M27" s="422"/>
      <c r="N27" s="530"/>
    </row>
    <row r="28" spans="1:14" ht="16.25" customHeight="1" thickBot="1">
      <c r="A28" s="532"/>
      <c r="B28" s="430" t="s">
        <v>218</v>
      </c>
      <c r="C28" s="438" t="s">
        <v>220</v>
      </c>
      <c r="D28" s="430" t="s">
        <v>216</v>
      </c>
      <c r="E28" s="431">
        <v>500</v>
      </c>
      <c r="F28" s="419" t="s">
        <v>118</v>
      </c>
      <c r="G28" s="432">
        <v>45</v>
      </c>
      <c r="H28" s="433">
        <f t="shared" ref="H28:H30" si="1">E28*G28</f>
        <v>22500</v>
      </c>
      <c r="I28" s="535"/>
      <c r="J28" s="388"/>
      <c r="K28" s="422"/>
      <c r="L28" s="541"/>
      <c r="M28" s="422"/>
      <c r="N28" s="530"/>
    </row>
    <row r="29" spans="1:14" ht="15.5" thickBot="1">
      <c r="A29" s="532"/>
      <c r="B29" s="448"/>
      <c r="C29" s="449"/>
      <c r="D29" s="450"/>
      <c r="E29" s="451"/>
      <c r="F29" s="452"/>
      <c r="G29" s="453"/>
      <c r="H29" s="453"/>
      <c r="I29" s="535"/>
      <c r="J29" s="388"/>
      <c r="K29" s="422"/>
      <c r="L29" s="541"/>
      <c r="M29" s="445"/>
      <c r="N29" s="530"/>
    </row>
    <row r="30" spans="1:14" ht="15" customHeight="1" thickBot="1">
      <c r="A30" s="533"/>
      <c r="B30" s="329" t="s">
        <v>222</v>
      </c>
      <c r="C30" s="306"/>
      <c r="D30" s="454" t="s">
        <v>223</v>
      </c>
      <c r="E30" s="455">
        <v>1</v>
      </c>
      <c r="F30" s="419" t="s">
        <v>118</v>
      </c>
      <c r="G30" s="439">
        <v>2000</v>
      </c>
      <c r="H30" s="439">
        <f t="shared" si="1"/>
        <v>2000</v>
      </c>
      <c r="I30" s="536"/>
      <c r="J30" s="464"/>
      <c r="K30" s="466"/>
      <c r="L30" s="542"/>
      <c r="M30" s="460"/>
      <c r="N30" s="531"/>
    </row>
    <row r="31" spans="1:14" ht="15.5" thickBot="1">
      <c r="A31" s="374"/>
      <c r="B31" s="375"/>
      <c r="C31" s="310"/>
      <c r="D31" s="307"/>
      <c r="E31" s="311"/>
      <c r="F31" s="311"/>
      <c r="G31" s="420"/>
      <c r="H31" s="121"/>
      <c r="I31" s="456"/>
      <c r="J31" s="382"/>
      <c r="K31" s="89"/>
      <c r="L31" s="89"/>
      <c r="M31" s="89"/>
      <c r="N31" s="244"/>
    </row>
    <row r="32" spans="1:14" ht="15.4" customHeight="1">
      <c r="A32" s="526" t="s">
        <v>182</v>
      </c>
      <c r="B32" s="264"/>
      <c r="C32" s="264"/>
      <c r="D32" s="248" t="s">
        <v>248</v>
      </c>
      <c r="E32" s="287"/>
      <c r="F32" s="287"/>
      <c r="G32" s="318"/>
      <c r="H32" s="148"/>
      <c r="I32" s="305"/>
      <c r="J32" s="383"/>
      <c r="K32" s="148"/>
      <c r="L32" s="148"/>
      <c r="M32" s="148"/>
      <c r="N32" s="529">
        <v>1</v>
      </c>
    </row>
    <row r="33" spans="1:14">
      <c r="A33" s="527"/>
      <c r="B33" s="265" t="s">
        <v>242</v>
      </c>
      <c r="C33" s="266" t="s">
        <v>245</v>
      </c>
      <c r="D33" s="267" t="s">
        <v>139</v>
      </c>
      <c r="E33" s="288">
        <v>5</v>
      </c>
      <c r="F33" s="142" t="s">
        <v>117</v>
      </c>
      <c r="G33" s="377">
        <v>2000</v>
      </c>
      <c r="H33" s="378">
        <f>E33*G33</f>
        <v>10000</v>
      </c>
      <c r="I33" s="314"/>
      <c r="J33" s="384"/>
      <c r="K33" s="98"/>
      <c r="L33" s="313"/>
      <c r="M33" s="98"/>
      <c r="N33" s="530"/>
    </row>
    <row r="34" spans="1:14">
      <c r="A34" s="527"/>
      <c r="B34" s="126" t="s">
        <v>139</v>
      </c>
      <c r="C34" s="266" t="s">
        <v>246</v>
      </c>
      <c r="D34" s="267" t="s">
        <v>249</v>
      </c>
      <c r="E34" s="288">
        <v>5</v>
      </c>
      <c r="F34" s="142" t="s">
        <v>117</v>
      </c>
      <c r="G34" s="377">
        <v>2000</v>
      </c>
      <c r="H34" s="378">
        <f t="shared" ref="H34:H35" si="2">E34*G34</f>
        <v>10000</v>
      </c>
      <c r="I34" s="381" t="s">
        <v>252</v>
      </c>
      <c r="J34" s="385"/>
      <c r="K34" s="98"/>
      <c r="L34" s="98"/>
      <c r="M34" s="98"/>
      <c r="N34" s="530"/>
    </row>
    <row r="35" spans="1:14" ht="16.5">
      <c r="A35" s="527"/>
      <c r="B35" s="269" t="s">
        <v>243</v>
      </c>
      <c r="C35" s="266" t="s">
        <v>247</v>
      </c>
      <c r="D35" s="268" t="s">
        <v>250</v>
      </c>
      <c r="E35" s="288">
        <v>5</v>
      </c>
      <c r="F35" s="142" t="s">
        <v>117</v>
      </c>
      <c r="G35" s="377">
        <v>2000</v>
      </c>
      <c r="H35" s="378">
        <f t="shared" si="2"/>
        <v>10000</v>
      </c>
      <c r="I35" s="89"/>
      <c r="J35" s="386"/>
      <c r="K35" s="98"/>
      <c r="L35" s="98"/>
      <c r="M35" s="98"/>
      <c r="N35" s="530"/>
    </row>
    <row r="36" spans="1:14" ht="15.5" thickBot="1">
      <c r="A36" s="528"/>
      <c r="B36" s="296" t="s">
        <v>244</v>
      </c>
      <c r="C36" s="270"/>
      <c r="D36" s="271"/>
      <c r="E36" s="290"/>
      <c r="F36" s="290"/>
      <c r="G36" s="379"/>
      <c r="H36" s="380"/>
      <c r="I36" s="236"/>
      <c r="J36" s="387"/>
      <c r="K36" s="101"/>
      <c r="L36" s="101"/>
      <c r="M36" s="101"/>
      <c r="N36" s="531"/>
    </row>
    <row r="37" spans="1:14">
      <c r="A37" s="374"/>
      <c r="B37" s="312"/>
      <c r="C37" s="310"/>
      <c r="D37" s="307"/>
      <c r="E37" s="311"/>
      <c r="F37" s="311"/>
      <c r="G37" s="420"/>
      <c r="H37" s="121"/>
      <c r="I37" s="89"/>
      <c r="J37" s="382"/>
      <c r="K37" s="89"/>
      <c r="L37" s="89"/>
      <c r="M37" s="89"/>
      <c r="N37" s="244"/>
    </row>
    <row r="38" spans="1:14" ht="15.5" thickBot="1">
      <c r="A38" s="328"/>
      <c r="B38" s="329"/>
      <c r="C38" s="325"/>
      <c r="D38" s="359"/>
      <c r="E38" s="330"/>
      <c r="F38" s="331"/>
      <c r="G38" s="332"/>
      <c r="H38" s="333"/>
      <c r="I38" s="308"/>
      <c r="J38" s="306"/>
      <c r="K38" s="114"/>
      <c r="L38" s="114"/>
      <c r="M38" s="114"/>
      <c r="N38" s="371"/>
    </row>
    <row r="39" spans="1:14">
      <c r="A39" s="239"/>
      <c r="B39" s="130" t="s">
        <v>129</v>
      </c>
      <c r="C39" s="168" t="s">
        <v>214</v>
      </c>
      <c r="D39" s="111"/>
      <c r="E39" s="320">
        <f>SUMIF($F$8:$F$36,"M.",$E$8:$E$36)</f>
        <v>244.5</v>
      </c>
      <c r="F39" s="142" t="s">
        <v>117</v>
      </c>
      <c r="G39" s="238"/>
      <c r="H39" s="321">
        <f>SUMIF($F$8:$F$36,"M.",$H$8:$H$36)</f>
        <v>244420</v>
      </c>
      <c r="I39" s="238"/>
      <c r="J39" s="240"/>
      <c r="K39" s="98"/>
      <c r="L39" s="98"/>
      <c r="M39" s="98"/>
      <c r="N39" s="105"/>
    </row>
    <row r="40" spans="1:14">
      <c r="A40" s="98"/>
      <c r="B40" s="126"/>
      <c r="C40" s="98"/>
      <c r="D40" s="139"/>
      <c r="E40" s="320">
        <f>SUMIF($F$8:$F$36,"PCS.",$E$8:$E$36)</f>
        <v>1001</v>
      </c>
      <c r="F40" s="138" t="s">
        <v>118</v>
      </c>
      <c r="G40" s="315"/>
      <c r="H40" s="321">
        <f>SUMIF($F$8:$F$36,"PCS.",$H$8:$H$36)</f>
        <v>47000</v>
      </c>
      <c r="I40" s="98"/>
      <c r="J40" s="157"/>
      <c r="K40" s="98"/>
      <c r="L40" s="98"/>
      <c r="M40" s="98"/>
      <c r="N40" s="105"/>
    </row>
    <row r="41" spans="1:14">
      <c r="A41" s="98"/>
      <c r="B41" s="126"/>
      <c r="C41" s="98"/>
      <c r="D41" s="139"/>
      <c r="E41" s="322"/>
      <c r="F41" s="323"/>
      <c r="G41" s="98"/>
      <c r="H41" s="315"/>
      <c r="I41" s="98"/>
      <c r="J41" s="157"/>
      <c r="K41" s="98"/>
      <c r="L41" s="98"/>
      <c r="M41" s="98"/>
      <c r="N41" s="105"/>
    </row>
    <row r="42" spans="1:14">
      <c r="A42" s="98"/>
      <c r="B42" s="126"/>
      <c r="C42" s="98"/>
      <c r="D42" s="140"/>
      <c r="E42" s="157"/>
      <c r="F42" s="138"/>
      <c r="G42" s="315"/>
      <c r="H42" s="315">
        <f>SUM(H39:H41)</f>
        <v>291420</v>
      </c>
      <c r="I42" s="98"/>
      <c r="J42" s="157"/>
      <c r="K42" s="98"/>
      <c r="L42" s="98"/>
      <c r="M42" s="98"/>
      <c r="N42" s="105"/>
    </row>
    <row r="46" spans="1:14">
      <c r="C46" s="3"/>
    </row>
    <row r="47" spans="1:14">
      <c r="C47" s="3"/>
    </row>
    <row r="94" spans="1:1">
      <c r="A94" s="70" t="s">
        <v>133</v>
      </c>
    </row>
  </sheetData>
  <mergeCells count="11">
    <mergeCell ref="A32:A36"/>
    <mergeCell ref="N32:N36"/>
    <mergeCell ref="A2:H2"/>
    <mergeCell ref="F4:G4"/>
    <mergeCell ref="A8:A12"/>
    <mergeCell ref="N8:N12"/>
    <mergeCell ref="A15:A30"/>
    <mergeCell ref="I14:I30"/>
    <mergeCell ref="L14:L18"/>
    <mergeCell ref="L20:L30"/>
    <mergeCell ref="N14:N30"/>
  </mergeCells>
  <phoneticPr fontId="11"/>
  <pageMargins left="0.51181102362204722" right="0" top="0.74803149606299213" bottom="0.74803149606299213" header="0.31496062992125984" footer="0.31496062992125984"/>
  <pageSetup paperSize="9" scale="33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BBA8-CB5B-43C7-BCF3-855F02AD8C8D}">
  <sheetPr>
    <pageSetUpPr fitToPage="1"/>
  </sheetPr>
  <dimension ref="A1:O126"/>
  <sheetViews>
    <sheetView view="pageBreakPreview" zoomScale="90" zoomScaleNormal="60" zoomScaleSheetLayoutView="90" workbookViewId="0">
      <selection activeCell="K16" sqref="K16"/>
    </sheetView>
  </sheetViews>
  <sheetFormatPr defaultRowHeight="15"/>
  <cols>
    <col min="1" max="1" width="7.90625" customWidth="1"/>
    <col min="2" max="2" width="31.90625" style="143" customWidth="1"/>
    <col min="3" max="3" width="27.453125" style="93" customWidth="1"/>
    <col min="4" max="4" width="69.1796875" customWidth="1"/>
    <col min="5" max="5" width="10.453125" customWidth="1"/>
    <col min="6" max="6" width="5.6328125" style="93" customWidth="1"/>
    <col min="7" max="7" width="15.453125" customWidth="1"/>
    <col min="8" max="8" width="13.90625" style="93" customWidth="1"/>
    <col min="9" max="9" width="24.453125" customWidth="1"/>
    <col min="10" max="10" width="14.453125" customWidth="1"/>
    <col min="11" max="11" width="11.453125" style="93" customWidth="1"/>
    <col min="12" max="12" width="25.36328125" style="97" customWidth="1"/>
    <col min="13" max="13" width="10.08984375" style="93" customWidth="1"/>
    <col min="14" max="14" width="7" style="93" customWidth="1"/>
  </cols>
  <sheetData>
    <row r="1" spans="1:14">
      <c r="A1" s="45"/>
      <c r="I1" s="45"/>
      <c r="J1" s="45"/>
      <c r="K1" s="26"/>
      <c r="L1" s="95"/>
      <c r="M1" s="26"/>
      <c r="N1" s="26"/>
    </row>
    <row r="2" spans="1:14" ht="18" thickBot="1">
      <c r="A2" s="551" t="s">
        <v>132</v>
      </c>
      <c r="B2" s="551"/>
      <c r="C2" s="551"/>
      <c r="D2" s="551"/>
      <c r="E2" s="551"/>
      <c r="F2" s="551"/>
      <c r="G2" s="551"/>
      <c r="H2" s="551"/>
      <c r="I2" s="67"/>
      <c r="J2" s="3"/>
      <c r="K2" s="70"/>
      <c r="L2" s="102"/>
      <c r="M2" s="103"/>
      <c r="N2" s="103"/>
    </row>
    <row r="3" spans="1:14" ht="18" thickBot="1">
      <c r="A3" s="128"/>
      <c r="B3" s="144"/>
      <c r="C3" s="128"/>
      <c r="D3" s="128"/>
      <c r="E3" s="128"/>
      <c r="F3" s="128"/>
      <c r="G3" s="128"/>
      <c r="H3" s="128"/>
      <c r="I3" s="67"/>
      <c r="J3" s="3"/>
      <c r="K3" s="70"/>
      <c r="L3" s="102"/>
      <c r="M3" s="103"/>
      <c r="N3" s="103"/>
    </row>
    <row r="4" spans="1:14" ht="21.75" customHeight="1" thickBot="1">
      <c r="A4" s="247" t="s">
        <v>60</v>
      </c>
      <c r="B4" s="145" t="s">
        <v>130</v>
      </c>
      <c r="C4" s="133" t="s">
        <v>119</v>
      </c>
      <c r="D4" s="134" t="s">
        <v>120</v>
      </c>
      <c r="E4" s="133" t="s">
        <v>121</v>
      </c>
      <c r="F4" s="552" t="s">
        <v>122</v>
      </c>
      <c r="G4" s="553"/>
      <c r="H4" s="135" t="s">
        <v>123</v>
      </c>
      <c r="I4" s="123" t="s">
        <v>124</v>
      </c>
      <c r="J4" s="119" t="s">
        <v>125</v>
      </c>
      <c r="K4" s="120" t="s">
        <v>126</v>
      </c>
      <c r="L4" s="272" t="s">
        <v>152</v>
      </c>
      <c r="M4" s="225" t="s">
        <v>127</v>
      </c>
      <c r="N4" s="221" t="s">
        <v>128</v>
      </c>
    </row>
    <row r="5" spans="1:14">
      <c r="A5" s="230"/>
      <c r="B5" s="146"/>
      <c r="C5" s="100"/>
      <c r="D5" s="136"/>
      <c r="E5" s="106"/>
      <c r="F5" s="100"/>
      <c r="G5" s="99"/>
      <c r="H5" s="98"/>
      <c r="I5" s="273"/>
      <c r="J5" s="274"/>
      <c r="K5" s="112"/>
      <c r="L5" s="113"/>
      <c r="M5" s="226"/>
      <c r="N5" s="222"/>
    </row>
    <row r="6" spans="1:14">
      <c r="A6" s="231"/>
      <c r="B6" s="176" t="s">
        <v>131</v>
      </c>
      <c r="C6" s="150"/>
      <c r="D6" s="151" t="str">
        <f>'NARITA '!D6</f>
        <v>FABRIC &amp; PARTS FOR WEAR &amp; SAMPLE CLOTHES</v>
      </c>
      <c r="E6" s="275"/>
      <c r="F6" s="177"/>
      <c r="G6" s="152" t="str">
        <f>'[3]shipper master'!C48</f>
        <v>F.O.B. TOKYO IN YEN</v>
      </c>
      <c r="H6" s="104"/>
      <c r="I6" s="276"/>
      <c r="J6" s="178"/>
      <c r="K6" s="94"/>
      <c r="L6" s="96"/>
      <c r="M6" s="227"/>
      <c r="N6" s="223"/>
    </row>
    <row r="7" spans="1:14">
      <c r="A7" s="231"/>
      <c r="B7" s="149"/>
      <c r="C7" s="150"/>
      <c r="D7" s="151" t="s">
        <v>153</v>
      </c>
      <c r="E7" s="151"/>
      <c r="F7" s="150"/>
      <c r="G7" s="152"/>
      <c r="H7" s="104"/>
      <c r="I7" s="277"/>
      <c r="J7" s="104"/>
      <c r="K7" s="179"/>
      <c r="L7" s="122"/>
      <c r="M7" s="228"/>
      <c r="N7" s="223"/>
    </row>
    <row r="8" spans="1:14" ht="15.5" thickBot="1">
      <c r="A8" s="278"/>
      <c r="B8" s="127"/>
      <c r="C8" s="127"/>
      <c r="D8" s="118"/>
      <c r="E8" s="117"/>
      <c r="F8" s="89"/>
      <c r="G8" s="121"/>
      <c r="H8" s="147"/>
      <c r="I8" s="249"/>
      <c r="J8" s="279"/>
      <c r="K8" s="291"/>
      <c r="L8" s="279"/>
      <c r="M8" s="116"/>
      <c r="N8" s="292"/>
    </row>
    <row r="9" spans="1:14" ht="15" customHeight="1" thickBot="1">
      <c r="A9" s="554">
        <v>8</v>
      </c>
      <c r="B9" s="413"/>
      <c r="C9" s="362"/>
      <c r="D9" s="248" t="s">
        <v>202</v>
      </c>
      <c r="E9" s="414"/>
      <c r="F9" s="415"/>
      <c r="G9" s="363"/>
      <c r="H9" s="365"/>
      <c r="I9" s="416"/>
      <c r="J9" s="543"/>
      <c r="K9" s="468"/>
      <c r="L9" s="366"/>
      <c r="M9" s="548">
        <v>1</v>
      </c>
      <c r="N9" s="367"/>
    </row>
    <row r="10" spans="1:14">
      <c r="A10" s="555"/>
      <c r="B10" s="474" t="s">
        <v>194</v>
      </c>
      <c r="C10" s="240" t="s">
        <v>195</v>
      </c>
      <c r="D10" s="483" t="s">
        <v>234</v>
      </c>
      <c r="E10" s="485">
        <v>1250</v>
      </c>
      <c r="F10" s="142" t="s">
        <v>118</v>
      </c>
      <c r="G10" s="491">
        <v>40</v>
      </c>
      <c r="H10" s="492">
        <f t="shared" ref="H10" si="0">E10*G10</f>
        <v>50000</v>
      </c>
      <c r="I10" s="417"/>
      <c r="J10" s="544"/>
      <c r="K10" s="469"/>
      <c r="L10" s="364"/>
      <c r="M10" s="549"/>
      <c r="N10" s="368"/>
    </row>
    <row r="11" spans="1:14">
      <c r="A11" s="555"/>
      <c r="B11" s="475" t="s">
        <v>196</v>
      </c>
      <c r="C11" s="480" t="s">
        <v>197</v>
      </c>
      <c r="D11" s="440" t="s">
        <v>235</v>
      </c>
      <c r="E11" s="486">
        <v>1050</v>
      </c>
      <c r="F11" s="138" t="s">
        <v>193</v>
      </c>
      <c r="G11" s="443">
        <v>35</v>
      </c>
      <c r="H11" s="444">
        <v>36750</v>
      </c>
      <c r="I11" s="459" t="s">
        <v>226</v>
      </c>
      <c r="J11" s="544"/>
      <c r="K11" s="469"/>
      <c r="L11" s="364"/>
      <c r="M11" s="549"/>
      <c r="N11" s="368"/>
    </row>
    <row r="12" spans="1:14" ht="16.25" customHeight="1">
      <c r="A12" s="555"/>
      <c r="B12" s="476" t="s">
        <v>198</v>
      </c>
      <c r="C12" s="480" t="s">
        <v>197</v>
      </c>
      <c r="D12" s="440" t="s">
        <v>236</v>
      </c>
      <c r="E12" s="486">
        <v>90</v>
      </c>
      <c r="F12" s="138" t="s">
        <v>193</v>
      </c>
      <c r="G12" s="444">
        <v>50</v>
      </c>
      <c r="H12" s="444">
        <v>4500</v>
      </c>
      <c r="I12" s="417"/>
      <c r="J12" s="544"/>
      <c r="K12" s="469"/>
      <c r="L12" s="364"/>
      <c r="M12" s="549"/>
      <c r="N12" s="368"/>
    </row>
    <row r="13" spans="1:14" ht="16.25" customHeight="1">
      <c r="A13" s="555"/>
      <c r="B13" s="475" t="s">
        <v>199</v>
      </c>
      <c r="C13" s="480" t="s">
        <v>200</v>
      </c>
      <c r="D13" s="440" t="s">
        <v>237</v>
      </c>
      <c r="E13" s="486">
        <v>500</v>
      </c>
      <c r="F13" s="142" t="s">
        <v>118</v>
      </c>
      <c r="G13" s="443">
        <v>60</v>
      </c>
      <c r="H13" s="492">
        <f t="shared" ref="H13" si="1">E13*G13</f>
        <v>30000</v>
      </c>
      <c r="I13" s="417"/>
      <c r="J13" s="544"/>
      <c r="K13" s="469"/>
      <c r="L13" s="364"/>
      <c r="M13" s="549"/>
      <c r="N13" s="368"/>
    </row>
    <row r="14" spans="1:14" ht="15.5" thickBot="1">
      <c r="A14" s="556"/>
      <c r="B14" s="477" t="s">
        <v>232</v>
      </c>
      <c r="C14" s="481" t="s">
        <v>201</v>
      </c>
      <c r="D14" s="484" t="s">
        <v>238</v>
      </c>
      <c r="E14" s="487">
        <v>150</v>
      </c>
      <c r="F14" s="419" t="s">
        <v>117</v>
      </c>
      <c r="G14" s="493">
        <v>40</v>
      </c>
      <c r="H14" s="494">
        <f t="shared" ref="H14" si="2">E14*G14</f>
        <v>6000</v>
      </c>
      <c r="I14" s="418"/>
      <c r="J14" s="557"/>
      <c r="K14" s="470"/>
      <c r="L14" s="471"/>
      <c r="M14" s="550"/>
      <c r="N14" s="472"/>
    </row>
    <row r="15" spans="1:14" ht="15.5" thickBot="1">
      <c r="A15" s="336"/>
      <c r="B15" s="132"/>
      <c r="C15" s="132"/>
      <c r="D15" s="132"/>
      <c r="E15" s="132"/>
      <c r="F15" s="337"/>
      <c r="G15" s="132"/>
      <c r="H15" s="132"/>
      <c r="I15" s="337"/>
      <c r="J15" s="337"/>
      <c r="K15" s="337"/>
      <c r="L15" s="337"/>
      <c r="M15" s="369"/>
      <c r="N15" s="295"/>
    </row>
    <row r="16" spans="1:14" ht="13.5" customHeight="1" thickBot="1">
      <c r="A16" s="545">
        <v>9</v>
      </c>
      <c r="B16" s="478"/>
      <c r="C16" s="482"/>
      <c r="D16" s="248" t="s">
        <v>210</v>
      </c>
      <c r="E16" s="488"/>
      <c r="F16" s="415"/>
      <c r="G16" s="495"/>
      <c r="H16" s="496"/>
      <c r="I16" s="416"/>
      <c r="J16" s="543"/>
      <c r="K16" s="468"/>
      <c r="L16" s="366"/>
      <c r="M16" s="548">
        <v>1</v>
      </c>
      <c r="N16" s="367"/>
    </row>
    <row r="17" spans="1:14">
      <c r="A17" s="546"/>
      <c r="B17" s="474">
        <v>500</v>
      </c>
      <c r="C17" s="240" t="s">
        <v>205</v>
      </c>
      <c r="D17" s="483" t="s">
        <v>211</v>
      </c>
      <c r="E17" s="485">
        <v>185</v>
      </c>
      <c r="F17" s="142" t="s">
        <v>146</v>
      </c>
      <c r="G17" s="491">
        <v>10</v>
      </c>
      <c r="H17" s="492">
        <f t="shared" ref="H17" si="3">E17*G17</f>
        <v>1850</v>
      </c>
      <c r="I17" s="417"/>
      <c r="J17" s="544"/>
      <c r="K17" s="469"/>
      <c r="L17" s="364"/>
      <c r="M17" s="549"/>
      <c r="N17" s="368"/>
    </row>
    <row r="18" spans="1:14">
      <c r="A18" s="546"/>
      <c r="B18" s="475">
        <v>500</v>
      </c>
      <c r="C18" s="480" t="s">
        <v>206</v>
      </c>
      <c r="D18" s="440" t="s">
        <v>211</v>
      </c>
      <c r="E18" s="486">
        <v>185</v>
      </c>
      <c r="F18" s="142" t="s">
        <v>146</v>
      </c>
      <c r="G18" s="443">
        <v>10</v>
      </c>
      <c r="H18" s="444">
        <v>36750</v>
      </c>
      <c r="I18" s="459" t="s">
        <v>227</v>
      </c>
      <c r="J18" s="544"/>
      <c r="K18" s="469"/>
      <c r="L18" s="364"/>
      <c r="M18" s="549"/>
      <c r="N18" s="368"/>
    </row>
    <row r="19" spans="1:14" ht="16.25" customHeight="1">
      <c r="A19" s="546"/>
      <c r="B19" s="476" t="s">
        <v>203</v>
      </c>
      <c r="C19" s="480" t="s">
        <v>207</v>
      </c>
      <c r="D19" s="440"/>
      <c r="E19" s="486">
        <v>200</v>
      </c>
      <c r="F19" s="138" t="s">
        <v>118</v>
      </c>
      <c r="G19" s="444">
        <v>3</v>
      </c>
      <c r="H19" s="444">
        <v>4500</v>
      </c>
      <c r="I19" s="417"/>
      <c r="J19" s="544"/>
      <c r="K19" s="469"/>
      <c r="L19" s="364"/>
      <c r="M19" s="549"/>
      <c r="N19" s="368"/>
    </row>
    <row r="20" spans="1:14" ht="16.25" customHeight="1">
      <c r="A20" s="546"/>
      <c r="B20" s="475" t="s">
        <v>204</v>
      </c>
      <c r="C20" s="480" t="s">
        <v>208</v>
      </c>
      <c r="D20" s="440" t="s">
        <v>212</v>
      </c>
      <c r="E20" s="486">
        <v>40</v>
      </c>
      <c r="F20" s="138" t="s">
        <v>117</v>
      </c>
      <c r="G20" s="443">
        <v>135</v>
      </c>
      <c r="H20" s="492">
        <f t="shared" ref="H20:H22" si="4">E20*G20</f>
        <v>5400</v>
      </c>
      <c r="I20" s="417"/>
      <c r="J20" s="544"/>
      <c r="K20" s="469"/>
      <c r="L20" s="364"/>
      <c r="M20" s="549"/>
      <c r="N20" s="368"/>
    </row>
    <row r="21" spans="1:14">
      <c r="A21" s="546"/>
      <c r="B21" s="475" t="s">
        <v>204</v>
      </c>
      <c r="C21" s="480" t="s">
        <v>209</v>
      </c>
      <c r="D21" s="440" t="s">
        <v>212</v>
      </c>
      <c r="E21" s="489">
        <v>40</v>
      </c>
      <c r="F21" s="138" t="s">
        <v>117</v>
      </c>
      <c r="G21" s="443">
        <v>135</v>
      </c>
      <c r="H21" s="444">
        <f t="shared" ref="H21" si="5">E21*G21</f>
        <v>5400</v>
      </c>
      <c r="I21" s="417"/>
      <c r="J21" s="544"/>
      <c r="K21" s="469"/>
      <c r="L21" s="364"/>
      <c r="M21" s="549"/>
      <c r="N21" s="368"/>
    </row>
    <row r="22" spans="1:14" ht="15.5" thickBot="1">
      <c r="A22" s="546"/>
      <c r="B22" s="479">
        <v>1000</v>
      </c>
      <c r="C22" s="434"/>
      <c r="D22" s="435" t="s">
        <v>239</v>
      </c>
      <c r="E22" s="490">
        <v>62</v>
      </c>
      <c r="F22" s="421" t="s">
        <v>117</v>
      </c>
      <c r="G22" s="436">
        <v>470</v>
      </c>
      <c r="H22" s="437">
        <f t="shared" si="4"/>
        <v>29140</v>
      </c>
      <c r="I22" s="417"/>
      <c r="J22" s="544"/>
      <c r="K22" s="469"/>
      <c r="L22" s="364"/>
      <c r="M22" s="549"/>
      <c r="N22" s="368"/>
    </row>
    <row r="23" spans="1:14" ht="15.5" thickBot="1">
      <c r="A23" s="546"/>
      <c r="B23" s="504"/>
      <c r="C23" s="508"/>
      <c r="D23" s="505"/>
      <c r="E23" s="509"/>
      <c r="F23" s="452"/>
      <c r="G23" s="510"/>
      <c r="H23" s="511"/>
      <c r="I23" s="512"/>
      <c r="J23" s="513"/>
      <c r="K23" s="469"/>
      <c r="L23" s="364"/>
      <c r="M23" s="549"/>
      <c r="N23" s="368"/>
    </row>
    <row r="24" spans="1:14" ht="15.5" thickBot="1">
      <c r="A24" s="547"/>
      <c r="B24" s="503" t="s">
        <v>233</v>
      </c>
      <c r="C24" s="429" t="s">
        <v>215</v>
      </c>
      <c r="D24" s="430" t="s">
        <v>240</v>
      </c>
      <c r="E24" s="506">
        <v>30</v>
      </c>
      <c r="F24" s="419" t="s">
        <v>117</v>
      </c>
      <c r="G24" s="432">
        <v>23</v>
      </c>
      <c r="H24" s="433">
        <v>690</v>
      </c>
      <c r="I24" s="418"/>
      <c r="J24" s="507"/>
      <c r="K24" s="470"/>
      <c r="L24" s="471"/>
      <c r="M24" s="550"/>
      <c r="N24" s="368"/>
    </row>
    <row r="25" spans="1:14" ht="15.5" thickBot="1">
      <c r="A25" s="336"/>
      <c r="B25" s="337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69"/>
      <c r="N25" s="295"/>
    </row>
    <row r="26" spans="1:14">
      <c r="A26" s="343"/>
      <c r="B26" s="344" t="s">
        <v>129</v>
      </c>
      <c r="C26" s="345" t="s">
        <v>213</v>
      </c>
      <c r="D26" s="326"/>
      <c r="E26" s="346">
        <f>SUMIF($F$9:$F$24,"M.",$E$9:$E$24)</f>
        <v>1462</v>
      </c>
      <c r="F26" s="319" t="s">
        <v>117</v>
      </c>
      <c r="G26" s="347"/>
      <c r="H26" s="348">
        <f>SUMIF($F$9:$F$24,"M.",$H$9:$H$24)</f>
        <v>87880</v>
      </c>
      <c r="I26" s="347"/>
      <c r="J26" s="349"/>
      <c r="K26" s="334"/>
      <c r="L26" s="250"/>
      <c r="M26" s="148"/>
      <c r="N26" s="350"/>
    </row>
    <row r="27" spans="1:14">
      <c r="A27" s="351"/>
      <c r="B27" s="126"/>
      <c r="C27" s="98"/>
      <c r="D27" s="139"/>
      <c r="E27" s="137">
        <f>SUMIF($F$9:$F$24,"PCS.",$E$9:$E$24)</f>
        <v>1950</v>
      </c>
      <c r="F27" s="138" t="s">
        <v>118</v>
      </c>
      <c r="G27" s="110"/>
      <c r="H27" s="218">
        <f>SUMIF($F$9:$F$24,"PCS.",$H$9:$H$24)</f>
        <v>84500</v>
      </c>
      <c r="I27" s="99"/>
      <c r="J27" s="282"/>
      <c r="K27" s="115"/>
      <c r="L27" s="141"/>
      <c r="M27" s="98"/>
      <c r="N27" s="280"/>
    </row>
    <row r="28" spans="1:14" ht="15.5" thickBot="1">
      <c r="A28" s="352"/>
      <c r="B28" s="324"/>
      <c r="C28" s="101"/>
      <c r="D28" s="353"/>
      <c r="E28" s="354">
        <f>SUMIF($F$9:$F$24,"SET.",$E$9:$E$24)</f>
        <v>370</v>
      </c>
      <c r="F28" s="219" t="s">
        <v>146</v>
      </c>
      <c r="G28" s="355"/>
      <c r="H28" s="356">
        <f>SUMIF($F$9:$F$24,"SET.",$H$9:$H$24)</f>
        <v>38600</v>
      </c>
      <c r="I28" s="327"/>
      <c r="J28" s="357"/>
      <c r="K28" s="335"/>
      <c r="L28" s="251"/>
      <c r="M28" s="101"/>
      <c r="N28" s="358"/>
    </row>
    <row r="29" spans="1:14" ht="14" customHeight="1" thickBot="1">
      <c r="A29" s="338"/>
      <c r="B29" s="103" t="s">
        <v>129</v>
      </c>
      <c r="C29" s="29"/>
      <c r="D29" s="29"/>
      <c r="E29" s="103"/>
      <c r="F29" s="339"/>
      <c r="G29" s="236" t="s">
        <v>138</v>
      </c>
      <c r="H29" s="340">
        <f>SUM(H9:H24)</f>
        <v>210980</v>
      </c>
      <c r="I29" s="341"/>
      <c r="J29" s="342"/>
      <c r="K29" s="293"/>
      <c r="L29" s="294"/>
      <c r="M29" s="175"/>
      <c r="N29" s="224"/>
    </row>
    <row r="30" spans="1:14">
      <c r="A30" s="283"/>
      <c r="B30" s="26"/>
      <c r="C30" s="180"/>
      <c r="D30" s="3"/>
      <c r="E30" s="181"/>
      <c r="F30" s="156"/>
      <c r="G30" s="182"/>
      <c r="H30" s="183"/>
      <c r="I30" s="71"/>
      <c r="J30" s="70"/>
      <c r="K30"/>
      <c r="L30"/>
      <c r="M30" s="70"/>
      <c r="N30" s="70"/>
    </row>
    <row r="31" spans="1:14">
      <c r="A31" s="283"/>
      <c r="B31" s="26"/>
      <c r="C31" s="180"/>
      <c r="D31" s="3"/>
      <c r="E31" s="181"/>
      <c r="F31" s="156"/>
      <c r="G31" s="182"/>
      <c r="H31" s="183"/>
      <c r="I31" s="71"/>
      <c r="J31" s="70"/>
      <c r="K31"/>
      <c r="L31"/>
      <c r="M31" s="70"/>
      <c r="N31" s="70"/>
    </row>
    <row r="32" spans="1:14">
      <c r="A32" s="283"/>
      <c r="B32" s="26"/>
      <c r="C32" s="180"/>
      <c r="D32" s="3"/>
      <c r="E32" s="181"/>
      <c r="F32" s="156"/>
      <c r="G32" s="182"/>
      <c r="H32" s="183"/>
      <c r="I32" s="71"/>
      <c r="J32" s="70"/>
      <c r="K32"/>
      <c r="L32"/>
      <c r="M32" s="70"/>
      <c r="N32" s="70"/>
    </row>
    <row r="33" spans="1:14">
      <c r="A33" s="283"/>
      <c r="B33" s="26"/>
      <c r="C33" s="180"/>
      <c r="D33" s="3"/>
      <c r="E33" s="181"/>
      <c r="F33" s="70"/>
      <c r="G33" s="182"/>
      <c r="H33" s="183"/>
      <c r="I33" s="71"/>
      <c r="J33" s="70"/>
      <c r="K33"/>
      <c r="L33"/>
      <c r="M33" s="70"/>
      <c r="N33" s="70"/>
    </row>
    <row r="34" spans="1:14">
      <c r="A34" s="283"/>
      <c r="B34" s="184"/>
      <c r="C34" s="70"/>
      <c r="D34" s="3"/>
      <c r="E34" s="185"/>
      <c r="F34" s="186"/>
      <c r="G34" s="187"/>
      <c r="H34" s="183"/>
      <c r="I34" s="71"/>
      <c r="J34" s="70"/>
      <c r="K34"/>
      <c r="L34"/>
      <c r="M34" s="70"/>
      <c r="N34" s="70"/>
    </row>
    <row r="35" spans="1:14">
      <c r="A35" s="283"/>
      <c r="B35" s="26"/>
      <c r="C35" s="180"/>
      <c r="D35" s="3"/>
      <c r="E35" s="181"/>
      <c r="F35" s="156"/>
      <c r="G35" s="182"/>
      <c r="H35" s="183"/>
      <c r="I35" s="71"/>
      <c r="J35" s="70"/>
      <c r="K35"/>
      <c r="L35"/>
      <c r="M35" s="70"/>
      <c r="N35" s="70"/>
    </row>
    <row r="36" spans="1:14" s="188" customFormat="1">
      <c r="A36" s="283"/>
      <c r="B36" s="184"/>
      <c r="C36" s="70"/>
      <c r="D36" s="3"/>
      <c r="E36" s="185"/>
      <c r="F36" s="186"/>
      <c r="G36" s="187"/>
      <c r="H36" s="183"/>
      <c r="I36" s="281"/>
      <c r="J36"/>
      <c r="K36"/>
      <c r="L36"/>
      <c r="M36" s="70"/>
      <c r="N36" s="70"/>
    </row>
    <row r="37" spans="1:14" s="188" customFormat="1">
      <c r="A37" s="283"/>
      <c r="B37" s="184"/>
      <c r="C37" s="70"/>
      <c r="D37" s="3"/>
      <c r="E37" s="185"/>
      <c r="F37" s="186"/>
      <c r="G37" s="187"/>
      <c r="H37" s="183"/>
      <c r="I37" s="281"/>
      <c r="J37"/>
      <c r="K37"/>
      <c r="L37"/>
      <c r="M37" s="70"/>
      <c r="N37" s="70"/>
    </row>
    <row r="38" spans="1:14">
      <c r="A38" s="283"/>
      <c r="B38" s="184"/>
      <c r="C38" s="70"/>
      <c r="D38" s="3"/>
      <c r="E38" s="185"/>
      <c r="F38" s="186"/>
      <c r="G38" s="187"/>
      <c r="H38" s="183"/>
      <c r="I38" s="281"/>
      <c r="K38"/>
      <c r="L38"/>
      <c r="M38" s="70"/>
      <c r="N38" s="70"/>
    </row>
    <row r="39" spans="1:14" ht="14" customHeight="1">
      <c r="A39" s="284"/>
      <c r="B39" s="189"/>
      <c r="C39" s="190"/>
      <c r="D39" s="191"/>
      <c r="E39" s="192"/>
      <c r="F39" s="192"/>
      <c r="G39" s="190"/>
      <c r="H39" s="1"/>
      <c r="I39" s="71"/>
      <c r="J39" s="193"/>
      <c r="K39"/>
      <c r="L39"/>
      <c r="M39" s="70"/>
      <c r="N39" s="70"/>
    </row>
    <row r="40" spans="1:14">
      <c r="A40" s="283"/>
      <c r="B40" s="26"/>
      <c r="C40" s="180"/>
      <c r="D40" s="3"/>
      <c r="E40" s="181"/>
      <c r="F40" s="156"/>
      <c r="G40" s="182"/>
      <c r="H40" s="183"/>
      <c r="I40" s="71"/>
      <c r="J40" s="70"/>
      <c r="K40"/>
      <c r="L40"/>
      <c r="M40" s="70"/>
      <c r="N40" s="70"/>
    </row>
    <row r="41" spans="1:14">
      <c r="A41" s="283"/>
      <c r="B41" s="26"/>
      <c r="C41" s="180"/>
      <c r="D41" s="3"/>
      <c r="E41" s="181"/>
      <c r="F41" s="156"/>
      <c r="G41" s="182"/>
      <c r="H41" s="183"/>
      <c r="I41" s="71"/>
      <c r="J41" s="70"/>
      <c r="K41"/>
      <c r="L41"/>
      <c r="M41" s="70"/>
      <c r="N41" s="70"/>
    </row>
    <row r="42" spans="1:14">
      <c r="A42" s="283"/>
      <c r="B42" s="26"/>
      <c r="C42" s="180"/>
      <c r="D42" s="3"/>
      <c r="E42" s="181"/>
      <c r="F42" s="156"/>
      <c r="G42" s="182"/>
      <c r="H42" s="183"/>
      <c r="I42" s="71"/>
      <c r="J42" s="70"/>
      <c r="K42"/>
      <c r="L42"/>
      <c r="M42" s="70"/>
      <c r="N42" s="70"/>
    </row>
    <row r="43" spans="1:14">
      <c r="A43" s="19"/>
      <c r="B43" s="194"/>
      <c r="C43" s="70"/>
      <c r="D43" s="3"/>
      <c r="E43" s="185"/>
      <c r="F43" s="186"/>
      <c r="G43" s="187"/>
      <c r="H43" s="183"/>
      <c r="I43" s="71"/>
      <c r="J43" s="70"/>
      <c r="K43"/>
      <c r="L43"/>
      <c r="M43" s="70"/>
      <c r="N43" s="70"/>
    </row>
    <row r="44" spans="1:14">
      <c r="A44" s="283"/>
      <c r="B44" s="26"/>
      <c r="C44" s="180"/>
      <c r="D44" s="3"/>
      <c r="E44" s="181"/>
      <c r="F44" s="186"/>
      <c r="G44" s="187"/>
      <c r="H44" s="183"/>
      <c r="I44" s="71"/>
      <c r="J44" s="70"/>
      <c r="K44"/>
      <c r="L44"/>
      <c r="M44" s="70"/>
      <c r="N44" s="70"/>
    </row>
    <row r="45" spans="1:14">
      <c r="A45" s="283"/>
      <c r="B45" s="26"/>
      <c r="C45" s="180"/>
      <c r="D45" s="3"/>
      <c r="E45" s="181"/>
      <c r="F45" s="186"/>
      <c r="G45" s="187"/>
      <c r="H45" s="183"/>
      <c r="I45" s="71"/>
      <c r="J45" s="70"/>
      <c r="K45"/>
      <c r="L45"/>
      <c r="M45" s="70"/>
      <c r="N45" s="70"/>
    </row>
    <row r="46" spans="1:14">
      <c r="A46" s="297"/>
      <c r="B46" s="298"/>
      <c r="C46" s="299"/>
      <c r="D46" s="300"/>
      <c r="E46" s="301"/>
      <c r="F46" s="302"/>
      <c r="G46" s="303"/>
      <c r="H46" s="304"/>
      <c r="K46"/>
      <c r="L46"/>
      <c r="M46"/>
      <c r="N46"/>
    </row>
    <row r="47" spans="1:14">
      <c r="A47" s="283"/>
      <c r="B47" s="26"/>
      <c r="C47" s="180"/>
      <c r="D47" s="3"/>
      <c r="E47" s="181"/>
      <c r="F47" s="156"/>
      <c r="G47" s="182"/>
      <c r="H47" s="183"/>
      <c r="I47" s="71"/>
      <c r="J47" s="70"/>
      <c r="K47"/>
      <c r="L47"/>
      <c r="M47" s="70"/>
      <c r="N47" s="70"/>
    </row>
    <row r="48" spans="1:14">
      <c r="A48" s="283"/>
      <c r="B48" s="26"/>
      <c r="C48" s="180"/>
      <c r="D48" s="3"/>
      <c r="E48" s="181"/>
      <c r="F48" s="70"/>
      <c r="G48" s="182"/>
      <c r="H48" s="183"/>
      <c r="I48" s="71"/>
      <c r="J48" s="70"/>
      <c r="K48"/>
      <c r="L48"/>
      <c r="M48" s="70"/>
      <c r="N48" s="70"/>
    </row>
    <row r="49" spans="1:14">
      <c r="A49" s="283"/>
      <c r="B49" s="184"/>
      <c r="C49" s="70"/>
      <c r="D49" s="3"/>
      <c r="E49" s="185"/>
      <c r="F49" s="186"/>
      <c r="G49" s="187"/>
      <c r="H49" s="183"/>
      <c r="I49" s="71"/>
      <c r="J49" s="70"/>
      <c r="K49"/>
      <c r="L49"/>
      <c r="M49" s="70"/>
      <c r="N49" s="70"/>
    </row>
    <row r="50" spans="1:14">
      <c r="A50" s="283"/>
      <c r="B50" s="26"/>
      <c r="C50" s="180"/>
      <c r="D50" s="3"/>
      <c r="E50" s="181"/>
      <c r="F50" s="156"/>
      <c r="G50" s="182"/>
      <c r="H50" s="183"/>
      <c r="I50" s="71"/>
      <c r="J50" s="70"/>
      <c r="K50"/>
      <c r="L50"/>
      <c r="M50" s="70"/>
      <c r="N50" s="70"/>
    </row>
    <row r="51" spans="1:14" s="188" customFormat="1">
      <c r="A51" s="283"/>
      <c r="B51" s="184"/>
      <c r="C51" s="70"/>
      <c r="D51" s="3"/>
      <c r="E51" s="185"/>
      <c r="F51" s="186"/>
      <c r="G51" s="187"/>
      <c r="H51" s="183"/>
      <c r="I51" s="281"/>
      <c r="J51"/>
      <c r="K51"/>
      <c r="L51"/>
      <c r="M51" s="70"/>
      <c r="N51" s="70"/>
    </row>
    <row r="52" spans="1:14">
      <c r="A52" s="283"/>
      <c r="B52" s="26"/>
      <c r="C52" s="180"/>
      <c r="D52" s="3"/>
      <c r="E52" s="181"/>
      <c r="F52" s="156"/>
      <c r="G52" s="182"/>
      <c r="H52" s="183"/>
      <c r="I52" s="71"/>
      <c r="J52" s="70"/>
      <c r="K52"/>
      <c r="L52"/>
      <c r="M52" s="70"/>
      <c r="N52" s="70"/>
    </row>
    <row r="53" spans="1:14" ht="14" customHeight="1">
      <c r="A53" s="284"/>
      <c r="B53" s="189"/>
      <c r="C53" s="190"/>
      <c r="D53" s="191"/>
      <c r="E53" s="195"/>
      <c r="F53" s="195"/>
      <c r="G53" s="196"/>
      <c r="H53" s="197"/>
      <c r="I53" s="71"/>
      <c r="J53" s="193"/>
      <c r="K53"/>
      <c r="L53"/>
      <c r="M53" s="70"/>
      <c r="N53" s="70"/>
    </row>
    <row r="54" spans="1:14" ht="14" customHeight="1">
      <c r="A54" s="284"/>
      <c r="B54" s="184"/>
      <c r="C54" s="70"/>
      <c r="D54" s="198"/>
      <c r="E54" s="199"/>
      <c r="F54" s="200"/>
      <c r="G54" s="201"/>
      <c r="H54" s="202"/>
      <c r="I54" s="71"/>
      <c r="J54" s="193"/>
      <c r="K54"/>
      <c r="L54"/>
      <c r="M54" s="70"/>
      <c r="N54" s="70"/>
    </row>
    <row r="55" spans="1:14" ht="14" customHeight="1">
      <c r="A55" s="284"/>
      <c r="B55" s="184"/>
      <c r="C55" s="70"/>
      <c r="D55" s="198"/>
      <c r="E55" s="199"/>
      <c r="F55" s="200"/>
      <c r="G55" s="201"/>
      <c r="H55" s="202"/>
      <c r="I55" s="71"/>
      <c r="J55" s="193"/>
      <c r="K55"/>
      <c r="L55"/>
      <c r="M55" s="70"/>
      <c r="N55" s="70"/>
    </row>
    <row r="56" spans="1:14">
      <c r="A56" s="283"/>
      <c r="B56" s="184"/>
      <c r="C56" s="70"/>
      <c r="D56" s="198"/>
      <c r="E56" s="199"/>
      <c r="F56" s="200"/>
      <c r="G56" s="201"/>
      <c r="H56" s="202"/>
      <c r="I56" s="281"/>
      <c r="K56"/>
      <c r="L56"/>
      <c r="M56" s="70"/>
      <c r="N56" s="70"/>
    </row>
    <row r="57" spans="1:14" ht="14" customHeight="1">
      <c r="A57" s="284"/>
      <c r="B57" s="189"/>
      <c r="C57" s="190"/>
      <c r="D57" s="191"/>
      <c r="E57" s="195"/>
      <c r="F57" s="195"/>
      <c r="G57" s="196"/>
      <c r="H57" s="197"/>
      <c r="I57" s="71"/>
      <c r="J57" s="193"/>
      <c r="K57"/>
      <c r="L57"/>
      <c r="M57" s="70"/>
      <c r="N57" s="70"/>
    </row>
    <row r="58" spans="1:14">
      <c r="A58" s="283"/>
      <c r="B58" s="26"/>
      <c r="C58" s="180"/>
      <c r="D58" s="198"/>
      <c r="E58" s="203"/>
      <c r="F58" s="204"/>
      <c r="G58" s="205"/>
      <c r="H58" s="202"/>
      <c r="I58" s="71"/>
      <c r="J58" s="70"/>
      <c r="K58"/>
      <c r="L58"/>
      <c r="M58" s="70"/>
      <c r="N58" s="70"/>
    </row>
    <row r="59" spans="1:14">
      <c r="A59" s="283"/>
      <c r="B59" s="26"/>
      <c r="C59" s="180"/>
      <c r="D59" s="198"/>
      <c r="E59" s="203"/>
      <c r="F59" s="204"/>
      <c r="G59" s="205"/>
      <c r="H59" s="202"/>
      <c r="I59" s="71"/>
      <c r="J59" s="70"/>
      <c r="K59"/>
      <c r="L59"/>
      <c r="M59" s="70"/>
      <c r="N59" s="70"/>
    </row>
    <row r="60" spans="1:14">
      <c r="A60" s="283"/>
      <c r="B60" s="26"/>
      <c r="C60" s="180"/>
      <c r="D60" s="198"/>
      <c r="E60" s="203"/>
      <c r="F60" s="204"/>
      <c r="G60" s="205"/>
      <c r="H60" s="202"/>
      <c r="I60" s="71"/>
      <c r="J60" s="70"/>
      <c r="K60"/>
      <c r="L60"/>
      <c r="M60" s="70"/>
      <c r="N60" s="70"/>
    </row>
    <row r="61" spans="1:14">
      <c r="A61" s="19"/>
      <c r="B61" s="194"/>
      <c r="C61" s="70"/>
      <c r="D61" s="198"/>
      <c r="E61" s="199"/>
      <c r="F61" s="200"/>
      <c r="G61" s="201"/>
      <c r="H61" s="202"/>
      <c r="I61" s="71"/>
      <c r="J61" s="70"/>
      <c r="K61"/>
      <c r="L61"/>
      <c r="M61" s="70"/>
      <c r="N61" s="70"/>
    </row>
    <row r="62" spans="1:14">
      <c r="A62" s="283"/>
      <c r="B62" s="26"/>
      <c r="C62" s="180"/>
      <c r="D62" s="198"/>
      <c r="E62" s="203"/>
      <c r="F62" s="200"/>
      <c r="G62" s="201"/>
      <c r="H62" s="202"/>
      <c r="I62" s="71"/>
      <c r="J62" s="70"/>
      <c r="K62"/>
      <c r="L62"/>
      <c r="M62" s="70"/>
      <c r="N62" s="70"/>
    </row>
    <row r="63" spans="1:14">
      <c r="A63" s="283"/>
      <c r="B63" s="26"/>
      <c r="C63" s="180"/>
      <c r="D63" s="198"/>
      <c r="E63" s="203"/>
      <c r="F63" s="206"/>
      <c r="G63" s="205"/>
      <c r="H63" s="202"/>
      <c r="I63" s="71"/>
      <c r="J63" s="70"/>
      <c r="K63"/>
      <c r="L63"/>
      <c r="M63" s="70"/>
      <c r="N63" s="70"/>
    </row>
    <row r="64" spans="1:14">
      <c r="A64" s="283"/>
      <c r="B64" s="184"/>
      <c r="C64" s="70"/>
      <c r="D64" s="198"/>
      <c r="E64" s="199"/>
      <c r="F64" s="200"/>
      <c r="G64" s="201"/>
      <c r="H64" s="202"/>
      <c r="I64" s="71"/>
      <c r="J64" s="70"/>
      <c r="K64"/>
      <c r="L64"/>
      <c r="M64" s="70"/>
      <c r="N64" s="70"/>
    </row>
    <row r="65" spans="1:14">
      <c r="A65" s="283"/>
      <c r="B65" s="26"/>
      <c r="C65" s="180"/>
      <c r="D65" s="198"/>
      <c r="E65" s="203"/>
      <c r="F65" s="200"/>
      <c r="G65" s="205"/>
      <c r="H65" s="202"/>
      <c r="I65" s="71"/>
      <c r="J65" s="70"/>
      <c r="K65"/>
      <c r="L65"/>
      <c r="M65" s="70"/>
      <c r="N65" s="70"/>
    </row>
    <row r="66" spans="1:14">
      <c r="A66" s="283"/>
      <c r="B66" s="26"/>
      <c r="C66" s="180"/>
      <c r="D66" s="198"/>
      <c r="E66" s="203"/>
      <c r="F66" s="200"/>
      <c r="G66" s="205"/>
      <c r="H66" s="202"/>
      <c r="I66" s="71"/>
      <c r="J66" s="70"/>
      <c r="K66"/>
      <c r="L66"/>
      <c r="M66" s="70"/>
      <c r="N66" s="70"/>
    </row>
    <row r="67" spans="1:14">
      <c r="A67" s="283"/>
      <c r="B67" s="189"/>
      <c r="C67" s="189"/>
      <c r="D67" s="191"/>
      <c r="E67" s="207"/>
      <c r="F67" s="195"/>
      <c r="G67" s="196"/>
      <c r="H67" s="197"/>
      <c r="I67" s="71"/>
      <c r="J67" s="193"/>
      <c r="K67"/>
      <c r="L67"/>
      <c r="M67" s="70"/>
      <c r="N67" s="70"/>
    </row>
    <row r="68" spans="1:14">
      <c r="A68" s="233"/>
      <c r="B68" s="70"/>
      <c r="C68" s="70"/>
      <c r="D68" s="198"/>
      <c r="E68" s="199"/>
      <c r="F68" s="200"/>
      <c r="G68" s="205"/>
      <c r="H68" s="202"/>
      <c r="I68" s="71"/>
      <c r="J68" s="193"/>
      <c r="K68"/>
      <c r="L68"/>
      <c r="M68" s="70"/>
      <c r="N68" s="70"/>
    </row>
    <row r="69" spans="1:14">
      <c r="A69" s="232"/>
      <c r="B69" s="189"/>
      <c r="C69" s="189"/>
      <c r="D69" s="191"/>
      <c r="E69" s="199"/>
      <c r="F69" s="206"/>
      <c r="G69" s="205"/>
      <c r="H69" s="202"/>
      <c r="K69"/>
      <c r="L69"/>
      <c r="M69" s="70"/>
      <c r="N69" s="70"/>
    </row>
    <row r="70" spans="1:14">
      <c r="A70" s="234"/>
      <c r="B70" s="70"/>
      <c r="C70" s="70"/>
      <c r="D70" s="208"/>
      <c r="E70" s="199"/>
      <c r="F70" s="206"/>
      <c r="G70" s="205"/>
      <c r="H70" s="202"/>
      <c r="I70" s="285"/>
      <c r="J70" s="209"/>
      <c r="K70"/>
      <c r="L70"/>
      <c r="M70" s="70"/>
      <c r="N70" s="70"/>
    </row>
    <row r="71" spans="1:14">
      <c r="A71" s="26"/>
      <c r="B71" s="26"/>
      <c r="C71" s="70"/>
      <c r="D71" s="208"/>
      <c r="E71" s="203"/>
      <c r="F71" s="206"/>
      <c r="G71" s="205"/>
      <c r="H71" s="202"/>
      <c r="K71"/>
      <c r="L71"/>
      <c r="M71" s="70"/>
      <c r="N71" s="70"/>
    </row>
    <row r="72" spans="1:14">
      <c r="A72" s="235"/>
      <c r="B72" s="131"/>
      <c r="C72" s="109"/>
      <c r="D72" s="198"/>
      <c r="E72" s="210"/>
      <c r="F72" s="204"/>
      <c r="G72" s="202"/>
      <c r="H72" s="210"/>
      <c r="I72" s="183"/>
      <c r="J72" s="3"/>
      <c r="K72" s="70"/>
      <c r="L72" s="43"/>
      <c r="M72" s="70"/>
    </row>
    <row r="73" spans="1:14">
      <c r="A73" s="3"/>
      <c r="B73" s="131"/>
      <c r="C73" s="70"/>
      <c r="D73" s="171"/>
      <c r="E73" s="210"/>
      <c r="F73" s="204"/>
      <c r="G73" s="202"/>
      <c r="H73" s="210"/>
      <c r="I73" s="3"/>
      <c r="J73" s="3"/>
      <c r="K73" s="70"/>
      <c r="L73" s="43"/>
      <c r="M73" s="70"/>
    </row>
    <row r="74" spans="1:14">
      <c r="A74" s="188"/>
      <c r="B74" s="211"/>
      <c r="C74" s="174"/>
      <c r="D74" s="212"/>
      <c r="E74" s="286"/>
      <c r="F74" s="213"/>
      <c r="G74" s="214"/>
      <c r="H74" s="215"/>
      <c r="I74" s="8"/>
      <c r="J74" s="8"/>
      <c r="K74" s="174"/>
      <c r="L74" s="216"/>
      <c r="M74" s="174"/>
      <c r="N74" s="217"/>
    </row>
    <row r="75" spans="1:14">
      <c r="E75" s="107"/>
      <c r="F75" s="107"/>
      <c r="G75" s="107"/>
      <c r="H75" s="108"/>
    </row>
    <row r="78" spans="1:14">
      <c r="C78" s="107"/>
      <c r="D78" s="107"/>
      <c r="I78" s="107"/>
      <c r="J78" s="107"/>
      <c r="K78" s="108"/>
      <c r="L78" s="107"/>
    </row>
    <row r="79" spans="1:14">
      <c r="C79" s="107"/>
      <c r="D79" s="107"/>
      <c r="I79" s="107"/>
      <c r="J79" s="107"/>
      <c r="K79" s="108"/>
      <c r="L79" s="107"/>
    </row>
    <row r="126" spans="1:15" s="143" customFormat="1" ht="20">
      <c r="A126" s="129" t="s">
        <v>133</v>
      </c>
      <c r="C126" s="93"/>
      <c r="D126"/>
      <c r="E126"/>
      <c r="F126" s="93"/>
      <c r="G126"/>
      <c r="H126" s="93"/>
      <c r="I126"/>
      <c r="J126"/>
      <c r="K126" s="93"/>
      <c r="L126" s="97"/>
      <c r="M126" s="93"/>
      <c r="N126" s="93"/>
      <c r="O126"/>
    </row>
  </sheetData>
  <mergeCells count="8">
    <mergeCell ref="J16:J22"/>
    <mergeCell ref="A16:A24"/>
    <mergeCell ref="M16:M24"/>
    <mergeCell ref="M9:M14"/>
    <mergeCell ref="A2:H2"/>
    <mergeCell ref="F4:G4"/>
    <mergeCell ref="A9:A14"/>
    <mergeCell ref="J9:J14"/>
  </mergeCells>
  <phoneticPr fontId="11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9198-6F6B-43C7-AEBB-0DC4F067ACFD}">
  <sheetPr>
    <tabColor rgb="FFFF0000"/>
    <pageSetUpPr fitToPage="1"/>
  </sheetPr>
  <dimension ref="A1:I5"/>
  <sheetViews>
    <sheetView view="pageBreakPreview" zoomScale="40" zoomScaleNormal="90" zoomScaleSheetLayoutView="40" workbookViewId="0">
      <selection activeCell="H10" sqref="H10"/>
    </sheetView>
  </sheetViews>
  <sheetFormatPr defaultRowHeight="31.5"/>
  <cols>
    <col min="1" max="1" width="14.453125" customWidth="1"/>
    <col min="2" max="2" width="40.90625" style="396" customWidth="1"/>
    <col min="3" max="3" width="41.36328125" style="397" customWidth="1"/>
    <col min="4" max="4" width="86.08984375" style="397" customWidth="1"/>
    <col min="5" max="5" width="42.1796875" style="397" customWidth="1"/>
    <col min="6" max="6" width="38.26953125" style="399" customWidth="1"/>
    <col min="7" max="7" width="50.6328125" style="399" customWidth="1"/>
    <col min="8" max="8" width="34.81640625" style="400" customWidth="1"/>
    <col min="9" max="9" width="34.81640625" style="401" customWidth="1"/>
    <col min="10" max="16" width="34.81640625" customWidth="1"/>
  </cols>
  <sheetData>
    <row r="1" spans="1:9">
      <c r="D1" s="398" t="s">
        <v>157</v>
      </c>
    </row>
    <row r="2" spans="1:9" s="406" customFormat="1" ht="88.25" customHeight="1" thickBot="1">
      <c r="A2" s="402"/>
      <c r="B2" s="403" t="s">
        <v>158</v>
      </c>
      <c r="C2" s="404" t="s">
        <v>159</v>
      </c>
      <c r="D2" s="404"/>
      <c r="E2" s="404" t="s">
        <v>160</v>
      </c>
      <c r="F2" s="405" t="s">
        <v>161</v>
      </c>
      <c r="G2" s="405" t="s">
        <v>162</v>
      </c>
      <c r="H2" s="404" t="s">
        <v>163</v>
      </c>
      <c r="I2" s="405" t="s">
        <v>164</v>
      </c>
    </row>
    <row r="3" spans="1:9" ht="194.75" customHeight="1">
      <c r="A3" s="407"/>
      <c r="B3" s="408" t="s">
        <v>222</v>
      </c>
      <c r="C3" s="409" t="s">
        <v>230</v>
      </c>
      <c r="D3" s="410" t="s">
        <v>222</v>
      </c>
      <c r="E3" s="473" t="s">
        <v>231</v>
      </c>
      <c r="F3" s="411" t="s">
        <v>139</v>
      </c>
      <c r="G3" s="411"/>
      <c r="H3" s="411" t="s">
        <v>165</v>
      </c>
      <c r="I3" s="412">
        <v>3</v>
      </c>
    </row>
    <row r="4" spans="1:9" ht="134" customHeight="1"/>
    <row r="5" spans="1:9" ht="134" customHeight="1"/>
  </sheetData>
  <phoneticPr fontId="11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473-424C-4035-B9FF-5BA4CCEB664D}">
  <sheetPr>
    <pageSetUpPr fitToPage="1"/>
  </sheetPr>
  <dimension ref="A1:D178"/>
  <sheetViews>
    <sheetView view="pageBreakPreview" zoomScale="80" zoomScaleNormal="70" zoomScaleSheetLayoutView="80" workbookViewId="0">
      <selection activeCell="F32" sqref="F32"/>
    </sheetView>
  </sheetViews>
  <sheetFormatPr defaultRowHeight="15"/>
  <cols>
    <col min="1" max="1" width="7.90625" customWidth="1"/>
    <col min="2" max="2" width="38.08984375" style="143" customWidth="1"/>
    <col min="3" max="3" width="81.6328125" customWidth="1"/>
    <col min="4" max="4" width="23.6328125" customWidth="1"/>
  </cols>
  <sheetData>
    <row r="1" spans="1:4" ht="17.399999999999999" customHeight="1">
      <c r="A1" s="45"/>
    </row>
    <row r="2" spans="1:4" ht="15" customHeight="1">
      <c r="A2" s="551" t="s">
        <v>154</v>
      </c>
      <c r="B2" s="551"/>
      <c r="C2" s="309"/>
    </row>
    <row r="3" spans="1:4" ht="15.65" customHeight="1" thickBot="1">
      <c r="A3" s="128"/>
      <c r="B3" s="144"/>
      <c r="C3" s="128"/>
    </row>
    <row r="4" spans="1:4" ht="21.75" customHeight="1" thickBot="1">
      <c r="A4" s="153" t="s">
        <v>60</v>
      </c>
      <c r="B4" s="145" t="s">
        <v>130</v>
      </c>
      <c r="C4" s="134" t="s">
        <v>120</v>
      </c>
      <c r="D4" s="154" t="s">
        <v>136</v>
      </c>
    </row>
    <row r="5" spans="1:4" ht="16.25" customHeight="1">
      <c r="A5" s="526" t="s">
        <v>177</v>
      </c>
      <c r="B5" s="264"/>
      <c r="C5" s="248" t="s">
        <v>171</v>
      </c>
      <c r="D5" s="391"/>
    </row>
    <row r="6" spans="1:4" ht="15" customHeight="1">
      <c r="A6" s="527"/>
      <c r="B6" s="265" t="s">
        <v>167</v>
      </c>
      <c r="C6" s="267" t="s">
        <v>139</v>
      </c>
      <c r="D6" s="392" t="s">
        <v>137</v>
      </c>
    </row>
    <row r="7" spans="1:4" ht="15" customHeight="1">
      <c r="A7" s="527"/>
      <c r="B7" s="126" t="s">
        <v>145</v>
      </c>
      <c r="C7" s="267" t="s">
        <v>172</v>
      </c>
      <c r="D7" s="393" t="s">
        <v>91</v>
      </c>
    </row>
    <row r="8" spans="1:4" ht="15" customHeight="1">
      <c r="A8" s="527"/>
      <c r="B8" s="269" t="s">
        <v>168</v>
      </c>
      <c r="C8" s="268" t="s">
        <v>173</v>
      </c>
      <c r="D8" s="393"/>
    </row>
    <row r="9" spans="1:4" ht="15" customHeight="1" thickBot="1">
      <c r="A9" s="528"/>
      <c r="B9" s="296" t="s">
        <v>169</v>
      </c>
      <c r="C9" s="271"/>
      <c r="D9" s="361"/>
    </row>
    <row r="10" spans="1:4" ht="15" customHeight="1">
      <c r="A10" s="374"/>
      <c r="B10" s="389"/>
      <c r="C10" s="390"/>
      <c r="D10" s="360"/>
    </row>
    <row r="11" spans="1:4" ht="15" customHeight="1" thickBot="1">
      <c r="A11" s="374"/>
      <c r="B11" s="389"/>
      <c r="C11" s="390"/>
      <c r="D11" s="360"/>
    </row>
    <row r="12" spans="1:4" ht="21.75" customHeight="1" thickBot="1">
      <c r="A12" s="153" t="s">
        <v>60</v>
      </c>
      <c r="B12" s="145" t="s">
        <v>130</v>
      </c>
      <c r="C12" s="134" t="s">
        <v>120</v>
      </c>
      <c r="D12" s="154" t="s">
        <v>136</v>
      </c>
    </row>
    <row r="13" spans="1:4" ht="16.25" customHeight="1">
      <c r="A13" s="526" t="s">
        <v>166</v>
      </c>
      <c r="B13" s="264"/>
      <c r="C13" s="248" t="s">
        <v>190</v>
      </c>
      <c r="D13" s="391"/>
    </row>
    <row r="14" spans="1:4" ht="16.25" customHeight="1">
      <c r="A14" s="527"/>
      <c r="B14" s="265" t="s">
        <v>183</v>
      </c>
      <c r="C14" s="267" t="s">
        <v>145</v>
      </c>
      <c r="D14" s="392"/>
    </row>
    <row r="15" spans="1:4" ht="16.25" customHeight="1">
      <c r="A15" s="527"/>
      <c r="B15" s="126" t="s">
        <v>184</v>
      </c>
      <c r="C15" s="267" t="s">
        <v>188</v>
      </c>
      <c r="D15" s="392"/>
    </row>
    <row r="16" spans="1:4" ht="16.25" customHeight="1">
      <c r="A16" s="527"/>
      <c r="B16" s="269" t="s">
        <v>185</v>
      </c>
      <c r="C16" s="268" t="s">
        <v>189</v>
      </c>
      <c r="D16" s="392" t="s">
        <v>137</v>
      </c>
    </row>
    <row r="17" spans="1:4" ht="16.25" customHeight="1" thickBot="1">
      <c r="A17" s="527"/>
      <c r="B17" s="296" t="s">
        <v>156</v>
      </c>
      <c r="C17" s="271"/>
      <c r="D17" s="393" t="s">
        <v>91</v>
      </c>
    </row>
    <row r="18" spans="1:4" ht="16.25" customHeight="1" thickBot="1">
      <c r="A18" s="527"/>
      <c r="B18" s="423"/>
      <c r="C18" s="425"/>
      <c r="D18" s="392"/>
    </row>
    <row r="19" spans="1:4" ht="16.25" customHeight="1">
      <c r="A19" s="527"/>
      <c r="B19" s="264"/>
      <c r="C19" s="248" t="s">
        <v>221</v>
      </c>
      <c r="D19" s="392"/>
    </row>
    <row r="20" spans="1:4" ht="15" customHeight="1">
      <c r="A20" s="527"/>
      <c r="B20" s="440" t="s">
        <v>217</v>
      </c>
      <c r="C20" s="440" t="s">
        <v>216</v>
      </c>
      <c r="D20" s="392"/>
    </row>
    <row r="21" spans="1:4" ht="15" customHeight="1" thickBot="1">
      <c r="A21" s="527"/>
      <c r="B21" s="430" t="s">
        <v>218</v>
      </c>
      <c r="C21" s="430" t="s">
        <v>216</v>
      </c>
      <c r="D21" s="393"/>
    </row>
    <row r="22" spans="1:4" ht="15" customHeight="1" thickBot="1">
      <c r="A22" s="527"/>
      <c r="B22" s="448"/>
      <c r="C22" s="450"/>
      <c r="D22" s="393"/>
    </row>
    <row r="23" spans="1:4" ht="15" customHeight="1" thickBot="1">
      <c r="A23" s="528"/>
      <c r="B23" s="329" t="s">
        <v>222</v>
      </c>
      <c r="C23" s="454" t="s">
        <v>223</v>
      </c>
      <c r="D23" s="361"/>
    </row>
    <row r="24" spans="1:4" ht="15" customHeight="1" thickBot="1">
      <c r="A24" s="374"/>
      <c r="B24" s="389"/>
      <c r="C24" s="390"/>
      <c r="D24" s="360"/>
    </row>
    <row r="25" spans="1:4" ht="21.75" customHeight="1" thickBot="1">
      <c r="A25" s="153">
        <v>3</v>
      </c>
      <c r="B25" s="145" t="s">
        <v>130</v>
      </c>
      <c r="C25" s="134" t="s">
        <v>120</v>
      </c>
      <c r="D25" s="154" t="s">
        <v>136</v>
      </c>
    </row>
    <row r="26" spans="1:4" ht="16.25" customHeight="1">
      <c r="A26" s="526" t="s">
        <v>241</v>
      </c>
      <c r="B26" s="264"/>
      <c r="C26" s="248" t="s">
        <v>191</v>
      </c>
      <c r="D26" s="391"/>
    </row>
    <row r="27" spans="1:4" ht="15" customHeight="1">
      <c r="A27" s="527"/>
      <c r="B27" s="265" t="s">
        <v>179</v>
      </c>
      <c r="C27" s="267"/>
      <c r="D27" s="392" t="s">
        <v>137</v>
      </c>
    </row>
    <row r="28" spans="1:4" ht="15" customHeight="1">
      <c r="A28" s="527"/>
      <c r="B28" s="265" t="s">
        <v>174</v>
      </c>
      <c r="C28" s="267"/>
      <c r="D28" s="393" t="s">
        <v>91</v>
      </c>
    </row>
    <row r="29" spans="1:4" ht="15" customHeight="1">
      <c r="A29" s="527"/>
      <c r="B29" s="265" t="s">
        <v>175</v>
      </c>
      <c r="C29" s="268"/>
      <c r="D29" s="393"/>
    </row>
    <row r="30" spans="1:4" ht="15" customHeight="1" thickBot="1">
      <c r="A30" s="528"/>
      <c r="B30" s="447" t="s">
        <v>176</v>
      </c>
      <c r="C30" s="271"/>
      <c r="D30" s="361"/>
    </row>
    <row r="31" spans="1:4" ht="15" customHeight="1" thickBot="1">
      <c r="A31" s="394"/>
      <c r="B31" s="389"/>
      <c r="C31" s="390"/>
      <c r="D31" s="360"/>
    </row>
    <row r="32" spans="1:4" ht="21.75" customHeight="1" thickBot="1">
      <c r="A32" s="153" t="s">
        <v>60</v>
      </c>
      <c r="B32" s="145" t="s">
        <v>130</v>
      </c>
      <c r="C32" s="134" t="s">
        <v>120</v>
      </c>
      <c r="D32" s="154" t="s">
        <v>136</v>
      </c>
    </row>
    <row r="33" spans="1:4" ht="16.25" customHeight="1">
      <c r="A33" s="526" t="s">
        <v>182</v>
      </c>
      <c r="B33" s="264"/>
      <c r="C33" s="248" t="s">
        <v>248</v>
      </c>
      <c r="D33" s="391"/>
    </row>
    <row r="34" spans="1:4" ht="15" customHeight="1">
      <c r="A34" s="527"/>
      <c r="B34" s="265" t="s">
        <v>242</v>
      </c>
      <c r="C34" s="267" t="s">
        <v>139</v>
      </c>
      <c r="D34" s="392" t="s">
        <v>137</v>
      </c>
    </row>
    <row r="35" spans="1:4" ht="15" customHeight="1">
      <c r="A35" s="527"/>
      <c r="B35" s="126" t="s">
        <v>139</v>
      </c>
      <c r="C35" s="267" t="s">
        <v>249</v>
      </c>
      <c r="D35" s="393" t="s">
        <v>91</v>
      </c>
    </row>
    <row r="36" spans="1:4" ht="15" customHeight="1">
      <c r="A36" s="527"/>
      <c r="B36" s="269" t="s">
        <v>243</v>
      </c>
      <c r="C36" s="268" t="s">
        <v>250</v>
      </c>
      <c r="D36" s="393"/>
    </row>
    <row r="37" spans="1:4" ht="15" customHeight="1" thickBot="1">
      <c r="A37" s="528"/>
      <c r="B37" s="296" t="s">
        <v>244</v>
      </c>
      <c r="C37" s="271"/>
      <c r="D37" s="361"/>
    </row>
    <row r="38" spans="1:4" ht="15" customHeight="1" thickBot="1">
      <c r="A38" s="395"/>
      <c r="B38" s="389"/>
      <c r="C38" s="390"/>
      <c r="D38" s="360"/>
    </row>
    <row r="39" spans="1:4" ht="21.75" customHeight="1" thickBot="1">
      <c r="A39" s="153" t="s">
        <v>60</v>
      </c>
      <c r="B39" s="145" t="s">
        <v>130</v>
      </c>
      <c r="C39" s="134" t="s">
        <v>120</v>
      </c>
      <c r="D39" s="154" t="s">
        <v>136</v>
      </c>
    </row>
    <row r="40" spans="1:4" ht="16.25" customHeight="1">
      <c r="A40" s="526" t="s">
        <v>192</v>
      </c>
      <c r="B40" s="497"/>
      <c r="C40" s="248" t="s">
        <v>202</v>
      </c>
      <c r="D40" s="391"/>
    </row>
    <row r="41" spans="1:4" ht="15" customHeight="1">
      <c r="A41" s="527"/>
      <c r="B41" s="175" t="s">
        <v>194</v>
      </c>
      <c r="C41" s="483" t="s">
        <v>234</v>
      </c>
      <c r="D41" s="392" t="s">
        <v>137</v>
      </c>
    </row>
    <row r="42" spans="1:4" ht="15" customHeight="1">
      <c r="A42" s="527"/>
      <c r="B42" s="498" t="s">
        <v>196</v>
      </c>
      <c r="C42" s="440" t="s">
        <v>235</v>
      </c>
      <c r="D42" s="393" t="s">
        <v>91</v>
      </c>
    </row>
    <row r="43" spans="1:4" ht="15" customHeight="1">
      <c r="A43" s="527"/>
      <c r="B43" s="499" t="s">
        <v>198</v>
      </c>
      <c r="C43" s="440" t="s">
        <v>236</v>
      </c>
      <c r="D43" s="393"/>
    </row>
    <row r="44" spans="1:4" ht="15" customHeight="1">
      <c r="A44" s="527"/>
      <c r="B44" s="498" t="s">
        <v>199</v>
      </c>
      <c r="C44" s="440" t="s">
        <v>237</v>
      </c>
      <c r="D44" s="393"/>
    </row>
    <row r="45" spans="1:4" ht="15" customHeight="1" thickBot="1">
      <c r="A45" s="528"/>
      <c r="B45" s="500" t="s">
        <v>232</v>
      </c>
      <c r="C45" s="484" t="s">
        <v>238</v>
      </c>
      <c r="D45" s="361"/>
    </row>
    <row r="46" spans="1:4" ht="15" customHeight="1">
      <c r="A46" s="394"/>
      <c r="B46" s="389"/>
      <c r="C46" s="390"/>
      <c r="D46" s="360"/>
    </row>
    <row r="47" spans="1:4" ht="15" customHeight="1" thickBot="1">
      <c r="A47" s="395"/>
      <c r="B47" s="389"/>
      <c r="C47" s="390"/>
      <c r="D47" s="360"/>
    </row>
    <row r="48" spans="1:4" ht="21.75" customHeight="1" thickBot="1">
      <c r="A48" s="153" t="s">
        <v>60</v>
      </c>
      <c r="B48" s="145" t="s">
        <v>130</v>
      </c>
      <c r="C48" s="134" t="s">
        <v>120</v>
      </c>
      <c r="D48" s="154" t="s">
        <v>136</v>
      </c>
    </row>
    <row r="49" spans="1:4" ht="16.25" customHeight="1">
      <c r="A49" s="526" t="s">
        <v>251</v>
      </c>
      <c r="B49" s="478"/>
      <c r="C49" s="248" t="s">
        <v>210</v>
      </c>
      <c r="D49" s="391"/>
    </row>
    <row r="50" spans="1:4" ht="15" customHeight="1">
      <c r="A50" s="527"/>
      <c r="B50" s="474">
        <v>500</v>
      </c>
      <c r="C50" s="483" t="s">
        <v>211</v>
      </c>
      <c r="D50" s="392" t="s">
        <v>137</v>
      </c>
    </row>
    <row r="51" spans="1:4" ht="15" customHeight="1">
      <c r="A51" s="527"/>
      <c r="B51" s="475">
        <v>500</v>
      </c>
      <c r="C51" s="440" t="s">
        <v>211</v>
      </c>
      <c r="D51" s="393" t="s">
        <v>91</v>
      </c>
    </row>
    <row r="52" spans="1:4" ht="15" customHeight="1">
      <c r="A52" s="527"/>
      <c r="B52" s="476" t="s">
        <v>203</v>
      </c>
      <c r="C52" s="440"/>
      <c r="D52" s="393"/>
    </row>
    <row r="53" spans="1:4" ht="15" customHeight="1">
      <c r="A53" s="527"/>
      <c r="B53" s="475" t="s">
        <v>204</v>
      </c>
      <c r="C53" s="440" t="s">
        <v>212</v>
      </c>
      <c r="D53" s="393"/>
    </row>
    <row r="54" spans="1:4" ht="15" customHeight="1">
      <c r="A54" s="527"/>
      <c r="B54" s="475" t="s">
        <v>204</v>
      </c>
      <c r="C54" s="440" t="s">
        <v>212</v>
      </c>
      <c r="D54" s="393"/>
    </row>
    <row r="55" spans="1:4" ht="15" customHeight="1" thickBot="1">
      <c r="A55" s="527"/>
      <c r="B55" s="479">
        <v>1000</v>
      </c>
      <c r="C55" s="435" t="s">
        <v>239</v>
      </c>
      <c r="D55" s="501"/>
    </row>
    <row r="56" spans="1:4" ht="15" customHeight="1" thickBot="1">
      <c r="A56" s="527"/>
      <c r="B56" s="504"/>
      <c r="C56" s="505"/>
      <c r="D56" s="502"/>
    </row>
    <row r="57" spans="1:4" ht="15" customHeight="1" thickBot="1">
      <c r="A57" s="528"/>
      <c r="B57" s="503" t="s">
        <v>233</v>
      </c>
      <c r="C57" s="430" t="s">
        <v>240</v>
      </c>
      <c r="D57" s="361"/>
    </row>
    <row r="58" spans="1:4" ht="15" customHeight="1">
      <c r="A58" s="394"/>
      <c r="B58" s="389"/>
      <c r="C58" s="390"/>
      <c r="D58" s="360"/>
    </row>
    <row r="59" spans="1:4" ht="15" customHeight="1">
      <c r="A59" s="372"/>
      <c r="B59" s="372"/>
      <c r="C59" s="372"/>
      <c r="D59" s="372"/>
    </row>
    <row r="60" spans="1:4" ht="21.65" customHeight="1">
      <c r="A60" s="372"/>
      <c r="B60" s="372"/>
      <c r="C60" s="372"/>
      <c r="D60" s="372"/>
    </row>
    <row r="61" spans="1:4" ht="15" customHeight="1">
      <c r="A61" s="372"/>
      <c r="B61" s="372"/>
      <c r="C61" s="372"/>
      <c r="D61" s="372"/>
    </row>
    <row r="62" spans="1:4" ht="16.25" customHeight="1">
      <c r="A62" s="372"/>
      <c r="B62" s="372"/>
      <c r="C62" s="372"/>
      <c r="D62" s="372"/>
    </row>
    <row r="63" spans="1:4" ht="15" customHeight="1">
      <c r="A63" s="372"/>
      <c r="B63" s="372"/>
      <c r="C63" s="372"/>
      <c r="D63" s="372"/>
    </row>
    <row r="64" spans="1:4" ht="15" customHeight="1">
      <c r="A64" s="372"/>
      <c r="B64" s="372"/>
      <c r="C64" s="372"/>
      <c r="D64" s="372"/>
    </row>
    <row r="65" spans="1:4" ht="15" customHeight="1">
      <c r="A65" s="372"/>
      <c r="B65" s="372"/>
      <c r="C65" s="372"/>
      <c r="D65" s="372"/>
    </row>
    <row r="66" spans="1:4" ht="15" customHeight="1">
      <c r="A66" s="372"/>
      <c r="B66" s="372"/>
      <c r="C66" s="372"/>
      <c r="D66" s="372"/>
    </row>
    <row r="67" spans="1:4" ht="21.65" customHeight="1">
      <c r="A67" s="372"/>
      <c r="B67" s="372"/>
      <c r="C67" s="372"/>
      <c r="D67" s="372"/>
    </row>
    <row r="68" spans="1:4" ht="15" customHeight="1">
      <c r="A68" s="372"/>
      <c r="B68" s="372"/>
      <c r="C68" s="372"/>
      <c r="D68" s="372"/>
    </row>
    <row r="69" spans="1:4" ht="16.25" customHeight="1">
      <c r="A69" s="372"/>
      <c r="B69" s="372"/>
      <c r="C69" s="372"/>
      <c r="D69" s="372"/>
    </row>
    <row r="70" spans="1:4" ht="15" customHeight="1">
      <c r="A70" s="372"/>
      <c r="B70" s="372"/>
      <c r="C70" s="372"/>
      <c r="D70" s="372"/>
    </row>
    <row r="71" spans="1:4" ht="15" customHeight="1">
      <c r="A71" s="372"/>
      <c r="B71" s="372"/>
      <c r="C71" s="372"/>
      <c r="D71" s="372"/>
    </row>
    <row r="72" spans="1:4" ht="15" customHeight="1">
      <c r="A72" s="372"/>
      <c r="B72" s="372"/>
      <c r="C72" s="372"/>
      <c r="D72" s="372"/>
    </row>
    <row r="73" spans="1:4" ht="15" customHeight="1">
      <c r="A73" s="372"/>
      <c r="B73" s="372"/>
      <c r="C73" s="372"/>
      <c r="D73" s="372"/>
    </row>
    <row r="74" spans="1:4" ht="21.65" customHeight="1">
      <c r="A74" s="372"/>
      <c r="B74" s="372"/>
      <c r="C74" s="372"/>
      <c r="D74" s="372"/>
    </row>
    <row r="75" spans="1:4" ht="21.65" customHeight="1">
      <c r="A75" s="372"/>
      <c r="B75" s="372"/>
      <c r="C75" s="372"/>
      <c r="D75" s="372"/>
    </row>
    <row r="76" spans="1:4" ht="15" customHeight="1">
      <c r="A76" s="372"/>
      <c r="B76" s="372"/>
      <c r="C76" s="372"/>
      <c r="D76" s="372"/>
    </row>
    <row r="77" spans="1:4" ht="16.25" customHeight="1">
      <c r="A77" s="372"/>
      <c r="B77" s="372"/>
      <c r="C77" s="372"/>
      <c r="D77" s="372"/>
    </row>
    <row r="78" spans="1:4" ht="15" customHeight="1">
      <c r="A78" s="372"/>
      <c r="B78" s="372"/>
      <c r="C78" s="372"/>
      <c r="D78" s="372"/>
    </row>
    <row r="79" spans="1:4" ht="15" customHeight="1">
      <c r="A79" s="372"/>
      <c r="B79" s="372"/>
      <c r="C79" s="372"/>
      <c r="D79" s="372"/>
    </row>
    <row r="80" spans="1:4" ht="15" customHeight="1">
      <c r="A80" s="372"/>
      <c r="B80" s="372"/>
      <c r="C80" s="372"/>
      <c r="D80" s="372"/>
    </row>
    <row r="81" spans="1:4" ht="23" customHeight="1">
      <c r="A81" s="372"/>
      <c r="B81" s="372"/>
      <c r="C81" s="372"/>
      <c r="D81" s="372"/>
    </row>
    <row r="82" spans="1:4" ht="21.65" customHeight="1">
      <c r="A82" s="372"/>
      <c r="B82" s="372"/>
      <c r="C82" s="372"/>
      <c r="D82" s="372"/>
    </row>
    <row r="83" spans="1:4" ht="15" customHeight="1">
      <c r="A83" s="372"/>
      <c r="B83" s="372"/>
      <c r="C83" s="372"/>
      <c r="D83" s="372"/>
    </row>
    <row r="84" spans="1:4" ht="16.25" customHeight="1">
      <c r="A84" s="372"/>
      <c r="B84" s="372"/>
      <c r="C84" s="372"/>
      <c r="D84" s="372"/>
    </row>
    <row r="85" spans="1:4" ht="15" customHeight="1">
      <c r="A85" s="372"/>
      <c r="B85" s="372"/>
      <c r="C85" s="372"/>
      <c r="D85" s="372"/>
    </row>
    <row r="86" spans="1:4" ht="15" customHeight="1">
      <c r="A86" s="372"/>
      <c r="B86" s="372"/>
      <c r="C86" s="372"/>
      <c r="D86" s="372"/>
    </row>
    <row r="87" spans="1:4" ht="15" customHeight="1">
      <c r="A87" s="372"/>
      <c r="B87" s="372"/>
      <c r="C87" s="372"/>
      <c r="D87" s="372"/>
    </row>
    <row r="88" spans="1:4" ht="15" customHeight="1">
      <c r="A88" s="372"/>
      <c r="B88" s="372"/>
      <c r="C88" s="372"/>
      <c r="D88" s="372"/>
    </row>
    <row r="89" spans="1:4" ht="21.65" customHeight="1">
      <c r="A89" s="372"/>
      <c r="B89" s="372"/>
      <c r="C89" s="372"/>
      <c r="D89" s="372"/>
    </row>
    <row r="90" spans="1:4" ht="15" customHeight="1">
      <c r="A90" s="372"/>
      <c r="B90" s="372"/>
      <c r="C90" s="372"/>
      <c r="D90" s="372"/>
    </row>
    <row r="91" spans="1:4" ht="16.25" customHeight="1">
      <c r="A91" s="372"/>
      <c r="B91" s="372"/>
      <c r="C91" s="372"/>
      <c r="D91" s="372"/>
    </row>
    <row r="92" spans="1:4" ht="15" customHeight="1">
      <c r="A92" s="372"/>
      <c r="B92" s="372"/>
      <c r="C92" s="372"/>
      <c r="D92" s="372"/>
    </row>
    <row r="93" spans="1:4" ht="15" customHeight="1">
      <c r="A93" s="372"/>
      <c r="B93" s="372"/>
      <c r="C93" s="372"/>
      <c r="D93" s="372"/>
    </row>
    <row r="94" spans="1:4" ht="15" customHeight="1">
      <c r="A94" s="372"/>
      <c r="B94" s="372"/>
      <c r="C94" s="372"/>
      <c r="D94" s="372"/>
    </row>
    <row r="95" spans="1:4" ht="15" customHeight="1">
      <c r="A95" s="372"/>
      <c r="B95" s="372"/>
      <c r="C95" s="372"/>
      <c r="D95" s="372"/>
    </row>
    <row r="96" spans="1:4" ht="21.65" customHeight="1">
      <c r="A96" s="372"/>
      <c r="B96" s="372"/>
      <c r="C96" s="372"/>
      <c r="D96" s="372"/>
    </row>
    <row r="97" spans="1:4" ht="15" customHeight="1">
      <c r="A97" s="372"/>
      <c r="B97" s="372"/>
      <c r="C97" s="372"/>
      <c r="D97" s="372"/>
    </row>
    <row r="98" spans="1:4" ht="16.25" customHeight="1">
      <c r="A98" s="372"/>
      <c r="B98" s="372"/>
      <c r="C98" s="372"/>
      <c r="D98" s="372"/>
    </row>
    <row r="99" spans="1:4" ht="21.65" customHeight="1">
      <c r="A99" s="372"/>
      <c r="B99" s="372"/>
      <c r="C99" s="372"/>
      <c r="D99" s="372"/>
    </row>
    <row r="100" spans="1:4" ht="15" customHeight="1">
      <c r="A100" s="372"/>
      <c r="B100" s="372"/>
      <c r="C100" s="372"/>
      <c r="D100" s="372"/>
    </row>
    <row r="101" spans="1:4" ht="15" customHeight="1">
      <c r="A101" s="372"/>
      <c r="B101" s="372"/>
      <c r="C101" s="372"/>
      <c r="D101" s="372"/>
    </row>
    <row r="102" spans="1:4" ht="15" customHeight="1">
      <c r="A102" s="372"/>
      <c r="B102" s="372"/>
      <c r="C102" s="372"/>
      <c r="D102" s="372"/>
    </row>
    <row r="103" spans="1:4" ht="15" customHeight="1">
      <c r="A103" s="372"/>
      <c r="B103" s="372"/>
      <c r="C103" s="372"/>
      <c r="D103" s="372"/>
    </row>
    <row r="104" spans="1:4" ht="21.65" customHeight="1">
      <c r="A104" s="372"/>
      <c r="B104" s="372"/>
      <c r="C104" s="372"/>
      <c r="D104" s="372"/>
    </row>
    <row r="105" spans="1:4" ht="15" customHeight="1">
      <c r="A105" s="372"/>
      <c r="B105" s="372"/>
      <c r="C105" s="372"/>
      <c r="D105" s="372"/>
    </row>
    <row r="106" spans="1:4" ht="16.25" customHeight="1">
      <c r="A106" s="372"/>
      <c r="B106" s="372"/>
      <c r="C106" s="372"/>
      <c r="D106" s="372"/>
    </row>
    <row r="107" spans="1:4" ht="15" customHeight="1">
      <c r="A107" s="372"/>
      <c r="B107" s="372"/>
      <c r="C107" s="372"/>
      <c r="D107" s="372"/>
    </row>
    <row r="108" spans="1:4" ht="15" customHeight="1">
      <c r="A108" s="372"/>
      <c r="B108" s="372"/>
      <c r="C108" s="372"/>
      <c r="D108" s="372"/>
    </row>
    <row r="109" spans="1:4" ht="15" customHeight="1">
      <c r="A109" s="372"/>
      <c r="B109" s="372"/>
      <c r="C109" s="372"/>
      <c r="D109" s="372"/>
    </row>
    <row r="110" spans="1:4" ht="15" customHeight="1">
      <c r="A110" s="372"/>
      <c r="B110" s="372"/>
      <c r="C110" s="372"/>
      <c r="D110" s="372"/>
    </row>
    <row r="111" spans="1:4" ht="21.65" customHeight="1">
      <c r="A111" s="372"/>
      <c r="B111" s="372"/>
      <c r="C111" s="372"/>
      <c r="D111" s="372"/>
    </row>
    <row r="112" spans="1:4" ht="15" customHeight="1">
      <c r="A112" s="372"/>
      <c r="B112" s="372"/>
      <c r="C112" s="372"/>
      <c r="D112" s="372"/>
    </row>
    <row r="113" spans="1:4" ht="16.25" customHeight="1">
      <c r="A113" s="372"/>
      <c r="B113" s="372"/>
      <c r="C113" s="372"/>
      <c r="D113" s="372"/>
    </row>
    <row r="114" spans="1:4" ht="15" customHeight="1">
      <c r="A114" s="372"/>
      <c r="B114" s="372"/>
      <c r="C114" s="372"/>
      <c r="D114" s="372"/>
    </row>
    <row r="115" spans="1:4" ht="15" customHeight="1">
      <c r="A115" s="372"/>
      <c r="B115" s="372"/>
      <c r="C115" s="372"/>
      <c r="D115" s="372"/>
    </row>
    <row r="116" spans="1:4" ht="15" customHeight="1">
      <c r="A116" s="372"/>
      <c r="B116" s="372"/>
      <c r="C116" s="372"/>
      <c r="D116" s="372"/>
    </row>
    <row r="117" spans="1:4" ht="15" customHeight="1">
      <c r="A117" s="372"/>
      <c r="B117" s="372"/>
      <c r="C117" s="372"/>
      <c r="D117" s="372"/>
    </row>
    <row r="118" spans="1:4" ht="21.65" customHeight="1">
      <c r="A118" s="372"/>
      <c r="B118" s="372"/>
      <c r="C118" s="372"/>
      <c r="D118" s="372"/>
    </row>
    <row r="119" spans="1:4" ht="15" customHeight="1">
      <c r="A119" s="372"/>
      <c r="B119" s="372"/>
      <c r="C119" s="372"/>
      <c r="D119" s="372"/>
    </row>
    <row r="120" spans="1:4" ht="16.25" customHeight="1">
      <c r="A120" s="372"/>
      <c r="B120" s="372"/>
      <c r="C120" s="372"/>
      <c r="D120" s="372"/>
    </row>
    <row r="121" spans="1:4" ht="15" customHeight="1">
      <c r="A121" s="372"/>
      <c r="B121" s="372"/>
      <c r="C121" s="372"/>
      <c r="D121" s="372"/>
    </row>
    <row r="122" spans="1:4" ht="15" customHeight="1">
      <c r="A122" s="372"/>
      <c r="B122" s="372"/>
      <c r="C122" s="372"/>
      <c r="D122" s="372"/>
    </row>
    <row r="123" spans="1:4" ht="15" customHeight="1">
      <c r="A123" s="372"/>
      <c r="B123" s="372"/>
      <c r="C123" s="372"/>
      <c r="D123" s="372"/>
    </row>
    <row r="124" spans="1:4" ht="15" customHeight="1">
      <c r="A124" s="372"/>
      <c r="B124" s="372"/>
      <c r="C124" s="372"/>
      <c r="D124" s="372"/>
    </row>
    <row r="125" spans="1:4" ht="21.65" customHeight="1">
      <c r="A125" s="372"/>
      <c r="B125" s="372"/>
      <c r="C125" s="372"/>
      <c r="D125" s="372"/>
    </row>
    <row r="126" spans="1:4" ht="15" customHeight="1">
      <c r="A126" s="372"/>
      <c r="B126" s="372"/>
      <c r="C126" s="372"/>
      <c r="D126" s="372"/>
    </row>
    <row r="127" spans="1:4" ht="16.25" customHeight="1">
      <c r="A127" s="372"/>
      <c r="B127" s="372"/>
      <c r="C127" s="372"/>
      <c r="D127" s="372"/>
    </row>
    <row r="128" spans="1:4" ht="15" customHeight="1">
      <c r="A128" s="372"/>
      <c r="B128" s="372"/>
      <c r="C128" s="372"/>
      <c r="D128" s="372"/>
    </row>
    <row r="129" spans="1:4" ht="15" customHeight="1">
      <c r="A129" s="372"/>
      <c r="B129" s="372"/>
      <c r="C129" s="372"/>
      <c r="D129" s="372"/>
    </row>
    <row r="130" spans="1:4" ht="15" customHeight="1">
      <c r="A130" s="372"/>
      <c r="B130" s="372"/>
      <c r="C130" s="372"/>
      <c r="D130" s="372"/>
    </row>
    <row r="131" spans="1:4" ht="15" customHeight="1">
      <c r="A131" s="372"/>
      <c r="B131" s="372"/>
      <c r="C131" s="372"/>
      <c r="D131" s="372"/>
    </row>
    <row r="132" spans="1:4" ht="16.25" customHeight="1">
      <c r="A132" s="372"/>
      <c r="B132" s="372"/>
      <c r="C132" s="372"/>
      <c r="D132" s="372"/>
    </row>
    <row r="133" spans="1:4" ht="16.25" customHeight="1">
      <c r="A133" s="372"/>
      <c r="B133" s="372"/>
      <c r="C133" s="372"/>
      <c r="D133" s="372"/>
    </row>
    <row r="134" spans="1:4" ht="15" customHeight="1">
      <c r="A134" s="372"/>
      <c r="B134" s="372"/>
      <c r="C134" s="372"/>
      <c r="D134" s="372"/>
    </row>
    <row r="135" spans="1:4" ht="15" customHeight="1">
      <c r="A135" s="372"/>
      <c r="B135" s="372"/>
      <c r="C135" s="372"/>
      <c r="D135" s="372"/>
    </row>
    <row r="136" spans="1:4" ht="24" customHeight="1">
      <c r="A136" s="372"/>
      <c r="B136" s="372"/>
      <c r="C136" s="372"/>
      <c r="D136" s="372"/>
    </row>
    <row r="137" spans="1:4" ht="21.65" customHeight="1">
      <c r="A137" s="372"/>
      <c r="B137" s="372"/>
      <c r="C137" s="372"/>
      <c r="D137" s="372"/>
    </row>
    <row r="138" spans="1:4" ht="16.25" customHeight="1">
      <c r="A138" s="372"/>
      <c r="B138" s="372"/>
      <c r="C138" s="372"/>
      <c r="D138" s="372"/>
    </row>
    <row r="139" spans="1:4" ht="15" customHeight="1">
      <c r="A139" s="372"/>
      <c r="B139" s="372"/>
      <c r="C139" s="372"/>
      <c r="D139" s="372"/>
    </row>
    <row r="140" spans="1:4" ht="15.65" customHeight="1">
      <c r="A140" s="372"/>
      <c r="B140" s="372"/>
      <c r="C140" s="372"/>
      <c r="D140" s="372"/>
    </row>
    <row r="141" spans="1:4" ht="21.75" customHeight="1">
      <c r="A141" s="372"/>
      <c r="B141" s="372"/>
      <c r="C141" s="372"/>
      <c r="D141" s="372"/>
    </row>
    <row r="142" spans="1:4" ht="15" customHeight="1">
      <c r="A142" s="372"/>
      <c r="B142" s="372"/>
      <c r="C142" s="372"/>
      <c r="D142" s="372"/>
    </row>
    <row r="143" spans="1:4" ht="17.399999999999999" customHeight="1">
      <c r="A143" s="372"/>
      <c r="B143" s="372"/>
      <c r="C143" s="372"/>
      <c r="D143" s="372"/>
    </row>
    <row r="144" spans="1:4" ht="17" customHeight="1">
      <c r="A144" s="372"/>
      <c r="B144" s="372"/>
      <c r="C144" s="372"/>
      <c r="D144" s="372"/>
    </row>
    <row r="145" spans="1:4" ht="21.65" customHeight="1">
      <c r="A145" s="372"/>
      <c r="B145" s="372"/>
      <c r="C145" s="372"/>
      <c r="D145" s="372"/>
    </row>
    <row r="146" spans="1:4" ht="15" customHeight="1">
      <c r="A146" s="372"/>
      <c r="B146" s="372"/>
      <c r="C146" s="372"/>
      <c r="D146" s="372"/>
    </row>
    <row r="147" spans="1:4" ht="15" customHeight="1">
      <c r="A147" s="372"/>
      <c r="B147" s="372"/>
      <c r="C147" s="372"/>
      <c r="D147" s="372"/>
    </row>
    <row r="148" spans="1:4" ht="15" customHeight="1">
      <c r="A148" s="372"/>
      <c r="B148" s="372"/>
      <c r="C148" s="372"/>
      <c r="D148" s="372"/>
    </row>
    <row r="149" spans="1:4" ht="15" customHeight="1">
      <c r="A149" s="372"/>
      <c r="B149" s="372"/>
      <c r="C149" s="372"/>
      <c r="D149" s="372"/>
    </row>
    <row r="150" spans="1:4" ht="15" customHeight="1">
      <c r="A150" s="372"/>
      <c r="B150" s="372"/>
      <c r="C150" s="372"/>
      <c r="D150" s="372"/>
    </row>
    <row r="151" spans="1:4" ht="15" customHeight="1">
      <c r="A151" s="372"/>
      <c r="B151" s="372"/>
      <c r="C151" s="372"/>
      <c r="D151" s="372"/>
    </row>
    <row r="152" spans="1:4" ht="15.65" customHeight="1">
      <c r="A152" s="372"/>
      <c r="B152" s="372"/>
      <c r="C152" s="372"/>
      <c r="D152" s="372"/>
    </row>
    <row r="153" spans="1:4" ht="15" customHeight="1">
      <c r="A153" s="372"/>
      <c r="B153" s="372"/>
      <c r="C153" s="372"/>
      <c r="D153" s="372"/>
    </row>
    <row r="154" spans="1:4" ht="15" customHeight="1">
      <c r="A154" s="372"/>
      <c r="B154" s="372"/>
      <c r="C154" s="372"/>
      <c r="D154" s="372"/>
    </row>
    <row r="155" spans="1:4" ht="15" customHeight="1">
      <c r="A155" s="372"/>
      <c r="B155" s="372"/>
      <c r="C155" s="372"/>
      <c r="D155" s="372"/>
    </row>
    <row r="156" spans="1:4" ht="15" customHeight="1">
      <c r="A156" s="372"/>
      <c r="B156" s="372"/>
      <c r="C156" s="372"/>
      <c r="D156" s="372"/>
    </row>
    <row r="157" spans="1:4" ht="15" customHeight="1">
      <c r="A157" s="372"/>
      <c r="B157" s="372"/>
      <c r="C157" s="372"/>
      <c r="D157" s="372"/>
    </row>
    <row r="158" spans="1:4" ht="15" customHeight="1">
      <c r="A158" s="372"/>
      <c r="B158" s="372"/>
      <c r="C158" s="372"/>
      <c r="D158" s="372"/>
    </row>
    <row r="159" spans="1:4" s="188" customFormat="1" ht="15" customHeight="1">
      <c r="A159" s="372"/>
      <c r="B159" s="372"/>
      <c r="C159" s="372"/>
      <c r="D159" s="372"/>
    </row>
    <row r="160" spans="1:4" s="188" customFormat="1" ht="15" customHeight="1">
      <c r="A160" s="372"/>
      <c r="B160" s="372"/>
      <c r="C160" s="372"/>
      <c r="D160" s="372"/>
    </row>
    <row r="161" spans="1:4" ht="15" customHeight="1">
      <c r="A161" s="372"/>
      <c r="B161" s="372"/>
      <c r="C161" s="372"/>
      <c r="D161" s="372"/>
    </row>
    <row r="162" spans="1:4" ht="14" customHeight="1">
      <c r="A162" s="372"/>
      <c r="B162" s="372"/>
      <c r="C162" s="372"/>
      <c r="D162" s="372"/>
    </row>
    <row r="163" spans="1:4" ht="15" customHeight="1">
      <c r="A163" s="372"/>
      <c r="B163" s="372"/>
      <c r="C163" s="372"/>
      <c r="D163" s="372"/>
    </row>
    <row r="164" spans="1:4" ht="15" customHeight="1">
      <c r="A164" s="372"/>
      <c r="B164" s="372"/>
      <c r="C164" s="372"/>
      <c r="D164" s="372"/>
    </row>
    <row r="165" spans="1:4" ht="15" customHeight="1">
      <c r="A165" s="372"/>
      <c r="B165" s="372"/>
      <c r="C165" s="372"/>
      <c r="D165" s="372"/>
    </row>
    <row r="166" spans="1:4" ht="15" customHeight="1">
      <c r="A166" s="372"/>
      <c r="B166" s="372"/>
      <c r="C166" s="372"/>
      <c r="D166" s="372"/>
    </row>
    <row r="167" spans="1:4" ht="15" customHeight="1">
      <c r="A167" s="372"/>
      <c r="B167" s="372"/>
      <c r="C167" s="372"/>
      <c r="D167" s="372"/>
    </row>
    <row r="168" spans="1:4" ht="15" customHeight="1">
      <c r="A168" s="372"/>
      <c r="B168" s="372"/>
      <c r="C168" s="372"/>
      <c r="D168" s="372"/>
    </row>
    <row r="169" spans="1:4" ht="12.65" customHeight="1">
      <c r="A169" s="372"/>
      <c r="B169" s="372"/>
      <c r="C169" s="372"/>
      <c r="D169" s="372"/>
    </row>
    <row r="170" spans="1:4" ht="15.65" customHeight="1">
      <c r="A170" s="372"/>
      <c r="B170" s="372"/>
      <c r="C170" s="372"/>
      <c r="D170" s="372"/>
    </row>
    <row r="171" spans="1:4" ht="41" customHeight="1">
      <c r="A171" s="372"/>
      <c r="B171" s="372"/>
      <c r="C171" s="372"/>
      <c r="D171" s="372"/>
    </row>
    <row r="172" spans="1:4" ht="21.75" customHeight="1">
      <c r="A172" s="372"/>
      <c r="B172" s="372"/>
      <c r="C172" s="372"/>
      <c r="D172" s="372"/>
    </row>
    <row r="173" spans="1:4" ht="15" customHeight="1" thickBot="1">
      <c r="A173" s="373"/>
      <c r="B173" s="373"/>
      <c r="C173" s="373"/>
      <c r="D173" s="373"/>
    </row>
    <row r="174" spans="1:4" ht="10.25" customHeight="1">
      <c r="A174" s="132"/>
      <c r="B174" s="132"/>
      <c r="C174" s="337"/>
      <c r="D174" s="132"/>
    </row>
    <row r="175" spans="1:4">
      <c r="A175" s="132"/>
      <c r="B175" s="132"/>
      <c r="C175" s="132"/>
      <c r="D175" s="132"/>
    </row>
    <row r="176" spans="1:4">
      <c r="A176" s="132"/>
      <c r="B176" s="132"/>
      <c r="C176" s="132"/>
      <c r="D176" s="132"/>
    </row>
    <row r="177" spans="1:4">
      <c r="A177" s="132"/>
      <c r="B177" s="132"/>
      <c r="C177" s="132"/>
      <c r="D177" s="132"/>
    </row>
    <row r="178" spans="1:4">
      <c r="A178" s="132"/>
      <c r="B178" s="132"/>
      <c r="C178" s="132"/>
      <c r="D178" s="132"/>
    </row>
  </sheetData>
  <mergeCells count="7">
    <mergeCell ref="A49:A57"/>
    <mergeCell ref="A33:A37"/>
    <mergeCell ref="A2:B2"/>
    <mergeCell ref="A5:A9"/>
    <mergeCell ref="A13:A23"/>
    <mergeCell ref="A26:A30"/>
    <mergeCell ref="A40:A45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2" manualBreakCount="2">
    <brk id="81" max="3" man="1"/>
    <brk id="136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shipper master</vt:lpstr>
      <vt:lpstr>case mark </vt:lpstr>
      <vt:lpstr>invoice</vt:lpstr>
      <vt:lpstr>NARITA </vt:lpstr>
      <vt:lpstr>NARITA (2)</vt:lpstr>
      <vt:lpstr>サンプル製品カタログ</vt:lpstr>
      <vt:lpstr>LABEL</vt:lpstr>
      <vt:lpstr>LABEL!Print_Area</vt:lpstr>
      <vt:lpstr>'NARITA '!Print_Area</vt:lpstr>
      <vt:lpstr>'NARITA (2)'!Print_Area</vt:lpstr>
      <vt:lpstr>サンプル製品カタログ!Print_Area</vt:lpstr>
      <vt:lpstr>LABEL!Print_Titles</vt:lpstr>
      <vt:lpstr>'NARITA '!Print_Titles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2023-11-28T07:54:00Z</cp:lastPrinted>
  <dcterms:created xsi:type="dcterms:W3CDTF">2002-07-31T13:14:08Z</dcterms:created>
  <dcterms:modified xsi:type="dcterms:W3CDTF">2025-10-30T08:13:58Z</dcterms:modified>
</cp:coreProperties>
</file>