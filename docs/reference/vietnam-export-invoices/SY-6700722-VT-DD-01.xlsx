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B383F8FF-9B79-45D6-8C6D-546FEA62E6C9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ipper master" sheetId="17" r:id="rId1"/>
    <sheet name="case mark " sheetId="64" r:id="rId2"/>
    <sheet name="invoice" sheetId="65" r:id="rId3"/>
    <sheet name="NARITA " sheetId="60" r:id="rId4"/>
    <sheet name="サンプル製品カタログ" sheetId="67" r:id="rId5"/>
    <sheet name="LABEL" sheetId="66" r:id="rId6"/>
  </sheets>
  <externalReferences>
    <externalReference r:id="rId7"/>
    <externalReference r:id="rId8"/>
    <externalReference r:id="rId9"/>
  </externalReferences>
  <definedNames>
    <definedName name="pricetable" localSheetId="1">#REF!</definedName>
    <definedName name="pricetable" localSheetId="5">#REF!</definedName>
    <definedName name="pricetable" localSheetId="3">#REF!</definedName>
    <definedName name="pricetable" localSheetId="4">#REF!</definedName>
    <definedName name="pricetable">#REF!</definedName>
    <definedName name="_xlnm.Print_Area" localSheetId="5">LABEL!$A$1:$D$46</definedName>
    <definedName name="_xlnm.Print_Area" localSheetId="3">'NARITA '!$A$1:$N$50</definedName>
    <definedName name="_xlnm.Print_Area" localSheetId="4">サンプル製品カタログ!$A$2:$I$8</definedName>
    <definedName name="_xlnm.Print_Titles" localSheetId="5">LABEL!$1:$3</definedName>
    <definedName name="_xlnm.Print_Titles" localSheetId="3">'NARITA '!$1:$6</definedName>
    <definedName name="_xlnm.Print_Titles" localSheetId="4">サンプル製品カタログ!$2:$2</definedName>
  </definedNames>
  <calcPr calcId="191029"/>
</workbook>
</file>

<file path=xl/calcChain.xml><?xml version="1.0" encoding="utf-8"?>
<calcChain xmlns="http://schemas.openxmlformats.org/spreadsheetml/2006/main">
  <c r="M30" i="65" l="1"/>
  <c r="K30" i="65"/>
  <c r="M28" i="65"/>
  <c r="K28" i="65"/>
  <c r="K26" i="65"/>
  <c r="H47" i="60"/>
  <c r="E49" i="60"/>
  <c r="E48" i="60"/>
  <c r="E47" i="60"/>
  <c r="H49" i="60" l="1"/>
  <c r="H45" i="60"/>
  <c r="H44" i="60"/>
  <c r="H42" i="60"/>
  <c r="H40" i="60"/>
  <c r="H34" i="60" l="1"/>
  <c r="H33" i="60"/>
  <c r="H23" i="60"/>
  <c r="H22" i="60" l="1"/>
  <c r="H21" i="60"/>
  <c r="H17" i="60"/>
  <c r="H16" i="60"/>
  <c r="H15" i="60"/>
  <c r="H10" i="60" l="1"/>
  <c r="H32" i="60" l="1"/>
  <c r="K27" i="65"/>
  <c r="F30" i="65" s="1"/>
  <c r="D30" i="65"/>
  <c r="H36" i="60"/>
  <c r="H27" i="60" l="1"/>
  <c r="H48" i="60" s="1"/>
  <c r="M27" i="65" l="1"/>
  <c r="H9" i="60" l="1"/>
  <c r="F9" i="65"/>
  <c r="H50" i="60" l="1"/>
  <c r="M26" i="65"/>
  <c r="C45" i="17" s="1"/>
  <c r="F11" i="65"/>
  <c r="F7" i="65"/>
  <c r="L8" i="65" l="1"/>
  <c r="I13" i="64"/>
  <c r="A13" i="64"/>
  <c r="I2" i="64"/>
  <c r="A2" i="64"/>
  <c r="A36" i="65"/>
  <c r="D35" i="65"/>
  <c r="A34" i="65"/>
  <c r="A33" i="65"/>
  <c r="B28" i="65"/>
  <c r="B26" i="65"/>
  <c r="L24" i="65"/>
  <c r="B24" i="65"/>
  <c r="G21" i="65"/>
  <c r="D21" i="65"/>
  <c r="A21" i="65"/>
  <c r="A19" i="65"/>
  <c r="A17" i="65"/>
  <c r="A16" i="65"/>
  <c r="F15" i="65"/>
  <c r="A15" i="65"/>
  <c r="A14" i="65"/>
  <c r="F13" i="65"/>
  <c r="A13" i="65"/>
  <c r="L11" i="65"/>
  <c r="A11" i="65"/>
  <c r="L10" i="65"/>
  <c r="A10" i="65"/>
  <c r="L9" i="65"/>
  <c r="A9" i="65"/>
  <c r="A8" i="65"/>
  <c r="A7" i="65"/>
  <c r="L5" i="65"/>
  <c r="A5" i="65"/>
  <c r="L4" i="65"/>
  <c r="A4" i="65"/>
  <c r="A3" i="65"/>
  <c r="A2" i="65"/>
  <c r="I18" i="64"/>
  <c r="A18" i="64"/>
  <c r="I16" i="64"/>
  <c r="A16" i="64"/>
  <c r="I15" i="64"/>
  <c r="A15" i="64"/>
  <c r="I14" i="64"/>
  <c r="A14" i="64"/>
  <c r="I7" i="64"/>
  <c r="A7" i="64"/>
  <c r="I5" i="64"/>
  <c r="A5" i="64"/>
  <c r="I4" i="64"/>
  <c r="A4" i="64"/>
  <c r="I3" i="64"/>
  <c r="A3" i="64"/>
  <c r="G6" i="60" l="1"/>
  <c r="D6" i="60"/>
  <c r="A2" i="17" l="1"/>
  <c r="A3" i="17" s="1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27" i="17"/>
  <c r="C49" i="17" s="1"/>
</calcChain>
</file>

<file path=xl/sharedStrings.xml><?xml version="1.0" encoding="utf-8"?>
<sst xmlns="http://schemas.openxmlformats.org/spreadsheetml/2006/main" count="372" uniqueCount="243">
  <si>
    <t>SHIPPER NAME</t>
    <phoneticPr fontId="8" type="noConversion"/>
  </si>
  <si>
    <t>S/CODE</t>
    <phoneticPr fontId="8" type="noConversion"/>
  </si>
  <si>
    <t>SHIPPER ADDRESS 2</t>
    <phoneticPr fontId="13"/>
  </si>
  <si>
    <t>SHIPPER ADDRESS 1</t>
    <phoneticPr fontId="13"/>
  </si>
  <si>
    <t>SHIPPER ADDRESS 3</t>
    <phoneticPr fontId="13"/>
  </si>
  <si>
    <t xml:space="preserve">SHIPPER </t>
    <phoneticPr fontId="13"/>
  </si>
  <si>
    <t>TEL</t>
    <phoneticPr fontId="13"/>
  </si>
  <si>
    <t>FAX</t>
    <phoneticPr fontId="13"/>
  </si>
  <si>
    <t>ATTN OR VAT NO.</t>
    <phoneticPr fontId="13"/>
  </si>
  <si>
    <t>TEL/FAX</t>
    <phoneticPr fontId="13"/>
  </si>
  <si>
    <t>ATTN</t>
    <phoneticPr fontId="13"/>
  </si>
  <si>
    <t>CONSIGNEE :</t>
    <phoneticPr fontId="13"/>
  </si>
  <si>
    <t>CONSIGNEE ADDRESS1</t>
    <phoneticPr fontId="13"/>
  </si>
  <si>
    <t>CONSIGNEE ADDRESS2</t>
    <phoneticPr fontId="13"/>
  </si>
  <si>
    <t>CONSIGNEE ADDRESS3</t>
    <phoneticPr fontId="13"/>
  </si>
  <si>
    <t>TEL</t>
    <phoneticPr fontId="13"/>
  </si>
  <si>
    <t>FAX</t>
    <phoneticPr fontId="13"/>
  </si>
  <si>
    <t>PAYMENT 1</t>
    <phoneticPr fontId="13"/>
  </si>
  <si>
    <t>PAYMENT 2</t>
    <phoneticPr fontId="13"/>
  </si>
  <si>
    <t>SHIPPER PER</t>
    <phoneticPr fontId="13"/>
  </si>
  <si>
    <t>INVOICE DATE</t>
    <phoneticPr fontId="13"/>
  </si>
  <si>
    <t>INVOICE NO.</t>
    <phoneticPr fontId="13"/>
  </si>
  <si>
    <t>CONTRACT NO.</t>
    <phoneticPr fontId="13"/>
  </si>
  <si>
    <t>CONTRACT DATE</t>
    <phoneticPr fontId="13"/>
  </si>
  <si>
    <t>ORDER DATE</t>
    <phoneticPr fontId="13"/>
  </si>
  <si>
    <t>ORDER NO.</t>
    <phoneticPr fontId="13"/>
  </si>
  <si>
    <t>L/C DATE</t>
    <phoneticPr fontId="13"/>
  </si>
  <si>
    <t>FROM</t>
    <phoneticPr fontId="13"/>
  </si>
  <si>
    <t xml:space="preserve"> TOKYO, JAPAN</t>
    <phoneticPr fontId="13"/>
  </si>
  <si>
    <t>TO</t>
    <phoneticPr fontId="13"/>
  </si>
  <si>
    <t>VIA</t>
    <phoneticPr fontId="13"/>
  </si>
  <si>
    <t>SHIPPING TERMS</t>
    <phoneticPr fontId="13"/>
  </si>
  <si>
    <t>TITTLE 1</t>
    <phoneticPr fontId="13"/>
  </si>
  <si>
    <t>TITTLE 2</t>
    <phoneticPr fontId="13"/>
  </si>
  <si>
    <t>ATTACHE</t>
    <phoneticPr fontId="13"/>
  </si>
  <si>
    <t>- DETAILS AS PER ATTACHED SHEET -</t>
    <phoneticPr fontId="13"/>
  </si>
  <si>
    <t>C/NO.</t>
    <phoneticPr fontId="13"/>
  </si>
  <si>
    <t>STYLE NO.</t>
    <phoneticPr fontId="13"/>
  </si>
  <si>
    <t>DESCRIPTION</t>
    <phoneticPr fontId="13"/>
  </si>
  <si>
    <t>Q'TY CODE</t>
    <phoneticPr fontId="13"/>
  </si>
  <si>
    <t>QUANTITY</t>
    <phoneticPr fontId="13"/>
  </si>
  <si>
    <t>UNIT PRICE</t>
    <phoneticPr fontId="13"/>
  </si>
  <si>
    <t>AMOUNT</t>
    <phoneticPr fontId="13"/>
  </si>
  <si>
    <t>DISCOUNT</t>
    <phoneticPr fontId="13"/>
  </si>
  <si>
    <t>CASE MARK1</t>
    <phoneticPr fontId="13"/>
  </si>
  <si>
    <t>CASE MARK2</t>
    <phoneticPr fontId="13"/>
  </si>
  <si>
    <t>CASE MARK3</t>
    <phoneticPr fontId="13"/>
  </si>
  <si>
    <t>CASE MARK4</t>
    <phoneticPr fontId="13"/>
  </si>
  <si>
    <t>CASE MARK5</t>
    <phoneticPr fontId="13"/>
  </si>
  <si>
    <t>CASE MARK6</t>
    <phoneticPr fontId="13"/>
  </si>
  <si>
    <t>TOTAL</t>
    <phoneticPr fontId="13"/>
  </si>
  <si>
    <t>MANUFACTURED BY</t>
    <phoneticPr fontId="13"/>
  </si>
  <si>
    <t>ORIGIN</t>
    <phoneticPr fontId="13"/>
  </si>
  <si>
    <t>OUR BANK</t>
    <phoneticPr fontId="13"/>
  </si>
  <si>
    <t>ETD TYO</t>
    <phoneticPr fontId="13"/>
  </si>
  <si>
    <t>DELIVERY SCHEDULES</t>
    <phoneticPr fontId="13"/>
  </si>
  <si>
    <t>INSURANCE</t>
    <phoneticPr fontId="13"/>
  </si>
  <si>
    <t>REMARK 1</t>
    <phoneticPr fontId="13"/>
  </si>
  <si>
    <t>AIR FREIGHT</t>
    <phoneticPr fontId="13"/>
  </si>
  <si>
    <t>YOUR (OUR) FORWARDER</t>
    <phoneticPr fontId="13"/>
  </si>
  <si>
    <t>CUSTOMS AGENT</t>
    <phoneticPr fontId="13"/>
  </si>
  <si>
    <t>FORWARDER</t>
    <phoneticPr fontId="13"/>
  </si>
  <si>
    <t>C/O ISSUED DATE</t>
    <phoneticPr fontId="13"/>
  </si>
  <si>
    <t>COUNTRY</t>
    <phoneticPr fontId="13"/>
  </si>
  <si>
    <t>F.O.B. TOKYO IN YEN</t>
    <phoneticPr fontId="13"/>
  </si>
  <si>
    <t xml:space="preserve"> SHUNYA CO., LTD.</t>
    <phoneticPr fontId="13"/>
  </si>
  <si>
    <t xml:space="preserve"> KENSHIN BLDG., 1F, 1-22-10 DOUGENZAKA,</t>
    <phoneticPr fontId="13"/>
  </si>
  <si>
    <t xml:space="preserve"> SHIBUYA-KU 150-0043</t>
    <phoneticPr fontId="13"/>
  </si>
  <si>
    <t xml:space="preserve"> TEL : +81(0)3-5459-1177</t>
    <phoneticPr fontId="13"/>
  </si>
  <si>
    <t xml:space="preserve"> - SAME AS BUYER -</t>
    <phoneticPr fontId="13"/>
  </si>
  <si>
    <t xml:space="preserve"> HOCHIMINH-CITY, VIETNAM</t>
    <phoneticPr fontId="13"/>
  </si>
  <si>
    <t>VIETNAM</t>
    <phoneticPr fontId="13"/>
  </si>
  <si>
    <t>PREPAID</t>
    <phoneticPr fontId="13"/>
  </si>
  <si>
    <t>COVERED BY SHIPPER</t>
    <phoneticPr fontId="13"/>
  </si>
  <si>
    <t>MEITETSU WORLD TRANSPORT (MR. NAMIKI)</t>
    <phoneticPr fontId="13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</si>
  <si>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13"/>
  </si>
  <si>
    <t>BUYER</t>
    <phoneticPr fontId="13"/>
  </si>
  <si>
    <t>BUYER ADDRESS1</t>
    <phoneticPr fontId="13"/>
  </si>
  <si>
    <t>BUYER ADDRESS2</t>
    <phoneticPr fontId="13"/>
  </si>
  <si>
    <t>BUYER ADDRESS3</t>
    <phoneticPr fontId="13"/>
  </si>
  <si>
    <t xml:space="preserve"> AIRCRAFT</t>
    <phoneticPr fontId="13"/>
  </si>
  <si>
    <t>持ち帰り条件</t>
    <rPh sb="0" eb="1">
      <t>モ</t>
    </rPh>
    <rPh sb="2" eb="3">
      <t>カエ</t>
    </rPh>
    <rPh sb="4" eb="6">
      <t>ジョウケン</t>
    </rPh>
    <phoneticPr fontId="13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</si>
  <si>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3"/>
  </si>
  <si>
    <t xml:space="preserve">  AFTER MANUFACTURED AT VIET NAM "</t>
    <phoneticPr fontId="13"/>
  </si>
  <si>
    <t xml:space="preserve"> NO COMMERCIAL</t>
    <phoneticPr fontId="12"/>
  </si>
  <si>
    <t>PCS.</t>
    <phoneticPr fontId="13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</si>
  <si>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</si>
  <si>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</si>
  <si>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</si>
  <si>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</si>
  <si>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</si>
  <si>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</si>
  <si>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</si>
  <si>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</si>
  <si>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</si>
  <si>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</si>
  <si>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 xml:space="preserve">ART NO. </t>
    <phoneticPr fontId="13"/>
  </si>
  <si>
    <t>(H.S. CODE)</t>
    <phoneticPr fontId="13"/>
  </si>
  <si>
    <t>- ATTACHED SHEET -</t>
    <phoneticPr fontId="13"/>
  </si>
  <si>
    <t xml:space="preserve"> </t>
    <phoneticPr fontId="13"/>
  </si>
  <si>
    <t>WOVEN FABRIC</t>
    <phoneticPr fontId="13"/>
  </si>
  <si>
    <t>VIVAN GARMENTS VIET NAM COMPANY LIMITED</t>
    <phoneticPr fontId="13"/>
  </si>
  <si>
    <t>Hamlet 3 , Long Hau Commune , Can Giuoc District,</t>
    <phoneticPr fontId="13"/>
  </si>
  <si>
    <t xml:space="preserve"> Long An Province , VietNam</t>
    <phoneticPr fontId="13"/>
  </si>
  <si>
    <t xml:space="preserve"> TEL : :   ( 084 ) 097 22 00 798  ATTN : MR. TUAN</t>
    <phoneticPr fontId="13"/>
  </si>
  <si>
    <t>FABRIC &amp; PARTS FOR WEAR &amp; SAMPLE CLOTHES</t>
    <phoneticPr fontId="13"/>
  </si>
  <si>
    <t xml:space="preserve"> TEL : ( 084 ) 097 22 00 798  ATTN : MR. TUAN</t>
    <phoneticPr fontId="13"/>
  </si>
  <si>
    <r>
      <rPr>
        <b/>
        <i/>
        <sz val="10"/>
        <rFont val="ＭＳ Ｐゴシック"/>
        <family val="3"/>
        <charset val="128"/>
      </rPr>
      <t>搬入内容</t>
    </r>
    <rPh sb="0" eb="2">
      <t>ハンニュウ</t>
    </rPh>
    <phoneticPr fontId="13"/>
  </si>
  <si>
    <r>
      <t>MADE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IN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JAPAN</t>
    </r>
    <phoneticPr fontId="13"/>
  </si>
  <si>
    <t xml:space="preserve"> C/NO.</t>
    <phoneticPr fontId="13"/>
  </si>
  <si>
    <t>INVOICE</t>
    <phoneticPr fontId="13"/>
  </si>
  <si>
    <t>IMPORTER</t>
    <phoneticPr fontId="12"/>
  </si>
  <si>
    <t>INVOICE NO.</t>
    <phoneticPr fontId="12"/>
  </si>
  <si>
    <t>CASE MARK</t>
    <phoneticPr fontId="12"/>
  </si>
  <si>
    <t>INVOICE DATE</t>
    <phoneticPr fontId="12"/>
  </si>
  <si>
    <t>CONTRACT NO.</t>
    <phoneticPr fontId="12"/>
  </si>
  <si>
    <t>CONSIGNEE</t>
    <phoneticPr fontId="12"/>
  </si>
  <si>
    <t xml:space="preserve">ORDER NO. </t>
    <phoneticPr fontId="12"/>
  </si>
  <si>
    <t>MADE  IN JAPAN</t>
    <phoneticPr fontId="13"/>
  </si>
  <si>
    <t>L/C NO.</t>
    <phoneticPr fontId="12"/>
  </si>
  <si>
    <t>PAYMENT METHOD</t>
    <phoneticPr fontId="12"/>
  </si>
  <si>
    <t>SHIPPED PER</t>
    <phoneticPr fontId="12"/>
  </si>
  <si>
    <t>FROM</t>
    <phoneticPr fontId="12"/>
  </si>
  <si>
    <t>TO</t>
    <phoneticPr fontId="12"/>
  </si>
  <si>
    <t xml:space="preserve"> </t>
    <phoneticPr fontId="12"/>
  </si>
  <si>
    <t>VIA</t>
    <phoneticPr fontId="12"/>
  </si>
  <si>
    <t>C/NO.</t>
    <phoneticPr fontId="12"/>
  </si>
  <si>
    <t>ART NO.</t>
    <phoneticPr fontId="13"/>
  </si>
  <si>
    <t xml:space="preserve">  DESCRIPTION  OF  GOODS</t>
    <phoneticPr fontId="12"/>
  </si>
  <si>
    <t>COLOR</t>
    <phoneticPr fontId="13"/>
  </si>
  <si>
    <t>SIZE</t>
    <phoneticPr fontId="13"/>
  </si>
  <si>
    <t>Q'TY</t>
    <phoneticPr fontId="12"/>
  </si>
  <si>
    <t>U/PRICE</t>
    <phoneticPr fontId="12"/>
  </si>
  <si>
    <t>AMOUNT</t>
    <phoneticPr fontId="12"/>
  </si>
  <si>
    <t>" NO COMMER VALUE</t>
    <phoneticPr fontId="13"/>
  </si>
  <si>
    <t>" NO COMMERCIAL VALUE</t>
    <phoneticPr fontId="13"/>
  </si>
  <si>
    <t xml:space="preserve">  VALUE FOR CUSTOMS PURPOSE ONLY "</t>
    <phoneticPr fontId="13"/>
  </si>
  <si>
    <t xml:space="preserve"> VALUE FOR CUSTOMS PURPOSE ONLY "</t>
    <phoneticPr fontId="13"/>
  </si>
  <si>
    <t>TOTAL CARTONS :</t>
    <phoneticPr fontId="13"/>
  </si>
  <si>
    <t>TOTAL GROSS WEIGHT :</t>
    <phoneticPr fontId="13"/>
  </si>
  <si>
    <t>KGS</t>
    <phoneticPr fontId="13"/>
  </si>
  <si>
    <t>LABEL SHEET -</t>
    <phoneticPr fontId="13"/>
  </si>
  <si>
    <t>原産国</t>
    <rPh sb="0" eb="3">
      <t>ゲンサンコク</t>
    </rPh>
    <phoneticPr fontId="13"/>
  </si>
  <si>
    <t>D17 Street , Sai Gon South Residential Area</t>
    <phoneticPr fontId="13"/>
  </si>
  <si>
    <t>TOTAL :</t>
  </si>
  <si>
    <t>PCS.</t>
  </si>
  <si>
    <t>WOVEN FABRIC</t>
  </si>
  <si>
    <t>M.</t>
    <phoneticPr fontId="13"/>
  </si>
  <si>
    <t>M.</t>
  </si>
  <si>
    <t>ITEM</t>
    <phoneticPr fontId="13"/>
  </si>
  <si>
    <t>NAME</t>
    <phoneticPr fontId="13"/>
  </si>
  <si>
    <t>color</t>
    <phoneticPr fontId="13"/>
  </si>
  <si>
    <t>lady's or men's</t>
    <phoneticPr fontId="13"/>
  </si>
  <si>
    <t>WOVEN or  KNIT</t>
    <phoneticPr fontId="13"/>
  </si>
  <si>
    <t>picture</t>
    <phoneticPr fontId="13"/>
  </si>
  <si>
    <t>Composition</t>
    <phoneticPr fontId="13"/>
  </si>
  <si>
    <t>packingNo.</t>
    <phoneticPr fontId="13"/>
  </si>
  <si>
    <t>KNIT FABRIC</t>
    <phoneticPr fontId="13"/>
  </si>
  <si>
    <t>SET.</t>
    <phoneticPr fontId="13"/>
  </si>
  <si>
    <t>TOTAL</t>
    <phoneticPr fontId="63"/>
  </si>
  <si>
    <t>COTTON100%</t>
  </si>
  <si>
    <t>古着　プリント有</t>
    <rPh sb="0" eb="1">
      <t>フルギ</t>
    </rPh>
    <rPh sb="7" eb="8">
      <t>アリ</t>
    </rPh>
    <phoneticPr fontId="13"/>
  </si>
  <si>
    <t>made in USA</t>
    <phoneticPr fontId="13"/>
  </si>
  <si>
    <t>C/#MIX</t>
    <phoneticPr fontId="13"/>
  </si>
  <si>
    <t>COUNTRY OF ORIGIN : JAPAN,USA</t>
    <phoneticPr fontId="13"/>
  </si>
  <si>
    <t>短繊維、プリント加工なし</t>
    <rPh sb="0" eb="1">
      <t>ミジカ</t>
    </rPh>
    <rPh sb="1" eb="3">
      <t>センイ</t>
    </rPh>
    <phoneticPr fontId="13"/>
  </si>
  <si>
    <r>
      <t>COTTON 50%</t>
    </r>
    <r>
      <rPr>
        <b/>
        <sz val="10"/>
        <rFont val="Yu Gothic"/>
        <family val="2"/>
        <charset val="128"/>
      </rPr>
      <t>　POLYESTER 50%</t>
    </r>
    <phoneticPr fontId="13"/>
  </si>
  <si>
    <t>8</t>
    <phoneticPr fontId="13"/>
  </si>
  <si>
    <t>STYLE:375200</t>
    <phoneticPr fontId="13"/>
  </si>
  <si>
    <t>C/#WHITE</t>
    <phoneticPr fontId="13"/>
  </si>
  <si>
    <t>MADE  IN USA</t>
    <phoneticPr fontId="13"/>
  </si>
  <si>
    <t>SB53</t>
    <phoneticPr fontId="13"/>
  </si>
  <si>
    <t>平織　先染め　シャンブレー</t>
    <rPh sb="0" eb="1">
      <t>ヒラ</t>
    </rPh>
    <rPh sb="1" eb="2">
      <t>オリ</t>
    </rPh>
    <rPh sb="3" eb="4">
      <t>サキ</t>
    </rPh>
    <phoneticPr fontId="13"/>
  </si>
  <si>
    <t>c/#01 IVORY</t>
    <phoneticPr fontId="13"/>
  </si>
  <si>
    <t>COTTON 100%</t>
    <phoneticPr fontId="13"/>
  </si>
  <si>
    <t>入庫NO.22074446</t>
    <rPh sb="0" eb="2">
      <t>ニュウコ</t>
    </rPh>
    <phoneticPr fontId="13"/>
  </si>
  <si>
    <t>6/30</t>
    <phoneticPr fontId="13"/>
  </si>
  <si>
    <t>1</t>
    <phoneticPr fontId="13"/>
  </si>
  <si>
    <r>
      <rPr>
        <b/>
        <sz val="10"/>
        <color rgb="FFFF0000"/>
        <rFont val="Yu Gothic"/>
        <family val="2"/>
        <charset val="128"/>
      </rPr>
      <t>短</t>
    </r>
    <r>
      <rPr>
        <b/>
        <sz val="10"/>
        <color rgb="FFFF0000"/>
        <rFont val="ＭＳ Ｐゴシック"/>
        <family val="2"/>
        <charset val="128"/>
      </rPr>
      <t>繊維 天竺 テクスチャード加工無し</t>
    </r>
    <rPh sb="0" eb="1">
      <t>タン</t>
    </rPh>
    <rPh sb="1" eb="3">
      <t>センイ</t>
    </rPh>
    <rPh sb="4" eb="6">
      <t>テンジク</t>
    </rPh>
    <rPh sb="13" eb="15">
      <t>カコウ</t>
    </rPh>
    <rPh sb="15" eb="16">
      <t>ナ</t>
    </rPh>
    <phoneticPr fontId="13"/>
  </si>
  <si>
    <t>c/#005 ASH</t>
    <phoneticPr fontId="13"/>
  </si>
  <si>
    <t>4488-01</t>
    <phoneticPr fontId="13"/>
  </si>
  <si>
    <t>men's cardigan</t>
    <phoneticPr fontId="13"/>
  </si>
  <si>
    <t>STYLE: bd25-005</t>
    <phoneticPr fontId="63"/>
  </si>
  <si>
    <t>5011-01</t>
    <phoneticPr fontId="13"/>
  </si>
  <si>
    <t>men's crew neck long T-shirt</t>
    <phoneticPr fontId="13"/>
  </si>
  <si>
    <t>c/#001 WHITE</t>
    <phoneticPr fontId="13"/>
  </si>
  <si>
    <t>c/#002 BLACK</t>
    <phoneticPr fontId="13"/>
  </si>
  <si>
    <t>c/#086 NAVY</t>
    <phoneticPr fontId="13"/>
  </si>
  <si>
    <t>c/#0165 CHARCOAL</t>
    <phoneticPr fontId="13"/>
  </si>
  <si>
    <t>STYLE: bd25-006/bd25-007</t>
    <phoneticPr fontId="63"/>
  </si>
  <si>
    <t>NO.22074980</t>
    <phoneticPr fontId="13"/>
  </si>
  <si>
    <t>7/18</t>
    <phoneticPr fontId="13"/>
  </si>
  <si>
    <t>2-6</t>
    <phoneticPr fontId="13"/>
  </si>
  <si>
    <t>made in CHINA</t>
  </si>
  <si>
    <t>made in CHINA</t>
    <phoneticPr fontId="13"/>
  </si>
  <si>
    <t>STYLE:24SY-42</t>
    <phoneticPr fontId="13"/>
  </si>
  <si>
    <t>c/#04 BLACK</t>
    <phoneticPr fontId="13"/>
  </si>
  <si>
    <t>used bandanna</t>
    <phoneticPr fontId="13"/>
  </si>
  <si>
    <r>
      <t>WIDTH:116CM (138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</si>
  <si>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men's shirt  SAMPLE CLOTHES</t>
  </si>
  <si>
    <t>men's shirt  SAMPLE CLOTHES</t>
    <phoneticPr fontId="13"/>
  </si>
  <si>
    <t>men's MA-1  SAMPLE CLOTHES</t>
  </si>
  <si>
    <t>men's MA-1  SAMPLE CLOTHES</t>
    <phoneticPr fontId="13"/>
  </si>
  <si>
    <t>men's jacket  SAMPLE CLOTHES</t>
  </si>
  <si>
    <t>men's jacket  SAMPLE CLOTHES</t>
    <phoneticPr fontId="13"/>
  </si>
  <si>
    <t>24SY-42 sample</t>
  </si>
  <si>
    <t>24SY-42 sample</t>
    <phoneticPr fontId="13"/>
  </si>
  <si>
    <t>25SY-03 sample</t>
  </si>
  <si>
    <t>25SY-03 sample</t>
    <phoneticPr fontId="13"/>
  </si>
  <si>
    <t>25SY-05 sample</t>
  </si>
  <si>
    <t>25SY-05 sample</t>
    <phoneticPr fontId="13"/>
  </si>
  <si>
    <t>innsonia WOVEN NAME</t>
    <phoneticPr fontId="13"/>
  </si>
  <si>
    <r>
      <t>STYLE</t>
    </r>
    <r>
      <rPr>
        <b/>
        <sz val="10"/>
        <rFont val="Yu Gothic"/>
        <family val="2"/>
        <charset val="128"/>
      </rPr>
      <t>：</t>
    </r>
    <r>
      <rPr>
        <b/>
        <sz val="10"/>
        <rFont val="Century Gothic"/>
        <family val="2"/>
      </rPr>
      <t>24SY-42,25SY03,25SY-05</t>
    </r>
    <phoneticPr fontId="13"/>
  </si>
  <si>
    <t>入庫NO.22074981</t>
    <rPh sb="0" eb="2">
      <t>ニュウコ</t>
    </rPh>
    <phoneticPr fontId="13"/>
  </si>
  <si>
    <r>
      <rPr>
        <b/>
        <sz val="10"/>
        <color rgb="FFFF0000"/>
        <rFont val="Yu Gothic"/>
        <family val="2"/>
        <charset val="128"/>
      </rPr>
      <t>短</t>
    </r>
    <r>
      <rPr>
        <b/>
        <sz val="10"/>
        <color rgb="FFFF0000"/>
        <rFont val="ＭＳ Ｐゴシック"/>
        <family val="2"/>
        <charset val="128"/>
      </rPr>
      <t>繊維 天竺 テクスチャード加工無し</t>
    </r>
    <r>
      <rPr>
        <b/>
        <sz val="10"/>
        <color rgb="FFFF0000"/>
        <rFont val="Century Gothic"/>
        <family val="2"/>
      </rPr>
      <t xml:space="preserve"> </t>
    </r>
    <rPh sb="0" eb="1">
      <t>タン</t>
    </rPh>
    <rPh sb="1" eb="3">
      <t>センイ</t>
    </rPh>
    <rPh sb="4" eb="6">
      <t>テンジク</t>
    </rPh>
    <rPh sb="13" eb="15">
      <t>カコウ</t>
    </rPh>
    <rPh sb="15" eb="16">
      <t>ナ</t>
    </rPh>
    <phoneticPr fontId="13"/>
  </si>
  <si>
    <t>M80</t>
    <phoneticPr fontId="63"/>
  </si>
  <si>
    <t>56cm-51 57.5cm-44</t>
    <phoneticPr fontId="63"/>
  </si>
  <si>
    <t>5AG C 51AT</t>
    <phoneticPr fontId="63"/>
  </si>
  <si>
    <t>12cm</t>
    <phoneticPr fontId="63"/>
  </si>
  <si>
    <t>PX EJ24 M</t>
    <phoneticPr fontId="63"/>
  </si>
  <si>
    <t>BOX</t>
    <phoneticPr fontId="63"/>
  </si>
  <si>
    <t>PACKING</t>
    <phoneticPr fontId="63"/>
  </si>
  <si>
    <t>D/G</t>
    <phoneticPr fontId="63"/>
  </si>
  <si>
    <r>
      <t>8AG</t>
    </r>
    <r>
      <rPr>
        <b/>
        <sz val="10"/>
        <rFont val="ＭＳ Ｐゴシック"/>
        <family val="3"/>
        <charset val="128"/>
      </rPr>
      <t>　</t>
    </r>
    <r>
      <rPr>
        <b/>
        <sz val="10"/>
        <rFont val="Century Gothic"/>
        <family val="2"/>
      </rPr>
      <t>OP</t>
    </r>
    <r>
      <rPr>
        <b/>
        <sz val="10"/>
        <rFont val="ＭＳ Ｐゴシック"/>
        <family val="3"/>
        <charset val="128"/>
      </rPr>
      <t>　</t>
    </r>
    <r>
      <rPr>
        <b/>
        <sz val="10"/>
        <rFont val="Century Gothic"/>
        <family val="2"/>
      </rPr>
      <t>81CWY</t>
    </r>
    <phoneticPr fontId="63"/>
  </si>
  <si>
    <t>STYLE: 25SY-03</t>
    <phoneticPr fontId="63"/>
  </si>
  <si>
    <r>
      <t>metal ZIPPER</t>
    </r>
    <r>
      <rPr>
        <b/>
        <sz val="10"/>
        <rFont val="ＭＳ Ｐゴシック"/>
        <family val="3"/>
        <charset val="128"/>
      </rPr>
      <t>　</t>
    </r>
    <phoneticPr fontId="63"/>
  </si>
  <si>
    <r>
      <t xml:space="preserve">DOT BUTTONS </t>
    </r>
    <r>
      <rPr>
        <b/>
        <sz val="10"/>
        <rFont val="Yu Gothic"/>
        <family val="2"/>
        <charset val="128"/>
      </rPr>
      <t>材質：真鍮</t>
    </r>
    <rPh sb="12" eb="14">
      <t>ザイシツ</t>
    </rPh>
    <rPh sb="15" eb="17">
      <t>シンチュウ</t>
    </rPh>
    <phoneticPr fontId="63"/>
  </si>
  <si>
    <t>材質：ポリエステル</t>
    <rPh sb="0" eb="2">
      <t>ザイシツ</t>
    </rPh>
    <phoneticPr fontId="13"/>
  </si>
  <si>
    <t>入庫NO.22074952</t>
    <rPh sb="0" eb="2">
      <t>ニュウコ</t>
    </rPh>
    <phoneticPr fontId="13"/>
  </si>
  <si>
    <t>7/17</t>
    <phoneticPr fontId="13"/>
  </si>
  <si>
    <t>7</t>
    <phoneticPr fontId="13"/>
  </si>
  <si>
    <t>8CARTONS</t>
    <phoneticPr fontId="13"/>
  </si>
  <si>
    <t>c/#BLACK</t>
    <phoneticPr fontId="13"/>
  </si>
  <si>
    <t>men's</t>
    <phoneticPr fontId="13"/>
  </si>
  <si>
    <t>c/#NAVY</t>
    <phoneticPr fontId="13"/>
  </si>
  <si>
    <t>POLYESTER100%</t>
    <phoneticPr fontId="13"/>
  </si>
  <si>
    <t xml:space="preserve"> C/NO. 1-8</t>
    <phoneticPr fontId="13"/>
  </si>
  <si>
    <t>MADE  IN CHINA</t>
    <phoneticPr fontId="13"/>
  </si>
  <si>
    <t xml:space="preserve"> SY-6700722-VT-DD-01</t>
    <phoneticPr fontId="13"/>
  </si>
  <si>
    <t>79M. 1728PCS.  380SET.</t>
    <phoneticPr fontId="13"/>
  </si>
  <si>
    <t>8PACKAGES</t>
    <phoneticPr fontId="13"/>
  </si>
  <si>
    <t>JULY, 22 2025</t>
    <phoneticPr fontId="13"/>
  </si>
  <si>
    <t xml:space="preserve"> SHUNYA CO.,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</si>
</sst>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¥&quot;#,##0;[Red]&quot;¥&quot;\-#,##0"/>
    <numFmt numFmtId="26" formatCode="\$#,##0.00_);[Red]\(\$#,##0.00\)"/>
    <numFmt numFmtId="176" formatCode="_(* #,##0_);_(* \(#,##0\);_(* &quot;-&quot;_);_(@_)"/>
    <numFmt numFmtId="177" formatCode="&quot;¥&quot;#,##0_);\(&quot;¥&quot;#,##0\)"/>
    <numFmt numFmtId="178" formatCode="&quot;¥&quot;#,##0_);[Red]\(&quot;¥&quot;#,##0\)"/>
    <numFmt numFmtId="179" formatCode="#,##0.0"/>
    <numFmt numFmtId="180" formatCode="#,##0.0_);\(#,##0.0\)"/>
    <numFmt numFmtId="181" formatCode="_(* #,##0.0_);_(* \(#,##0.0\);_(* &quot;-&quot;_);_(@_)"/>
    <numFmt numFmtId="182" formatCode="[$€-410]\ #,##0.00_);[Red]\([$€-410]\ #,##0.00\)"/>
    <numFmt numFmtId="183" formatCode="[$€-410]\ #,##0.00;\-[$€-410]\ #,##0.00"/>
    <numFmt numFmtId="187" formatCode="m/d;@"/>
  </numFmts>
  <fonts count="67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b/>
      <u/>
      <sz val="10"/>
      <name val="Century Gothic"/>
      <family val="2"/>
    </font>
    <font>
      <b/>
      <i/>
      <sz val="10"/>
      <name val="Century Gothic"/>
      <family val="2"/>
    </font>
    <font>
      <u/>
      <sz val="10"/>
      <color indexed="12"/>
      <name val="Verdana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b/>
      <u/>
      <sz val="10"/>
      <color theme="3"/>
      <name val="Century Gothic"/>
      <family val="2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u/>
      <sz val="10"/>
      <color theme="1"/>
      <name val="Century Gothic"/>
      <family val="2"/>
    </font>
    <font>
      <b/>
      <sz val="10"/>
      <color rgb="FFFF0000"/>
      <name val="MS PGothic"/>
      <family val="3"/>
      <charset val="128"/>
    </font>
    <font>
      <b/>
      <sz val="10"/>
      <name val="ＭＳ Ｐゴシック"/>
      <family val="3"/>
      <charset val="128"/>
      <scheme val="major"/>
    </font>
    <font>
      <sz val="11"/>
      <name val="ＭＳ Ｐゴシック"/>
      <family val="3"/>
      <charset val="128"/>
    </font>
    <font>
      <sz val="28"/>
      <name val="ＭＳ Ｐゴシック"/>
      <family val="3"/>
      <charset val="128"/>
      <scheme val="minor"/>
    </font>
    <font>
      <sz val="28"/>
      <name val="新細明體"/>
      <family val="1"/>
    </font>
    <font>
      <b/>
      <sz val="22"/>
      <name val="Century Gothic"/>
      <family val="2"/>
    </font>
    <font>
      <b/>
      <sz val="20"/>
      <name val="Century Gothic"/>
      <family val="2"/>
    </font>
    <font>
      <b/>
      <i/>
      <sz val="2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6"/>
      <name val="Century Gothic"/>
      <family val="2"/>
    </font>
    <font>
      <b/>
      <i/>
      <sz val="9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i/>
      <sz val="10"/>
      <name val="Century Gothic"/>
      <family val="2"/>
    </font>
    <font>
      <b/>
      <u/>
      <sz val="11"/>
      <name val="Century Gothic"/>
      <family val="2"/>
    </font>
    <font>
      <b/>
      <sz val="14"/>
      <name val="Century Gothic"/>
      <family val="2"/>
    </font>
    <font>
      <b/>
      <sz val="12"/>
      <color rgb="FFFF0000"/>
      <name val="Century Gothic"/>
      <family val="2"/>
    </font>
    <font>
      <b/>
      <sz val="10"/>
      <name val="Century Gothic"/>
      <family val="2"/>
      <charset val="128"/>
    </font>
    <font>
      <b/>
      <sz val="10"/>
      <color theme="1"/>
      <name val="Yu Gothic"/>
      <family val="2"/>
      <charset val="128"/>
    </font>
    <font>
      <b/>
      <sz val="10"/>
      <color theme="1"/>
      <name val="Yu Gothic"/>
      <family val="3"/>
      <charset val="128"/>
    </font>
    <font>
      <b/>
      <sz val="10"/>
      <color theme="1"/>
      <name val="Microsoft YaHei"/>
      <family val="3"/>
      <charset val="134"/>
    </font>
    <font>
      <b/>
      <sz val="18"/>
      <name val="ＭＳ Ｐゴシック"/>
      <family val="3"/>
      <charset val="128"/>
      <scheme val="minor"/>
    </font>
    <font>
      <sz val="18"/>
      <name val="新細明體"/>
      <family val="1"/>
    </font>
    <font>
      <sz val="18"/>
      <name val="ＭＳ Ｐゴシック"/>
      <family val="1"/>
      <charset val="128"/>
    </font>
    <font>
      <b/>
      <sz val="26"/>
      <name val="新細明體"/>
    </font>
    <font>
      <b/>
      <sz val="24"/>
      <name val="Century Gothic"/>
      <family val="2"/>
    </font>
    <font>
      <sz val="24"/>
      <name val="Century Gothic"/>
      <family val="2"/>
    </font>
    <font>
      <b/>
      <sz val="24"/>
      <color rgb="FFFF0000"/>
      <name val="Century Gothic"/>
      <family val="2"/>
    </font>
    <font>
      <b/>
      <sz val="24"/>
      <color theme="1"/>
      <name val="Century Gothic"/>
      <family val="2"/>
    </font>
    <font>
      <b/>
      <sz val="10"/>
      <name val="Yu Gothic"/>
      <family val="2"/>
      <charset val="128"/>
    </font>
    <font>
      <sz val="6"/>
      <name val="ＭＳ Ｐゴシック"/>
      <family val="2"/>
      <charset val="128"/>
      <scheme val="minor"/>
    </font>
    <font>
      <b/>
      <sz val="10"/>
      <color rgb="FF0070C0"/>
      <name val="Century Gothic"/>
      <family val="2"/>
    </font>
    <font>
      <b/>
      <i/>
      <sz val="10"/>
      <color theme="1"/>
      <name val="Century Gothic"/>
      <family val="2"/>
    </font>
    <font>
      <b/>
      <sz val="10"/>
      <color rgb="FFFF0000"/>
      <name val="Yu Gothic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4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6" fontId="7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61">
    <xf numFmtId="0" fontId="0" fillId="0" borderId="0" xfId="0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vertical="center" shrinkToFit="1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left" vertical="center" shrinkToFit="1"/>
    </xf>
    <xf numFmtId="0" fontId="11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1" fillId="2" borderId="0" xfId="0" applyFont="1" applyFill="1" applyAlignment="1">
      <alignment horizontal="left" vertical="center"/>
    </xf>
    <xf numFmtId="0" fontId="23" fillId="0" borderId="0" xfId="0" applyFont="1" applyAlignment="1">
      <alignment vertical="center" shrinkToFit="1"/>
    </xf>
    <xf numFmtId="49" fontId="11" fillId="0" borderId="0" xfId="0" applyNumberFormat="1" applyFont="1" applyAlignment="1">
      <alignment vertical="center" shrinkToFit="1"/>
    </xf>
    <xf numFmtId="0" fontId="17" fillId="0" borderId="0" xfId="1" applyNumberFormat="1" applyFont="1" applyFill="1" applyBorder="1" applyAlignment="1" applyProtection="1"/>
    <xf numFmtId="26" fontId="11" fillId="0" borderId="0" xfId="0" applyNumberFormat="1" applyFont="1" applyAlignment="1">
      <alignment horizontal="left" vertical="center" shrinkToFit="1"/>
    </xf>
    <xf numFmtId="178" fontId="11" fillId="0" borderId="0" xfId="0" applyNumberFormat="1" applyFont="1" applyAlignment="1">
      <alignment horizontal="left" vertical="center" shrinkToFit="1"/>
    </xf>
    <xf numFmtId="0" fontId="15" fillId="0" borderId="0" xfId="0" applyFont="1" applyAlignment="1">
      <alignment vertical="center" shrinkToFit="1"/>
    </xf>
    <xf numFmtId="0" fontId="11" fillId="0" borderId="4" xfId="0" applyFont="1" applyBorder="1" applyAlignment="1">
      <alignment horizontal="center" vertical="center"/>
    </xf>
    <xf numFmtId="0" fontId="24" fillId="0" borderId="0" xfId="0" applyFont="1" applyAlignment="1">
      <alignment vertical="center" shrinkToFit="1"/>
    </xf>
    <xf numFmtId="0" fontId="25" fillId="0" borderId="0" xfId="0" applyFont="1" applyAlignment="1">
      <alignment horizontal="left" vertical="center"/>
    </xf>
    <xf numFmtId="0" fontId="11" fillId="0" borderId="1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left" vertical="center"/>
    </xf>
    <xf numFmtId="49" fontId="11" fillId="3" borderId="0" xfId="0" applyNumberFormat="1" applyFont="1" applyFill="1" applyAlignment="1">
      <alignment horizontal="left" vertical="center"/>
    </xf>
    <xf numFmtId="0" fontId="11" fillId="3" borderId="0" xfId="0" applyFont="1" applyFill="1" applyAlignment="1">
      <alignment vertical="center" shrinkToFit="1"/>
    </xf>
    <xf numFmtId="177" fontId="20" fillId="3" borderId="0" xfId="0" applyNumberFormat="1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49" fontId="23" fillId="0" borderId="10" xfId="0" applyNumberFormat="1" applyFont="1" applyBorder="1" applyAlignment="1">
      <alignment horizontal="left" vertical="center"/>
    </xf>
    <xf numFmtId="0" fontId="23" fillId="0" borderId="10" xfId="0" applyFont="1" applyBorder="1" applyAlignment="1">
      <alignment vertical="center" wrapText="1"/>
    </xf>
    <xf numFmtId="179" fontId="23" fillId="0" borderId="10" xfId="0" applyNumberFormat="1" applyFont="1" applyBorder="1" applyAlignment="1">
      <alignment vertical="center" shrinkToFit="1"/>
    </xf>
    <xf numFmtId="49" fontId="31" fillId="0" borderId="10" xfId="0" quotePrefix="1" applyNumberFormat="1" applyFont="1" applyBorder="1" applyAlignment="1">
      <alignment horizontal="left" vertical="center"/>
    </xf>
    <xf numFmtId="179" fontId="23" fillId="0" borderId="11" xfId="0" applyNumberFormat="1" applyFont="1" applyBorder="1" applyAlignment="1">
      <alignment vertical="center" shrinkToFit="1"/>
    </xf>
    <xf numFmtId="49" fontId="28" fillId="0" borderId="11" xfId="0" quotePrefix="1" applyNumberFormat="1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left" vertical="center"/>
    </xf>
    <xf numFmtId="0" fontId="16" fillId="0" borderId="24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/>
    </xf>
    <xf numFmtId="49" fontId="15" fillId="0" borderId="10" xfId="0" applyNumberFormat="1" applyFont="1" applyBorder="1" applyAlignment="1">
      <alignment horizontal="left" vertical="center"/>
    </xf>
    <xf numFmtId="0" fontId="15" fillId="0" borderId="10" xfId="0" applyFont="1" applyBorder="1" applyAlignment="1">
      <alignment horizontal="center" vertical="center"/>
    </xf>
    <xf numFmtId="0" fontId="26" fillId="0" borderId="10" xfId="0" applyFont="1" applyBorder="1">
      <alignment vertical="center"/>
    </xf>
    <xf numFmtId="0" fontId="11" fillId="0" borderId="10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49" fontId="24" fillId="0" borderId="10" xfId="0" applyNumberFormat="1" applyFont="1" applyBorder="1" applyAlignment="1">
      <alignment horizontal="left" vertical="center"/>
    </xf>
    <xf numFmtId="0" fontId="15" fillId="0" borderId="10" xfId="0" applyFont="1" applyBorder="1">
      <alignment vertical="center"/>
    </xf>
    <xf numFmtId="26" fontId="15" fillId="0" borderId="10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49" fontId="11" fillId="0" borderId="6" xfId="0" applyNumberFormat="1" applyFont="1" applyBorder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>
      <alignment vertical="center"/>
    </xf>
    <xf numFmtId="26" fontId="15" fillId="0" borderId="6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78" fontId="23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23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center" vertical="center" wrapText="1"/>
    </xf>
    <xf numFmtId="1" fontId="11" fillId="0" borderId="8" xfId="0" applyNumberFormat="1" applyFont="1" applyBorder="1" applyAlignment="1">
      <alignment horizontal="center" vertical="center"/>
    </xf>
    <xf numFmtId="178" fontId="23" fillId="0" borderId="10" xfId="0" applyNumberFormat="1" applyFont="1" applyBorder="1" applyAlignment="1">
      <alignment horizontal="right" vertical="center"/>
    </xf>
    <xf numFmtId="177" fontId="11" fillId="0" borderId="10" xfId="0" applyNumberFormat="1" applyFont="1" applyBorder="1" applyAlignment="1">
      <alignment horizontal="right" vertical="center"/>
    </xf>
    <xf numFmtId="0" fontId="29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179" fontId="23" fillId="0" borderId="11" xfId="0" applyNumberFormat="1" applyFont="1" applyBorder="1" applyAlignment="1">
      <alignment horizontal="center" vertical="center" shrinkToFit="1"/>
    </xf>
    <xf numFmtId="178" fontId="23" fillId="0" borderId="11" xfId="0" applyNumberFormat="1" applyFont="1" applyBorder="1" applyAlignment="1">
      <alignment horizontal="right" vertical="center"/>
    </xf>
    <xf numFmtId="177" fontId="11" fillId="0" borderId="11" xfId="0" applyNumberFormat="1" applyFont="1" applyBorder="1" applyAlignment="1">
      <alignment horizontal="right" vertical="center"/>
    </xf>
    <xf numFmtId="178" fontId="23" fillId="0" borderId="4" xfId="0" applyNumberFormat="1" applyFont="1" applyBorder="1" applyAlignment="1">
      <alignment horizontal="right" vertical="center"/>
    </xf>
    <xf numFmtId="177" fontId="11" fillId="0" borderId="4" xfId="0" applyNumberFormat="1" applyFont="1" applyBorder="1" applyAlignment="1">
      <alignment horizontal="right" vertical="center"/>
    </xf>
    <xf numFmtId="0" fontId="32" fillId="0" borderId="4" xfId="0" applyFont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80" fontId="11" fillId="0" borderId="8" xfId="2" applyNumberFormat="1" applyFont="1" applyFill="1" applyBorder="1" applyAlignment="1">
      <alignment horizontal="center" vertical="center"/>
    </xf>
    <xf numFmtId="177" fontId="11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10" xfId="0" applyFont="1" applyBorder="1" applyAlignment="1">
      <alignment vertical="center" shrinkToFit="1"/>
    </xf>
    <xf numFmtId="49" fontId="11" fillId="0" borderId="10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34" fillId="0" borderId="0" xfId="0" applyFont="1">
      <alignment vertical="center"/>
    </xf>
    <xf numFmtId="0" fontId="34" fillId="0" borderId="37" xfId="0" applyFont="1" applyBorder="1">
      <alignment vertical="center"/>
    </xf>
    <xf numFmtId="0" fontId="34" fillId="0" borderId="0" xfId="0" applyFont="1" applyAlignment="1">
      <alignment horizontal="left" vertical="center"/>
    </xf>
    <xf numFmtId="0" fontId="34" fillId="0" borderId="38" xfId="0" applyFont="1" applyBorder="1">
      <alignment vertical="center"/>
    </xf>
    <xf numFmtId="0" fontId="34" fillId="0" borderId="39" xfId="0" applyFont="1" applyBorder="1">
      <alignment vertical="center"/>
    </xf>
    <xf numFmtId="0" fontId="35" fillId="0" borderId="0" xfId="0" applyFont="1">
      <alignment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11" fillId="0" borderId="1" xfId="0" applyFont="1" applyBorder="1">
      <alignment vertical="center"/>
    </xf>
    <xf numFmtId="0" fontId="40" fillId="0" borderId="1" xfId="0" applyFont="1" applyBorder="1">
      <alignment vertical="center"/>
    </xf>
    <xf numFmtId="0" fontId="43" fillId="0" borderId="0" xfId="0" applyFont="1">
      <alignment vertical="center"/>
    </xf>
    <xf numFmtId="0" fontId="41" fillId="0" borderId="2" xfId="0" applyFont="1" applyBorder="1">
      <alignment vertical="center"/>
    </xf>
    <xf numFmtId="0" fontId="43" fillId="0" borderId="3" xfId="0" applyFont="1" applyBorder="1">
      <alignment vertical="center"/>
    </xf>
    <xf numFmtId="0" fontId="43" fillId="0" borderId="2" xfId="0" applyFont="1" applyBorder="1">
      <alignment vertical="center"/>
    </xf>
    <xf numFmtId="0" fontId="11" fillId="0" borderId="40" xfId="0" applyFont="1" applyBorder="1" applyAlignment="1">
      <alignment horizontal="left" vertical="center"/>
    </xf>
    <xf numFmtId="0" fontId="11" fillId="0" borderId="41" xfId="0" applyFont="1" applyBorder="1">
      <alignment vertical="center"/>
    </xf>
    <xf numFmtId="0" fontId="41" fillId="0" borderId="42" xfId="0" applyFont="1" applyBorder="1">
      <alignment vertical="center"/>
    </xf>
    <xf numFmtId="0" fontId="43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49" fontId="11" fillId="0" borderId="41" xfId="0" applyNumberFormat="1" applyFont="1" applyBorder="1">
      <alignment vertical="center"/>
    </xf>
    <xf numFmtId="49" fontId="11" fillId="0" borderId="43" xfId="0" applyNumberFormat="1" applyFont="1" applyBorder="1">
      <alignment vertical="center"/>
    </xf>
    <xf numFmtId="0" fontId="41" fillId="0" borderId="44" xfId="0" applyFont="1" applyBorder="1">
      <alignment vertical="center"/>
    </xf>
    <xf numFmtId="0" fontId="24" fillId="5" borderId="42" xfId="0" applyFont="1" applyFill="1" applyBorder="1" applyAlignment="1">
      <alignment horizontal="left" vertical="center"/>
    </xf>
    <xf numFmtId="0" fontId="43" fillId="0" borderId="42" xfId="0" applyFont="1" applyBorder="1">
      <alignment vertical="center"/>
    </xf>
    <xf numFmtId="0" fontId="11" fillId="0" borderId="7" xfId="0" applyFont="1" applyBorder="1">
      <alignment vertical="center"/>
    </xf>
    <xf numFmtId="0" fontId="41" fillId="0" borderId="41" xfId="0" applyFont="1" applyBorder="1">
      <alignment vertical="center"/>
    </xf>
    <xf numFmtId="0" fontId="41" fillId="0" borderId="40" xfId="0" applyFont="1" applyBorder="1">
      <alignment vertical="center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44" fillId="0" borderId="0" xfId="0" applyFont="1">
      <alignment vertical="center"/>
    </xf>
    <xf numFmtId="0" fontId="45" fillId="0" borderId="0" xfId="0" applyFont="1" applyAlignment="1">
      <alignment horizontal="right"/>
    </xf>
    <xf numFmtId="0" fontId="11" fillId="0" borderId="0" xfId="0" applyFont="1" applyAlignment="1">
      <alignment horizontal="right" vertical="center"/>
    </xf>
    <xf numFmtId="0" fontId="16" fillId="0" borderId="45" xfId="0" applyFont="1" applyBorder="1" applyAlignment="1">
      <alignment horizontal="center" vertical="center"/>
    </xf>
    <xf numFmtId="0" fontId="16" fillId="0" borderId="45" xfId="0" applyFont="1" applyBorder="1">
      <alignment vertical="center"/>
    </xf>
    <xf numFmtId="0" fontId="16" fillId="0" borderId="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46" fillId="0" borderId="0" xfId="0" applyFont="1">
      <alignment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1" fillId="0" borderId="6" xfId="0" applyFont="1" applyBorder="1">
      <alignment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26" fontId="15" fillId="0" borderId="42" xfId="0" applyNumberFormat="1" applyFont="1" applyBorder="1" applyAlignment="1">
      <alignment horizontal="left" vertical="center"/>
    </xf>
    <xf numFmtId="0" fontId="11" fillId="0" borderId="42" xfId="0" applyFont="1" applyBorder="1">
      <alignment vertical="center"/>
    </xf>
    <xf numFmtId="26" fontId="15" fillId="0" borderId="0" xfId="0" applyNumberFormat="1" applyFont="1" applyAlignment="1">
      <alignment horizontal="left" vertical="center"/>
    </xf>
    <xf numFmtId="0" fontId="44" fillId="0" borderId="0" xfId="0" applyFont="1" applyAlignment="1">
      <alignment horizontal="center"/>
    </xf>
    <xf numFmtId="49" fontId="11" fillId="0" borderId="0" xfId="0" applyNumberFormat="1" applyFont="1">
      <alignment vertical="center"/>
    </xf>
    <xf numFmtId="180" fontId="23" fillId="0" borderId="4" xfId="2" applyNumberFormat="1" applyFont="1" applyFill="1" applyBorder="1" applyAlignment="1">
      <alignment horizontal="right" vertical="center"/>
    </xf>
    <xf numFmtId="1" fontId="23" fillId="0" borderId="4" xfId="2" applyNumberFormat="1" applyFont="1" applyFill="1" applyBorder="1" applyAlignment="1">
      <alignment horizontal="left" vertical="center"/>
    </xf>
    <xf numFmtId="177" fontId="23" fillId="0" borderId="42" xfId="2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/>
    </xf>
    <xf numFmtId="0" fontId="23" fillId="0" borderId="4" xfId="2" applyNumberFormat="1" applyFont="1" applyFill="1" applyBorder="1" applyAlignment="1">
      <alignment horizontal="right" vertical="center"/>
    </xf>
    <xf numFmtId="177" fontId="23" fillId="3" borderId="42" xfId="2" applyNumberFormat="1" applyFont="1" applyFill="1" applyBorder="1" applyAlignment="1">
      <alignment horizontal="right" vertical="center"/>
    </xf>
    <xf numFmtId="0" fontId="11" fillId="0" borderId="47" xfId="0" applyFont="1" applyBorder="1" applyAlignment="1">
      <alignment horizontal="left" vertical="center"/>
    </xf>
    <xf numFmtId="181" fontId="11" fillId="0" borderId="47" xfId="2" applyNumberFormat="1" applyFont="1" applyFill="1" applyBorder="1" applyAlignment="1">
      <alignment horizontal="left" vertical="center" indent="1"/>
    </xf>
    <xf numFmtId="182" fontId="23" fillId="0" borderId="47" xfId="0" applyNumberFormat="1" applyFont="1" applyBorder="1" applyAlignment="1">
      <alignment horizontal="left" vertical="center"/>
    </xf>
    <xf numFmtId="178" fontId="23" fillId="0" borderId="47" xfId="0" applyNumberFormat="1" applyFont="1" applyBorder="1" applyAlignment="1">
      <alignment horizontal="right" vertical="center"/>
    </xf>
    <xf numFmtId="0" fontId="11" fillId="0" borderId="0" xfId="0" quotePrefix="1" applyFont="1">
      <alignment vertical="center"/>
    </xf>
    <xf numFmtId="0" fontId="11" fillId="0" borderId="0" xfId="0" quotePrefix="1" applyFont="1" applyAlignment="1">
      <alignment horizontal="left" vertical="center"/>
    </xf>
    <xf numFmtId="26" fontId="11" fillId="0" borderId="0" xfId="0" applyNumberFormat="1" applyFont="1">
      <alignment vertical="center"/>
    </xf>
    <xf numFmtId="49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left"/>
    </xf>
    <xf numFmtId="183" fontId="11" fillId="0" borderId="0" xfId="0" applyNumberFormat="1" applyFont="1">
      <alignment vertical="center"/>
    </xf>
    <xf numFmtId="0" fontId="45" fillId="0" borderId="0" xfId="0" applyFont="1">
      <alignment vertical="center"/>
    </xf>
    <xf numFmtId="49" fontId="24" fillId="0" borderId="0" xfId="0" applyNumberFormat="1" applyFont="1">
      <alignment vertical="center"/>
    </xf>
    <xf numFmtId="0" fontId="24" fillId="0" borderId="0" xfId="0" applyFont="1" applyAlignment="1">
      <alignment horizontal="left" vertical="center"/>
    </xf>
    <xf numFmtId="49" fontId="24" fillId="5" borderId="0" xfId="0" applyNumberFormat="1" applyFont="1" applyFill="1" applyAlignment="1">
      <alignment horizontal="left" vertical="center"/>
    </xf>
    <xf numFmtId="49" fontId="24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0" fontId="15" fillId="0" borderId="0" xfId="0" applyFont="1">
      <alignment vertical="center"/>
    </xf>
    <xf numFmtId="49" fontId="41" fillId="0" borderId="0" xfId="0" applyNumberFormat="1" applyFont="1" applyAlignment="1">
      <alignment horizontal="right"/>
    </xf>
    <xf numFmtId="0" fontId="47" fillId="0" borderId="0" xfId="0" applyFont="1">
      <alignment vertical="center"/>
    </xf>
    <xf numFmtId="0" fontId="41" fillId="0" borderId="0" xfId="0" applyFont="1" applyAlignment="1">
      <alignment horizontal="center"/>
    </xf>
    <xf numFmtId="0" fontId="47" fillId="0" borderId="41" xfId="0" applyFont="1" applyBorder="1" applyAlignment="1">
      <alignment horizontal="left"/>
    </xf>
    <xf numFmtId="49" fontId="41" fillId="0" borderId="41" xfId="0" applyNumberFormat="1" applyFont="1" applyBorder="1" applyAlignment="1">
      <alignment horizontal="right"/>
    </xf>
    <xf numFmtId="49" fontId="41" fillId="0" borderId="0" xfId="0" applyNumberFormat="1" applyFont="1">
      <alignment vertical="center"/>
    </xf>
    <xf numFmtId="0" fontId="40" fillId="0" borderId="0" xfId="0" applyFont="1" applyAlignment="1">
      <alignment horizontal="center"/>
    </xf>
    <xf numFmtId="49" fontId="40" fillId="0" borderId="0" xfId="0" applyNumberFormat="1" applyFont="1">
      <alignment vertical="center"/>
    </xf>
    <xf numFmtId="49" fontId="0" fillId="0" borderId="0" xfId="0" applyNumberFormat="1" applyAlignment="1">
      <alignment horizontal="left" vertical="center"/>
    </xf>
    <xf numFmtId="49" fontId="48" fillId="0" borderId="0" xfId="0" applyNumberFormat="1" applyFont="1">
      <alignment vertical="center"/>
    </xf>
    <xf numFmtId="49" fontId="48" fillId="0" borderId="1" xfId="0" applyNumberFormat="1" applyFont="1" applyBorder="1" applyAlignment="1">
      <alignment horizontal="center" vertical="center"/>
    </xf>
    <xf numFmtId="49" fontId="48" fillId="0" borderId="1" xfId="0" applyNumberFormat="1" applyFont="1" applyBorder="1" applyAlignment="1">
      <alignment horizontal="left" vertical="center"/>
    </xf>
    <xf numFmtId="0" fontId="16" fillId="0" borderId="28" xfId="0" applyFont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6" xfId="0" applyBorder="1">
      <alignment vertical="center"/>
    </xf>
    <xf numFmtId="49" fontId="24" fillId="0" borderId="16" xfId="0" applyNumberFormat="1" applyFont="1" applyBorder="1">
      <alignment vertical="center"/>
    </xf>
    <xf numFmtId="0" fontId="16" fillId="0" borderId="0" xfId="0" applyFont="1">
      <alignment vertical="center"/>
    </xf>
    <xf numFmtId="49" fontId="49" fillId="0" borderId="0" xfId="0" applyNumberFormat="1" applyFont="1">
      <alignment vertical="center"/>
    </xf>
    <xf numFmtId="0" fontId="24" fillId="5" borderId="5" xfId="0" applyFont="1" applyFill="1" applyBorder="1" applyAlignment="1">
      <alignment horizontal="left" vertical="center"/>
    </xf>
    <xf numFmtId="1" fontId="11" fillId="0" borderId="5" xfId="0" applyNumberFormat="1" applyFont="1" applyBorder="1" applyAlignment="1">
      <alignment horizontal="center" vertical="center"/>
    </xf>
    <xf numFmtId="181" fontId="11" fillId="0" borderId="47" xfId="2" applyNumberFormat="1" applyFont="1" applyFill="1" applyBorder="1" applyAlignment="1">
      <alignment vertical="center"/>
    </xf>
    <xf numFmtId="0" fontId="11" fillId="0" borderId="47" xfId="0" applyFont="1" applyBorder="1">
      <alignment vertical="center"/>
    </xf>
    <xf numFmtId="1" fontId="11" fillId="0" borderId="12" xfId="0" applyNumberFormat="1" applyFont="1" applyBorder="1" applyAlignment="1">
      <alignment horizontal="center" vertical="center"/>
    </xf>
    <xf numFmtId="49" fontId="23" fillId="0" borderId="10" xfId="0" quotePrefix="1" applyNumberFormat="1" applyFont="1" applyBorder="1" applyAlignment="1">
      <alignment horizontal="left" vertical="center"/>
    </xf>
    <xf numFmtId="0" fontId="21" fillId="0" borderId="16" xfId="0" applyFont="1" applyBorder="1" applyAlignment="1">
      <alignment horizontal="center" vertical="center"/>
    </xf>
    <xf numFmtId="181" fontId="11" fillId="0" borderId="47" xfId="2" applyNumberFormat="1" applyFont="1" applyFill="1" applyBorder="1" applyAlignment="1">
      <alignment horizontal="right" vertical="center"/>
    </xf>
    <xf numFmtId="0" fontId="23" fillId="0" borderId="8" xfId="0" applyFont="1" applyBorder="1" applyAlignment="1">
      <alignment horizontal="left" vertical="center"/>
    </xf>
    <xf numFmtId="178" fontId="23" fillId="0" borderId="8" xfId="0" applyNumberFormat="1" applyFont="1" applyBorder="1" applyAlignment="1">
      <alignment horizontal="right" vertical="center"/>
    </xf>
    <xf numFmtId="177" fontId="11" fillId="0" borderId="8" xfId="0" applyNumberFormat="1" applyFont="1" applyBorder="1" applyAlignment="1">
      <alignment horizontal="right" vertical="center"/>
    </xf>
    <xf numFmtId="49" fontId="23" fillId="0" borderId="8" xfId="0" applyNumberFormat="1" applyFont="1" applyBorder="1" applyAlignment="1">
      <alignment horizontal="left" vertical="center"/>
    </xf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77" fontId="11" fillId="0" borderId="5" xfId="0" applyNumberFormat="1" applyFont="1" applyBorder="1" applyAlignment="1">
      <alignment horizontal="right" vertical="center"/>
    </xf>
    <xf numFmtId="0" fontId="14" fillId="0" borderId="4" xfId="0" applyFont="1" applyBorder="1">
      <alignment vertical="center"/>
    </xf>
    <xf numFmtId="0" fontId="11" fillId="0" borderId="30" xfId="0" applyFont="1" applyBorder="1">
      <alignment vertical="center"/>
    </xf>
    <xf numFmtId="0" fontId="41" fillId="0" borderId="23" xfId="0" applyFont="1" applyBorder="1">
      <alignment vertical="center"/>
    </xf>
    <xf numFmtId="0" fontId="11" fillId="0" borderId="43" xfId="0" applyFont="1" applyBorder="1">
      <alignment vertical="center"/>
    </xf>
    <xf numFmtId="0" fontId="41" fillId="0" borderId="7" xfId="0" applyFont="1" applyBorder="1">
      <alignment vertical="center"/>
    </xf>
    <xf numFmtId="49" fontId="50" fillId="3" borderId="40" xfId="0" applyNumberFormat="1" applyFont="1" applyFill="1" applyBorder="1" applyAlignment="1">
      <alignment horizontal="left" vertical="center"/>
    </xf>
    <xf numFmtId="49" fontId="54" fillId="0" borderId="0" xfId="0" applyNumberFormat="1" applyFont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5" fillId="0" borderId="0" xfId="0" applyFont="1">
      <alignment vertical="center"/>
    </xf>
    <xf numFmtId="0" fontId="55" fillId="0" borderId="0" xfId="0" applyFont="1" applyAlignment="1">
      <alignment vertical="center" wrapText="1"/>
    </xf>
    <xf numFmtId="0" fontId="57" fillId="0" borderId="0" xfId="0" applyFont="1" applyAlignment="1">
      <alignment horizontal="center" vertical="center"/>
    </xf>
    <xf numFmtId="49" fontId="58" fillId="0" borderId="0" xfId="0" applyNumberFormat="1" applyFont="1" applyAlignment="1">
      <alignment horizontal="center" vertical="center"/>
    </xf>
    <xf numFmtId="49" fontId="58" fillId="0" borderId="6" xfId="0" applyNumberFormat="1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0" fillId="3" borderId="53" xfId="0" applyFont="1" applyFill="1" applyBorder="1" applyAlignment="1">
      <alignment horizontal="center" vertical="center"/>
    </xf>
    <xf numFmtId="49" fontId="61" fillId="0" borderId="5" xfId="0" quotePrefix="1" applyNumberFormat="1" applyFont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 wrapText="1"/>
    </xf>
    <xf numFmtId="0" fontId="61" fillId="0" borderId="5" xfId="0" quotePrefix="1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59" fillId="0" borderId="5" xfId="0" applyFont="1" applyBorder="1" applyAlignment="1">
      <alignment horizontal="center" vertical="center" wrapText="1"/>
    </xf>
    <xf numFmtId="0" fontId="58" fillId="0" borderId="25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4" fillId="0" borderId="24" xfId="0" applyFont="1" applyBorder="1">
      <alignment vertical="center"/>
    </xf>
    <xf numFmtId="0" fontId="14" fillId="0" borderId="12" xfId="0" applyFont="1" applyBorder="1">
      <alignment vertical="center"/>
    </xf>
    <xf numFmtId="0" fontId="51" fillId="0" borderId="10" xfId="0" applyFont="1" applyBorder="1" applyAlignment="1">
      <alignment vertical="center" wrapText="1"/>
    </xf>
    <xf numFmtId="1" fontId="11" fillId="0" borderId="4" xfId="0" applyNumberFormat="1" applyFont="1" applyBorder="1" applyAlignment="1">
      <alignment horizontal="center" vertical="center"/>
    </xf>
    <xf numFmtId="49" fontId="24" fillId="3" borderId="31" xfId="0" applyNumberFormat="1" applyFont="1" applyFill="1" applyBorder="1">
      <alignment vertical="center"/>
    </xf>
    <xf numFmtId="49" fontId="24" fillId="3" borderId="29" xfId="0" applyNumberFormat="1" applyFont="1" applyFill="1" applyBorder="1">
      <alignment vertical="center"/>
    </xf>
    <xf numFmtId="49" fontId="32" fillId="0" borderId="24" xfId="0" applyNumberFormat="1" applyFont="1" applyBorder="1">
      <alignment vertical="center"/>
    </xf>
    <xf numFmtId="49" fontId="32" fillId="0" borderId="4" xfId="0" applyNumberFormat="1" applyFont="1" applyBorder="1">
      <alignment vertical="center"/>
    </xf>
    <xf numFmtId="49" fontId="32" fillId="0" borderId="12" xfId="0" applyNumberFormat="1" applyFont="1" applyBorder="1">
      <alignment vertical="center"/>
    </xf>
    <xf numFmtId="49" fontId="11" fillId="0" borderId="5" xfId="0" applyNumberFormat="1" applyFont="1" applyBorder="1" applyAlignment="1">
      <alignment horizontal="left" vertical="center"/>
    </xf>
    <xf numFmtId="0" fontId="11" fillId="0" borderId="5" xfId="0" applyFont="1" applyBorder="1">
      <alignment vertical="center"/>
    </xf>
    <xf numFmtId="0" fontId="0" fillId="0" borderId="43" xfId="0" applyBorder="1">
      <alignment vertical="center"/>
    </xf>
    <xf numFmtId="0" fontId="0" fillId="0" borderId="8" xfId="0" applyBorder="1">
      <alignment vertical="center"/>
    </xf>
    <xf numFmtId="0" fontId="11" fillId="0" borderId="49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179" fontId="11" fillId="0" borderId="5" xfId="0" applyNumberFormat="1" applyFont="1" applyBorder="1" applyAlignment="1">
      <alignment vertical="center" shrinkToFit="1"/>
    </xf>
    <xf numFmtId="179" fontId="11" fillId="0" borderId="5" xfId="0" applyNumberFormat="1" applyFont="1" applyBorder="1" applyAlignment="1">
      <alignment horizontal="center" vertical="center"/>
    </xf>
    <xf numFmtId="177" fontId="11" fillId="0" borderId="5" xfId="0" applyNumberFormat="1" applyFont="1" applyBorder="1" applyAlignment="1">
      <alignment horizontal="center" vertical="center"/>
    </xf>
    <xf numFmtId="0" fontId="16" fillId="0" borderId="40" xfId="0" applyFont="1" applyBorder="1">
      <alignment vertical="center"/>
    </xf>
    <xf numFmtId="0" fontId="0" fillId="0" borderId="54" xfId="0" applyBorder="1">
      <alignment vertical="center"/>
    </xf>
    <xf numFmtId="0" fontId="11" fillId="0" borderId="5" xfId="0" applyFont="1" applyBorder="1" applyAlignment="1">
      <alignment horizontal="center"/>
    </xf>
    <xf numFmtId="180" fontId="11" fillId="0" borderId="5" xfId="2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0" fontId="30" fillId="6" borderId="50" xfId="0" applyFont="1" applyFill="1" applyBorder="1" applyAlignment="1">
      <alignment horizontal="left" vertical="center"/>
    </xf>
    <xf numFmtId="49" fontId="23" fillId="6" borderId="51" xfId="0" applyNumberFormat="1" applyFont="1" applyFill="1" applyBorder="1" applyAlignment="1">
      <alignment horizontal="left" vertical="center"/>
    </xf>
    <xf numFmtId="49" fontId="11" fillId="6" borderId="51" xfId="0" applyNumberFormat="1" applyFont="1" applyFill="1" applyBorder="1" applyAlignment="1">
      <alignment horizontal="left" vertical="center"/>
    </xf>
    <xf numFmtId="49" fontId="31" fillId="6" borderId="51" xfId="0" quotePrefix="1" applyNumberFormat="1" applyFont="1" applyFill="1" applyBorder="1" applyAlignment="1">
      <alignment horizontal="left" vertical="center"/>
    </xf>
    <xf numFmtId="49" fontId="28" fillId="6" borderId="52" xfId="0" quotePrefix="1" applyNumberFormat="1" applyFont="1" applyFill="1" applyBorder="1" applyAlignment="1">
      <alignment horizontal="left" vertical="center"/>
    </xf>
    <xf numFmtId="0" fontId="14" fillId="0" borderId="4" xfId="0" applyFont="1" applyBorder="1" applyAlignment="1">
      <alignment vertical="center" wrapText="1"/>
    </xf>
    <xf numFmtId="179" fontId="23" fillId="0" borderId="8" xfId="0" applyNumberFormat="1" applyFont="1" applyBorder="1" applyAlignment="1">
      <alignment vertical="center" shrinkToFit="1"/>
    </xf>
    <xf numFmtId="49" fontId="23" fillId="0" borderId="8" xfId="0" quotePrefix="1" applyNumberFormat="1" applyFont="1" applyBorder="1" applyAlignment="1">
      <alignment horizontal="left" vertical="center"/>
    </xf>
    <xf numFmtId="0" fontId="48" fillId="0" borderId="10" xfId="0" applyFont="1" applyBorder="1">
      <alignment vertical="center"/>
    </xf>
    <xf numFmtId="0" fontId="48" fillId="0" borderId="11" xfId="0" applyFont="1" applyBorder="1">
      <alignment vertical="center"/>
    </xf>
    <xf numFmtId="0" fontId="30" fillId="7" borderId="5" xfId="0" applyFont="1" applyFill="1" applyBorder="1" applyAlignment="1">
      <alignment horizontal="left" vertical="center"/>
    </xf>
    <xf numFmtId="49" fontId="64" fillId="7" borderId="5" xfId="0" quotePrefix="1" applyNumberFormat="1" applyFont="1" applyFill="1" applyBorder="1" applyAlignment="1">
      <alignment horizontal="left" vertical="center" wrapText="1"/>
    </xf>
    <xf numFmtId="0" fontId="0" fillId="0" borderId="36" xfId="0" applyBorder="1">
      <alignment vertical="center"/>
    </xf>
    <xf numFmtId="0" fontId="0" fillId="0" borderId="32" xfId="0" applyBorder="1">
      <alignment vertical="center"/>
    </xf>
    <xf numFmtId="0" fontId="23" fillId="5" borderId="5" xfId="0" applyFont="1" applyFill="1" applyBorder="1" applyAlignment="1">
      <alignment horizontal="left" vertical="center"/>
    </xf>
    <xf numFmtId="0" fontId="65" fillId="0" borderId="2" xfId="0" applyFont="1" applyBorder="1" applyAlignment="1">
      <alignment horizontal="center" vertical="center"/>
    </xf>
    <xf numFmtId="6" fontId="11" fillId="0" borderId="5" xfId="12" applyFont="1" applyFill="1" applyBorder="1" applyAlignment="1">
      <alignment horizontal="right" vertical="center"/>
    </xf>
    <xf numFmtId="6" fontId="11" fillId="0" borderId="8" xfId="12" applyFont="1" applyFill="1" applyBorder="1" applyAlignment="1">
      <alignment horizontal="right" vertical="center"/>
    </xf>
    <xf numFmtId="49" fontId="58" fillId="0" borderId="25" xfId="0" applyNumberFormat="1" applyFont="1" applyBorder="1" applyAlignment="1">
      <alignment horizontal="center" vertical="center"/>
    </xf>
    <xf numFmtId="0" fontId="23" fillId="0" borderId="12" xfId="0" applyFont="1" applyBorder="1" applyAlignment="1">
      <alignment horizontal="left" vertical="center"/>
    </xf>
    <xf numFmtId="179" fontId="23" fillId="0" borderId="12" xfId="0" applyNumberFormat="1" applyFont="1" applyBorder="1" applyAlignment="1">
      <alignment vertical="center" shrinkToFit="1"/>
    </xf>
    <xf numFmtId="0" fontId="16" fillId="0" borderId="3" xfId="0" applyFont="1" applyBorder="1">
      <alignment vertical="center"/>
    </xf>
    <xf numFmtId="49" fontId="32" fillId="0" borderId="24" xfId="0" applyNumberFormat="1" applyFont="1" applyBorder="1" applyAlignment="1">
      <alignment horizontal="left" vertical="center"/>
    </xf>
    <xf numFmtId="0" fontId="24" fillId="3" borderId="5" xfId="0" applyFont="1" applyFill="1" applyBorder="1" applyAlignment="1">
      <alignment horizontal="left" vertical="center"/>
    </xf>
    <xf numFmtId="0" fontId="11" fillId="0" borderId="6" xfId="0" applyFont="1" applyBorder="1">
      <alignment vertical="center"/>
    </xf>
    <xf numFmtId="180" fontId="11" fillId="0" borderId="4" xfId="2" applyNumberFormat="1" applyFont="1" applyFill="1" applyBorder="1" applyAlignment="1">
      <alignment horizontal="center" vertical="center"/>
    </xf>
    <xf numFmtId="1" fontId="11" fillId="0" borderId="57" xfId="0" applyNumberFormat="1" applyFont="1" applyBorder="1" applyAlignment="1">
      <alignment horizontal="center" vertical="center"/>
    </xf>
    <xf numFmtId="177" fontId="11" fillId="0" borderId="6" xfId="0" applyNumberFormat="1" applyFont="1" applyBorder="1" applyAlignment="1">
      <alignment horizontal="center" vertical="center"/>
    </xf>
    <xf numFmtId="6" fontId="11" fillId="0" borderId="4" xfId="12" applyFont="1" applyFill="1" applyBorder="1" applyAlignment="1">
      <alignment horizontal="right" vertical="center"/>
    </xf>
    <xf numFmtId="0" fontId="11" fillId="0" borderId="55" xfId="0" applyFont="1" applyBorder="1">
      <alignment vertical="center"/>
    </xf>
    <xf numFmtId="0" fontId="11" fillId="0" borderId="58" xfId="0" applyFont="1" applyBorder="1" applyAlignment="1">
      <alignment horizontal="center" vertical="center"/>
    </xf>
    <xf numFmtId="0" fontId="24" fillId="5" borderId="10" xfId="0" applyFont="1" applyFill="1" applyBorder="1" applyAlignment="1">
      <alignment horizontal="left" vertical="center"/>
    </xf>
    <xf numFmtId="0" fontId="11" fillId="0" borderId="58" xfId="0" applyFont="1" applyBorder="1">
      <alignment vertical="center"/>
    </xf>
    <xf numFmtId="176" fontId="11" fillId="0" borderId="58" xfId="0" applyNumberFormat="1" applyFont="1" applyBorder="1" applyAlignment="1">
      <alignment horizontal="right" vertical="center"/>
    </xf>
    <xf numFmtId="177" fontId="11" fillId="0" borderId="52" xfId="0" applyNumberFormat="1" applyFont="1" applyBorder="1">
      <alignment vertical="center"/>
    </xf>
    <xf numFmtId="49" fontId="32" fillId="0" borderId="4" xfId="0" applyNumberFormat="1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11" fillId="0" borderId="40" xfId="0" applyFont="1" applyBorder="1" applyAlignment="1">
      <alignment horizontal="left" vertical="center"/>
    </xf>
    <xf numFmtId="0" fontId="11" fillId="0" borderId="41" xfId="0" applyFont="1" applyBorder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181" fontId="23" fillId="0" borderId="47" xfId="2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49" fontId="24" fillId="3" borderId="28" xfId="0" applyNumberFormat="1" applyFont="1" applyFill="1" applyBorder="1" applyAlignment="1">
      <alignment horizontal="center" vertical="center"/>
    </xf>
    <xf numFmtId="49" fontId="24" fillId="3" borderId="29" xfId="0" applyNumberFormat="1" applyFont="1" applyFill="1" applyBorder="1" applyAlignment="1">
      <alignment horizontal="center" vertical="center"/>
    </xf>
    <xf numFmtId="49" fontId="24" fillId="3" borderId="31" xfId="0" applyNumberFormat="1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49" fontId="24" fillId="3" borderId="23" xfId="0" applyNumberFormat="1" applyFont="1" applyFill="1" applyBorder="1" applyAlignment="1">
      <alignment horizontal="center" vertical="center"/>
    </xf>
    <xf numFmtId="49" fontId="24" fillId="3" borderId="56" xfId="0" applyNumberFormat="1" applyFont="1" applyFill="1" applyBorder="1" applyAlignment="1">
      <alignment horizontal="center" vertical="center"/>
    </xf>
    <xf numFmtId="49" fontId="24" fillId="6" borderId="28" xfId="0" applyNumberFormat="1" applyFont="1" applyFill="1" applyBorder="1" applyAlignment="1">
      <alignment horizontal="center" vertical="center"/>
    </xf>
    <xf numFmtId="49" fontId="24" fillId="6" borderId="29" xfId="0" applyNumberFormat="1" applyFont="1" applyFill="1" applyBorder="1" applyAlignment="1">
      <alignment horizontal="center" vertical="center"/>
    </xf>
    <xf numFmtId="49" fontId="24" fillId="6" borderId="31" xfId="0" applyNumberFormat="1" applyFont="1" applyFill="1" applyBorder="1" applyAlignment="1">
      <alignment horizontal="center" vertical="center"/>
    </xf>
    <xf numFmtId="49" fontId="32" fillId="0" borderId="24" xfId="0" applyNumberFormat="1" applyFont="1" applyBorder="1" applyAlignment="1">
      <alignment horizontal="left" vertical="center"/>
    </xf>
    <xf numFmtId="49" fontId="32" fillId="0" borderId="4" xfId="0" applyNumberFormat="1" applyFont="1" applyBorder="1" applyAlignment="1">
      <alignment horizontal="left" vertical="center"/>
    </xf>
    <xf numFmtId="49" fontId="32" fillId="0" borderId="12" xfId="0" applyNumberFormat="1" applyFont="1" applyBorder="1" applyAlignment="1">
      <alignment horizontal="left" vertical="center"/>
    </xf>
    <xf numFmtId="49" fontId="48" fillId="0" borderId="0" xfId="0" applyNumberFormat="1" applyFont="1" applyAlignment="1">
      <alignment horizontal="center" vertical="center"/>
    </xf>
    <xf numFmtId="49" fontId="24" fillId="7" borderId="28" xfId="0" applyNumberFormat="1" applyFont="1" applyFill="1" applyBorder="1" applyAlignment="1">
      <alignment horizontal="center" vertical="center"/>
    </xf>
    <xf numFmtId="0" fontId="30" fillId="0" borderId="50" xfId="0" applyFont="1" applyBorder="1" applyAlignment="1">
      <alignment horizontal="left" vertical="center"/>
    </xf>
    <xf numFmtId="0" fontId="11" fillId="0" borderId="24" xfId="0" applyFont="1" applyBorder="1" applyAlignment="1">
      <alignment horizontal="center" vertical="center"/>
    </xf>
    <xf numFmtId="49" fontId="24" fillId="7" borderId="29" xfId="0" applyNumberFormat="1" applyFont="1" applyFill="1" applyBorder="1" applyAlignment="1">
      <alignment horizontal="center" vertical="center"/>
    </xf>
    <xf numFmtId="49" fontId="23" fillId="0" borderId="51" xfId="0" applyNumberFormat="1" applyFont="1" applyBorder="1" applyAlignment="1">
      <alignment horizontal="left" vertical="center"/>
    </xf>
    <xf numFmtId="49" fontId="23" fillId="0" borderId="51" xfId="0" quotePrefix="1" applyNumberFormat="1" applyFont="1" applyBorder="1" applyAlignment="1">
      <alignment horizontal="left" vertical="center"/>
    </xf>
    <xf numFmtId="49" fontId="24" fillId="0" borderId="56" xfId="0" quotePrefix="1" applyNumberFormat="1" applyFont="1" applyBorder="1" applyAlignment="1">
      <alignment horizontal="left" vertical="center"/>
    </xf>
    <xf numFmtId="49" fontId="28" fillId="0" borderId="7" xfId="0" quotePrefix="1" applyNumberFormat="1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179" fontId="23" fillId="0" borderId="4" xfId="0" applyNumberFormat="1" applyFont="1" applyBorder="1" applyAlignment="1">
      <alignment vertical="center" shrinkToFit="1"/>
    </xf>
    <xf numFmtId="179" fontId="23" fillId="0" borderId="4" xfId="0" applyNumberFormat="1" applyFont="1" applyBorder="1" applyAlignment="1">
      <alignment horizontal="center" vertical="center" shrinkToFit="1"/>
    </xf>
    <xf numFmtId="49" fontId="24" fillId="7" borderId="31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49" fontId="32" fillId="0" borderId="24" xfId="0" applyNumberFormat="1" applyFont="1" applyBorder="1" applyAlignment="1">
      <alignment horizontal="center" vertical="center"/>
    </xf>
    <xf numFmtId="187" fontId="32" fillId="0" borderId="4" xfId="0" applyNumberFormat="1" applyFont="1" applyBorder="1" applyAlignment="1">
      <alignment horizontal="center" vertical="center"/>
    </xf>
    <xf numFmtId="49" fontId="32" fillId="0" borderId="4" xfId="0" applyNumberFormat="1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49" fontId="23" fillId="0" borderId="4" xfId="0" quotePrefix="1" applyNumberFormat="1" applyFont="1" applyBorder="1" applyAlignment="1">
      <alignment horizontal="left" vertical="center"/>
    </xf>
    <xf numFmtId="49" fontId="23" fillId="7" borderId="20" xfId="0" quotePrefix="1" applyNumberFormat="1" applyFont="1" applyFill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/>
    </xf>
    <xf numFmtId="179" fontId="11" fillId="0" borderId="20" xfId="0" applyNumberFormat="1" applyFont="1" applyBorder="1" applyAlignment="1">
      <alignment vertical="center" shrinkToFit="1"/>
    </xf>
    <xf numFmtId="179" fontId="11" fillId="0" borderId="20" xfId="0" applyNumberFormat="1" applyFont="1" applyBorder="1" applyAlignment="1">
      <alignment horizontal="center" vertical="center"/>
    </xf>
    <xf numFmtId="1" fontId="11" fillId="0" borderId="20" xfId="0" applyNumberFormat="1" applyFont="1" applyBorder="1" applyAlignment="1">
      <alignment horizontal="center" vertical="center"/>
    </xf>
    <xf numFmtId="177" fontId="11" fillId="0" borderId="20" xfId="0" applyNumberFormat="1" applyFont="1" applyBorder="1" applyAlignment="1">
      <alignment horizontal="right" vertical="center"/>
    </xf>
    <xf numFmtId="49" fontId="24" fillId="3" borderId="7" xfId="0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178" fontId="23" fillId="0" borderId="4" xfId="0" applyNumberFormat="1" applyFont="1" applyBorder="1" applyAlignment="1">
      <alignment horizontal="center" vertical="center"/>
    </xf>
    <xf numFmtId="0" fontId="11" fillId="3" borderId="8" xfId="0" applyFont="1" applyFill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49" fontId="11" fillId="0" borderId="8" xfId="0" applyNumberFormat="1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49" fontId="11" fillId="0" borderId="12" xfId="0" applyNumberFormat="1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49" fontId="15" fillId="0" borderId="5" xfId="0" applyNumberFormat="1" applyFont="1" applyBorder="1" applyAlignment="1">
      <alignment horizontal="left" vertical="center"/>
    </xf>
    <xf numFmtId="0" fontId="62" fillId="3" borderId="12" xfId="0" applyFont="1" applyFill="1" applyBorder="1" applyAlignment="1">
      <alignment horizontal="left" vertical="center"/>
    </xf>
    <xf numFmtId="3" fontId="11" fillId="0" borderId="8" xfId="0" applyNumberFormat="1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178" fontId="23" fillId="0" borderId="10" xfId="0" applyNumberFormat="1" applyFont="1" applyBorder="1" applyAlignment="1">
      <alignment horizontal="center" vertical="center"/>
    </xf>
    <xf numFmtId="1" fontId="23" fillId="0" borderId="11" xfId="0" applyNumberFormat="1" applyFont="1" applyBorder="1" applyAlignment="1">
      <alignment horizontal="center" vertical="center"/>
    </xf>
    <xf numFmtId="177" fontId="23" fillId="0" borderId="11" xfId="0" applyNumberFormat="1" applyFont="1" applyBorder="1" applyAlignment="1">
      <alignment horizontal="right" vertical="center"/>
    </xf>
    <xf numFmtId="3" fontId="11" fillId="0" borderId="12" xfId="0" applyNumberFormat="1" applyFont="1" applyBorder="1" applyAlignment="1">
      <alignment horizontal="center" vertical="center"/>
    </xf>
    <xf numFmtId="56" fontId="14" fillId="0" borderId="11" xfId="0" applyNumberFormat="1" applyFont="1" applyBorder="1" applyAlignment="1">
      <alignment horizontal="center" vertical="center"/>
    </xf>
    <xf numFmtId="180" fontId="23" fillId="0" borderId="47" xfId="0" applyNumberFormat="1" applyFont="1" applyBorder="1" applyAlignment="1">
      <alignment horizontal="right" vertical="center"/>
    </xf>
    <xf numFmtId="0" fontId="62" fillId="3" borderId="11" xfId="0" applyFont="1" applyFill="1" applyBorder="1" applyAlignment="1">
      <alignment horizontal="left" vertical="center"/>
    </xf>
  </cellXfs>
  <cellStyles count="14">
    <cellStyle name="ハイパーリンク" xfId="1" builtinId="8"/>
    <cellStyle name="桁区切り" xfId="2" builtinId="6"/>
    <cellStyle name="桁区切り 2" xfId="3" xr:uid="{00000000-0005-0000-0000-000003000000}"/>
    <cellStyle name="通貨" xfId="12" builtinId="7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  <cellStyle name="標準 4 2 2 2 2" xfId="11" xr:uid="{73C9D90A-4087-4C89-AF2C-7BEE2C949CD1}"/>
    <cellStyle name="標準 4 2 2 2 2 2" xfId="13" xr:uid="{3602255E-FDAE-4EBA-BE0C-A4E749982C91}"/>
    <cellStyle name="標準 5" xfId="10" xr:uid="{2B9876AE-5E37-473F-9835-F480CAEC33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64770</xdr:colOff>
      <xdr:row>36</xdr:row>
      <xdr:rowOff>112395</xdr:rowOff>
    </xdr:from>
    <xdr:to>
      <xdr:col>12</xdr:col>
      <xdr:colOff>645795</xdr:colOff>
      <xdr:row>44</xdr:row>
      <xdr:rowOff>150495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1F035-D532-48E0-AF4E-B54806D7D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54120" y="6652895"/>
          <a:ext cx="3190875" cy="142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269876</xdr:colOff>
      <xdr:row>2</xdr:row>
      <xdr:rowOff>523876</xdr:rowOff>
    </xdr:from>
    <xdr:to>
      <xdr:col>6</xdr:col>
      <xdr:colOff>3254376</xdr:colOff>
      <xdr:row>2</xdr:row>
      <xdr:rowOff>2098008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5C6CA24-A102-3E35-701F-BBB2176A7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53126" y="2032001"/>
          <a:ext cx="2984500" cy="1574132"/>
        </a:xfrm>
        <a:prstGeom prst="rect">
          <a:avLst/>
        </a:prstGeom>
      </xdr:spPr>
    </xdr:pic>
    <xdr:clientData/>
  </xdr:twoCellAnchor>
  <xdr:twoCellAnchor editAs="oneCell">
    <xdr:from>
      <xdr:col>6</xdr:col>
      <xdr:colOff>158750</xdr:colOff>
      <xdr:row>3</xdr:row>
      <xdr:rowOff>333375</xdr:rowOff>
    </xdr:from>
    <xdr:to>
      <xdr:col>6</xdr:col>
      <xdr:colOff>3475261</xdr:colOff>
      <xdr:row>3</xdr:row>
      <xdr:rowOff>2119658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40B3262-2A63-F10D-898D-01A8F3C0F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42000" y="4318000"/>
          <a:ext cx="3316511" cy="1786283"/>
        </a:xfrm>
        <a:prstGeom prst="rect">
          <a:avLst/>
        </a:prstGeom>
      </xdr:spPr>
    </xdr:pic>
    <xdr:clientData/>
  </xdr:twoCellAnchor>
  <xdr:twoCellAnchor editAs="oneCell">
    <xdr:from>
      <xdr:col>6</xdr:col>
      <xdr:colOff>127001</xdr:colOff>
      <xdr:row>4</xdr:row>
      <xdr:rowOff>301625</xdr:rowOff>
    </xdr:from>
    <xdr:to>
      <xdr:col>6</xdr:col>
      <xdr:colOff>3470241</xdr:colOff>
      <xdr:row>4</xdr:row>
      <xdr:rowOff>2286000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7ACACBE-9D90-9EB2-1E1B-01CC457ED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510251" y="6762750"/>
          <a:ext cx="3343240" cy="19843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5800906-VT-DD-01%20.xlsx" TargetMode="External"/><Relationship Id="rId1" Type="http://schemas.openxmlformats.org/officeDocument/2006/relationships/externalLinkPath" Target="file:///C:\Users\19544\Downloads\SY-5800906-VT-DD-01%2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\\10.251.98.9\fileshare\Users\19544\Downloads\SY-4T601005-VT-DD-01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case mark "/>
      <sheetName val="invoice"/>
      <sheetName val="NARITA "/>
      <sheetName val="LABEL"/>
    </sheetNames>
    <sheetDataSet>
      <sheetData sheetId="0">
        <row r="2">
          <cell r="C2" t="str">
            <v xml:space="preserve"> SHUNYA CO., LTD.</v>
          </cell>
        </row>
        <row r="3">
          <cell r="C3" t="str">
            <v xml:space="preserve"> KENSHIN BLDG., 1F, 1-22-10 DOUGENZAKA,</v>
          </cell>
        </row>
        <row r="4">
          <cell r="C4" t="str">
            <v xml:space="preserve"> SHIBUYA-KU 150-0043</v>
          </cell>
        </row>
        <row r="5">
          <cell r="C5" t="str">
            <v xml:space="preserve"> TEL : +81(0)3-5459-1177</v>
          </cell>
        </row>
        <row r="9">
          <cell r="C9" t="str">
            <v>VIVAN GARMENTS VIET NAM COMPANY LIMITED</v>
          </cell>
        </row>
        <row r="10">
          <cell r="C10" t="str">
            <v>D17 Street , Sai Gon South Residential Area</v>
          </cell>
        </row>
        <row r="11">
          <cell r="C11" t="str">
            <v>Hamlet 3 , Long Hau Commune , Can Giuoc District,</v>
          </cell>
        </row>
        <row r="12">
          <cell r="C12" t="str">
            <v xml:space="preserve"> Long An Province , VietNam</v>
          </cell>
        </row>
        <row r="13">
          <cell r="C13" t="str">
            <v xml:space="preserve"> TEL : ( 084 ) 097 22 00 798  ATTN : MR. TUAN</v>
          </cell>
        </row>
        <row r="15">
          <cell r="C15" t="str">
            <v xml:space="preserve"> - SAME AS BUYER -</v>
          </cell>
        </row>
        <row r="21">
          <cell r="C21" t="str">
            <v xml:space="preserve"> NO COMMERCIAL</v>
          </cell>
        </row>
        <row r="24">
          <cell r="C24" t="str">
            <v xml:space="preserve"> AIRCRAFT</v>
          </cell>
        </row>
        <row r="32">
          <cell r="C32" t="str">
            <v xml:space="preserve"> TOKYO, JAPAN</v>
          </cell>
        </row>
        <row r="33">
          <cell r="C33" t="str">
            <v xml:space="preserve"> HOCHIMINH-CITY, VIETNAM</v>
          </cell>
        </row>
        <row r="36">
          <cell r="C36" t="str">
            <v>FABRIC &amp; PARTS FOR WEAR &amp; SAMPLE CLOTHES</v>
          </cell>
        </row>
        <row r="38">
          <cell r="C38" t="str">
            <v>- DETAILS AS PER ATTACHED SHEET -</v>
          </cell>
        </row>
        <row r="48">
          <cell r="C48" t="str">
            <v>F.O.B. TOKYO IN YEN</v>
          </cell>
        </row>
        <row r="60">
          <cell r="C60" t="str">
            <v>COUNTRY OF ORIGIN : JAPAN</v>
          </cell>
        </row>
        <row r="63">
          <cell r="C63" t="str">
            <v>" THESE GOODS WILL BE RETURN TO JAPAN</v>
          </cell>
        </row>
        <row r="64">
          <cell r="C64" t="str">
            <v xml:space="preserve">  AFTER MANUFACTURED AT VIET NAM "</v>
          </cell>
        </row>
      </sheetData>
      <sheetData sheetId="1"/>
      <sheetData sheetId="2"/>
      <sheetData sheetId="3">
        <row r="28">
          <cell r="F28" t="str">
            <v>M.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abSelected="1" workbookViewId="0">
      <selection activeCell="C69" sqref="C69"/>
    </sheetView>
  </sheetViews>
  <sheetFormatPr defaultColWidth="9" defaultRowHeight="12.5"/>
  <cols>
    <col min="1" max="1" width="3.90625" style="7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">
        <v>1</v>
      </c>
      <c r="B1" s="7" t="s">
        <v>1</v>
      </c>
      <c r="C1" s="2" t="s">
        <v>0</v>
      </c>
    </row>
    <row r="2" spans="1:3" s="8" customFormat="1">
      <c r="A2" s="7">
        <f>A1+1</f>
        <v>2</v>
      </c>
      <c r="B2" s="4" t="s">
        <v>5</v>
      </c>
      <c r="C2" s="4" t="s">
        <v>65</v>
      </c>
    </row>
    <row r="3" spans="1:3">
      <c r="A3" s="7">
        <f>A2+1</f>
        <v>3</v>
      </c>
      <c r="B3" s="4" t="s">
        <v>3</v>
      </c>
      <c r="C3" s="2" t="s">
        <v>66</v>
      </c>
    </row>
    <row r="4" spans="1:3">
      <c r="A4" s="7">
        <f t="shared" ref="A4:A68" si="0">A3+1</f>
        <v>4</v>
      </c>
      <c r="B4" s="4" t="s">
        <v>2</v>
      </c>
      <c r="C4" s="2" t="s">
        <v>67</v>
      </c>
    </row>
    <row r="5" spans="1:3" s="8" customFormat="1">
      <c r="A5" s="7">
        <f t="shared" si="0"/>
        <v>5</v>
      </c>
      <c r="B5" s="4" t="s">
        <v>4</v>
      </c>
      <c r="C5" s="4" t="s">
        <v>68</v>
      </c>
    </row>
    <row r="6" spans="1:3" s="8" customFormat="1">
      <c r="A6" s="7">
        <f t="shared" si="0"/>
        <v>6</v>
      </c>
      <c r="B6" s="4" t="s">
        <v>6</v>
      </c>
      <c r="C6" s="3"/>
    </row>
    <row r="7" spans="1:3" s="8" customFormat="1">
      <c r="A7" s="7">
        <f t="shared" si="0"/>
        <v>7</v>
      </c>
      <c r="B7" s="4" t="s">
        <v>7</v>
      </c>
      <c r="C7" s="4"/>
    </row>
    <row r="8" spans="1:3" s="8" customFormat="1">
      <c r="A8" s="7">
        <f t="shared" si="0"/>
        <v>8</v>
      </c>
      <c r="B8" s="4" t="s">
        <v>8</v>
      </c>
      <c r="C8" s="4"/>
    </row>
    <row r="9" spans="1:3" s="8" customFormat="1">
      <c r="A9" s="7">
        <f t="shared" si="0"/>
        <v>9</v>
      </c>
      <c r="B9" s="9" t="s">
        <v>76</v>
      </c>
      <c r="C9" s="4" t="s">
        <v>101</v>
      </c>
    </row>
    <row r="10" spans="1:3" s="8" customFormat="1">
      <c r="A10" s="7">
        <f t="shared" si="0"/>
        <v>10</v>
      </c>
      <c r="B10" s="9" t="s">
        <v>77</v>
      </c>
      <c r="C10" s="4" t="s">
        <v>143</v>
      </c>
    </row>
    <row r="11" spans="1:3" s="8" customFormat="1">
      <c r="A11" s="7">
        <f t="shared" si="0"/>
        <v>11</v>
      </c>
      <c r="B11" s="9" t="s">
        <v>78</v>
      </c>
      <c r="C11" s="2" t="s">
        <v>102</v>
      </c>
    </row>
    <row r="12" spans="1:3" s="8" customFormat="1">
      <c r="A12" s="7">
        <f t="shared" si="0"/>
        <v>12</v>
      </c>
      <c r="B12" s="9" t="s">
        <v>79</v>
      </c>
      <c r="C12" s="2" t="s">
        <v>103</v>
      </c>
    </row>
    <row r="13" spans="1:3" s="8" customFormat="1">
      <c r="A13" s="7">
        <f t="shared" si="0"/>
        <v>13</v>
      </c>
      <c r="B13" s="9" t="s">
        <v>9</v>
      </c>
      <c r="C13" s="3" t="s">
        <v>106</v>
      </c>
    </row>
    <row r="14" spans="1:3" s="8" customFormat="1" ht="13.5">
      <c r="A14" s="7">
        <f t="shared" si="0"/>
        <v>14</v>
      </c>
      <c r="B14" s="9" t="s">
        <v>10</v>
      </c>
      <c r="C14" s="12"/>
    </row>
    <row r="15" spans="1:3" s="8" customFormat="1">
      <c r="A15" s="7">
        <f t="shared" si="0"/>
        <v>15</v>
      </c>
      <c r="B15" s="4" t="s">
        <v>11</v>
      </c>
      <c r="C15" s="4" t="s">
        <v>69</v>
      </c>
    </row>
    <row r="16" spans="1:3" s="8" customFormat="1">
      <c r="A16" s="7">
        <f t="shared" si="0"/>
        <v>16</v>
      </c>
      <c r="B16" s="4" t="s">
        <v>12</v>
      </c>
      <c r="C16" s="2"/>
    </row>
    <row r="17" spans="1:3" s="8" customFormat="1">
      <c r="A17" s="7">
        <f t="shared" si="0"/>
        <v>17</v>
      </c>
      <c r="B17" s="4" t="s">
        <v>13</v>
      </c>
      <c r="C17" s="2"/>
    </row>
    <row r="18" spans="1:3" s="8" customFormat="1">
      <c r="A18" s="7">
        <f t="shared" si="0"/>
        <v>18</v>
      </c>
      <c r="B18" s="4" t="s">
        <v>14</v>
      </c>
      <c r="C18" s="3"/>
    </row>
    <row r="19" spans="1:3" s="8" customFormat="1">
      <c r="A19" s="7">
        <f t="shared" si="0"/>
        <v>19</v>
      </c>
      <c r="B19" s="4" t="s">
        <v>15</v>
      </c>
      <c r="C19" s="4"/>
    </row>
    <row r="20" spans="1:3" s="8" customFormat="1">
      <c r="A20" s="7">
        <f t="shared" si="0"/>
        <v>20</v>
      </c>
      <c r="B20" s="4" t="s">
        <v>16</v>
      </c>
      <c r="C20" s="4"/>
    </row>
    <row r="21" spans="1:3" s="8" customFormat="1">
      <c r="A21" s="7">
        <f t="shared" si="0"/>
        <v>21</v>
      </c>
      <c r="B21" s="4" t="s">
        <v>10</v>
      </c>
      <c r="C21" s="10" t="s">
        <v>84</v>
      </c>
    </row>
    <row r="22" spans="1:3" s="8" customFormat="1">
      <c r="A22" s="7">
        <f t="shared" si="0"/>
        <v>22</v>
      </c>
      <c r="B22" s="4" t="s">
        <v>17</v>
      </c>
      <c r="C22" s="10"/>
    </row>
    <row r="23" spans="1:3" s="8" customFormat="1">
      <c r="A23" s="7">
        <f t="shared" si="0"/>
        <v>23</v>
      </c>
      <c r="B23" s="4" t="s">
        <v>18</v>
      </c>
      <c r="C23" s="10"/>
    </row>
    <row r="24" spans="1:3" s="8" customFormat="1">
      <c r="A24" s="7">
        <f t="shared" si="0"/>
        <v>24</v>
      </c>
      <c r="B24" s="4" t="s">
        <v>19</v>
      </c>
      <c r="C24" s="4" t="s">
        <v>80</v>
      </c>
    </row>
    <row r="25" spans="1:3" s="8" customFormat="1">
      <c r="A25" s="7">
        <f t="shared" si="0"/>
        <v>25</v>
      </c>
      <c r="B25" s="9" t="s">
        <v>20</v>
      </c>
      <c r="C25" s="25" t="s">
        <v>241</v>
      </c>
    </row>
    <row r="26" spans="1:3">
      <c r="A26" s="7">
        <f t="shared" si="0"/>
        <v>26</v>
      </c>
      <c r="B26" s="9" t="s">
        <v>21</v>
      </c>
      <c r="C26" s="26" t="s">
        <v>238</v>
      </c>
    </row>
    <row r="27" spans="1:3">
      <c r="A27" s="7">
        <f t="shared" si="0"/>
        <v>27</v>
      </c>
      <c r="B27" s="9" t="s">
        <v>22</v>
      </c>
      <c r="C27" s="26" t="str">
        <f>C26</f>
        <v xml:space="preserve"> SY-6700722-VT-DD-01</v>
      </c>
    </row>
    <row r="28" spans="1:3">
      <c r="A28" s="7">
        <f t="shared" si="0"/>
        <v>28</v>
      </c>
      <c r="B28" s="9" t="s">
        <v>23</v>
      </c>
      <c r="C28" s="11"/>
    </row>
    <row r="29" spans="1:3">
      <c r="A29" s="7">
        <f t="shared" si="0"/>
        <v>29</v>
      </c>
      <c r="B29" s="9" t="s">
        <v>24</v>
      </c>
      <c r="C29" s="11"/>
    </row>
    <row r="30" spans="1:3">
      <c r="A30" s="7">
        <f t="shared" si="0"/>
        <v>30</v>
      </c>
      <c r="B30" s="9" t="s">
        <v>25</v>
      </c>
    </row>
    <row r="31" spans="1:3">
      <c r="A31" s="7">
        <f t="shared" si="0"/>
        <v>31</v>
      </c>
      <c r="B31" s="4" t="s">
        <v>26</v>
      </c>
    </row>
    <row r="32" spans="1:3">
      <c r="A32" s="7">
        <f t="shared" si="0"/>
        <v>32</v>
      </c>
      <c r="B32" s="4" t="s">
        <v>27</v>
      </c>
      <c r="C32" s="2" t="s">
        <v>28</v>
      </c>
    </row>
    <row r="33" spans="1:3">
      <c r="A33" s="7">
        <f t="shared" si="0"/>
        <v>33</v>
      </c>
      <c r="B33" s="9" t="s">
        <v>29</v>
      </c>
      <c r="C33" s="2" t="s">
        <v>70</v>
      </c>
    </row>
    <row r="34" spans="1:3">
      <c r="A34" s="7">
        <f t="shared" si="0"/>
        <v>34</v>
      </c>
      <c r="B34" s="4" t="s">
        <v>30</v>
      </c>
    </row>
    <row r="35" spans="1:3">
      <c r="A35" s="7">
        <f t="shared" si="0"/>
        <v>35</v>
      </c>
      <c r="B35" s="4" t="s">
        <v>31</v>
      </c>
      <c r="C35" s="2" t="s">
        <v>64</v>
      </c>
    </row>
    <row r="36" spans="1:3">
      <c r="A36" s="7">
        <f t="shared" si="0"/>
        <v>36</v>
      </c>
      <c r="B36" s="9" t="s">
        <v>32</v>
      </c>
      <c r="C36" s="15" t="s">
        <v>105</v>
      </c>
    </row>
    <row r="37" spans="1:3">
      <c r="A37" s="7">
        <f t="shared" si="0"/>
        <v>37</v>
      </c>
      <c r="B37" s="9" t="s">
        <v>33</v>
      </c>
    </row>
    <row r="38" spans="1:3">
      <c r="A38" s="7">
        <f t="shared" si="0"/>
        <v>38</v>
      </c>
      <c r="B38" s="4" t="s">
        <v>34</v>
      </c>
      <c r="C38" s="11" t="s">
        <v>35</v>
      </c>
    </row>
    <row r="39" spans="1:3">
      <c r="A39" s="7">
        <f t="shared" si="0"/>
        <v>39</v>
      </c>
      <c r="B39" s="4" t="s">
        <v>36</v>
      </c>
      <c r="C39" s="11"/>
    </row>
    <row r="40" spans="1:3">
      <c r="A40" s="7">
        <f t="shared" si="0"/>
        <v>40</v>
      </c>
      <c r="B40" s="4" t="s">
        <v>37</v>
      </c>
    </row>
    <row r="41" spans="1:3">
      <c r="A41" s="7">
        <f t="shared" si="0"/>
        <v>41</v>
      </c>
      <c r="B41" s="4" t="s">
        <v>38</v>
      </c>
    </row>
    <row r="42" spans="1:3">
      <c r="A42" s="7">
        <f t="shared" si="0"/>
        <v>42</v>
      </c>
      <c r="B42" s="4" t="s">
        <v>39</v>
      </c>
    </row>
    <row r="43" spans="1:3">
      <c r="A43" s="7">
        <f t="shared" si="0"/>
        <v>43</v>
      </c>
      <c r="B43" s="9" t="s">
        <v>40</v>
      </c>
      <c r="C43" s="2" t="s">
        <v>239</v>
      </c>
    </row>
    <row r="44" spans="1:3">
      <c r="A44" s="7">
        <f t="shared" si="0"/>
        <v>44</v>
      </c>
      <c r="B44" s="4" t="s">
        <v>41</v>
      </c>
      <c r="C44" s="13"/>
    </row>
    <row r="45" spans="1:3">
      <c r="A45" s="7">
        <f t="shared" si="0"/>
        <v>45</v>
      </c>
      <c r="B45" s="9" t="s">
        <v>42</v>
      </c>
      <c r="C45" s="27">
        <f>invoice!M30</f>
        <v>889650</v>
      </c>
    </row>
    <row r="46" spans="1:3">
      <c r="A46" s="7">
        <f t="shared" si="0"/>
        <v>46</v>
      </c>
      <c r="B46" s="4" t="s">
        <v>43</v>
      </c>
      <c r="C46" s="14"/>
    </row>
    <row r="47" spans="1:3">
      <c r="A47" s="7">
        <f t="shared" si="0"/>
        <v>47</v>
      </c>
      <c r="B47" s="4" t="s">
        <v>43</v>
      </c>
      <c r="C47" s="13"/>
    </row>
    <row r="48" spans="1:3">
      <c r="A48" s="7">
        <f t="shared" si="0"/>
        <v>48</v>
      </c>
      <c r="B48" s="4" t="s">
        <v>31</v>
      </c>
      <c r="C48" s="15" t="s">
        <v>64</v>
      </c>
    </row>
    <row r="49" spans="1:3">
      <c r="A49" s="7">
        <f t="shared" si="0"/>
        <v>49</v>
      </c>
      <c r="B49" s="9" t="s">
        <v>44</v>
      </c>
      <c r="C49" s="2" t="str">
        <f>C27</f>
        <v xml:space="preserve"> SY-6700722-VT-DD-01</v>
      </c>
    </row>
    <row r="50" spans="1:3">
      <c r="A50" s="7">
        <f t="shared" si="0"/>
        <v>50</v>
      </c>
      <c r="B50" s="9" t="s">
        <v>45</v>
      </c>
      <c r="C50" s="4" t="s">
        <v>101</v>
      </c>
    </row>
    <row r="51" spans="1:3">
      <c r="A51" s="7">
        <f t="shared" si="0"/>
        <v>51</v>
      </c>
      <c r="B51" s="9" t="s">
        <v>46</v>
      </c>
      <c r="C51" s="4" t="s">
        <v>143</v>
      </c>
    </row>
    <row r="52" spans="1:3">
      <c r="A52" s="7">
        <f t="shared" si="0"/>
        <v>52</v>
      </c>
      <c r="B52" s="9" t="s">
        <v>47</v>
      </c>
      <c r="C52" s="2" t="s">
        <v>102</v>
      </c>
    </row>
    <row r="53" spans="1:3">
      <c r="A53" s="7">
        <f t="shared" si="0"/>
        <v>53</v>
      </c>
      <c r="B53" s="9" t="s">
        <v>48</v>
      </c>
      <c r="C53" s="2" t="s">
        <v>103</v>
      </c>
    </row>
    <row r="54" spans="1:3">
      <c r="A54" s="7">
        <f t="shared" si="0"/>
        <v>54</v>
      </c>
      <c r="B54" s="9" t="s">
        <v>49</v>
      </c>
      <c r="C54" s="3" t="s">
        <v>104</v>
      </c>
    </row>
    <row r="55" spans="1:3">
      <c r="A55" s="7">
        <f t="shared" si="0"/>
        <v>55</v>
      </c>
      <c r="B55" s="28" t="s">
        <v>50</v>
      </c>
      <c r="C55" s="26" t="s">
        <v>240</v>
      </c>
    </row>
    <row r="56" spans="1:3">
      <c r="A56" s="7">
        <f t="shared" si="0"/>
        <v>56</v>
      </c>
      <c r="B56" s="4" t="s">
        <v>51</v>
      </c>
      <c r="C56" s="4"/>
    </row>
    <row r="57" spans="1:3">
      <c r="A57" s="7">
        <f t="shared" si="0"/>
        <v>57</v>
      </c>
      <c r="B57" s="4"/>
    </row>
    <row r="58" spans="1:3">
      <c r="A58" s="7">
        <f t="shared" si="0"/>
        <v>58</v>
      </c>
      <c r="B58" s="4"/>
    </row>
    <row r="59" spans="1:3">
      <c r="A59" s="7">
        <f t="shared" si="0"/>
        <v>59</v>
      </c>
      <c r="B59" s="4"/>
    </row>
    <row r="60" spans="1:3">
      <c r="A60" s="7">
        <f t="shared" si="0"/>
        <v>60</v>
      </c>
      <c r="B60" s="4" t="s">
        <v>52</v>
      </c>
      <c r="C60" s="2" t="s">
        <v>164</v>
      </c>
    </row>
    <row r="61" spans="1:3">
      <c r="A61" s="7">
        <f t="shared" si="0"/>
        <v>61</v>
      </c>
      <c r="B61" s="4" t="s">
        <v>53</v>
      </c>
    </row>
    <row r="62" spans="1:3">
      <c r="A62" s="7">
        <f t="shared" si="0"/>
        <v>62</v>
      </c>
      <c r="B62" s="4"/>
    </row>
    <row r="63" spans="1:3">
      <c r="A63" s="7">
        <f t="shared" si="0"/>
        <v>63</v>
      </c>
      <c r="B63" s="18" t="s">
        <v>81</v>
      </c>
      <c r="C63" s="17" t="s">
        <v>82</v>
      </c>
    </row>
    <row r="64" spans="1:3">
      <c r="A64" s="7">
        <f t="shared" si="0"/>
        <v>64</v>
      </c>
      <c r="B64" s="4"/>
      <c r="C64" s="17" t="s">
        <v>83</v>
      </c>
    </row>
    <row r="65" spans="1:3">
      <c r="A65" s="7">
        <f t="shared" si="0"/>
        <v>65</v>
      </c>
      <c r="B65" s="4"/>
    </row>
    <row r="66" spans="1:3">
      <c r="A66" s="7">
        <f t="shared" si="0"/>
        <v>66</v>
      </c>
      <c r="B66" s="4"/>
    </row>
    <row r="67" spans="1:3">
      <c r="A67" s="7">
        <f t="shared" si="0"/>
        <v>67</v>
      </c>
      <c r="B67" s="4" t="s">
        <v>54</v>
      </c>
      <c r="C67" s="6"/>
    </row>
    <row r="68" spans="1:3">
      <c r="A68" s="7">
        <f t="shared" si="0"/>
        <v>68</v>
      </c>
      <c r="B68" s="9" t="s">
        <v>55</v>
      </c>
      <c r="C68" s="2" t="s">
        <v>75</v>
      </c>
    </row>
    <row r="69" spans="1:3">
      <c r="A69" s="7">
        <f t="shared" ref="A69:A86" si="1">A68+1</f>
        <v>69</v>
      </c>
      <c r="B69" s="4" t="s">
        <v>56</v>
      </c>
      <c r="C69" s="2" t="s">
        <v>73</v>
      </c>
    </row>
    <row r="70" spans="1:3">
      <c r="A70" s="7">
        <f t="shared" si="1"/>
        <v>70</v>
      </c>
      <c r="B70" s="4" t="s">
        <v>57</v>
      </c>
    </row>
    <row r="71" spans="1:3">
      <c r="A71" s="7">
        <f t="shared" si="1"/>
        <v>71</v>
      </c>
      <c r="B71" s="4"/>
    </row>
    <row r="72" spans="1:3">
      <c r="A72" s="7">
        <f t="shared" si="1"/>
        <v>72</v>
      </c>
      <c r="B72" s="4"/>
    </row>
    <row r="73" spans="1:3">
      <c r="A73" s="7">
        <f t="shared" si="1"/>
        <v>73</v>
      </c>
      <c r="B73" s="4"/>
    </row>
    <row r="74" spans="1:3">
      <c r="A74" s="7">
        <f t="shared" si="1"/>
        <v>74</v>
      </c>
      <c r="B74" s="4"/>
    </row>
    <row r="75" spans="1:3">
      <c r="A75" s="7">
        <f t="shared" si="1"/>
        <v>75</v>
      </c>
      <c r="B75" s="4" t="s">
        <v>58</v>
      </c>
      <c r="C75" s="2" t="s">
        <v>72</v>
      </c>
    </row>
    <row r="76" spans="1:3">
      <c r="A76" s="7">
        <f t="shared" si="1"/>
        <v>76</v>
      </c>
      <c r="B76" s="4" t="s">
        <v>59</v>
      </c>
      <c r="C76" s="4"/>
    </row>
    <row r="77" spans="1:3">
      <c r="A77" s="7">
        <f t="shared" si="1"/>
        <v>77</v>
      </c>
      <c r="B77" s="4"/>
    </row>
    <row r="78" spans="1:3">
      <c r="A78" s="7">
        <f t="shared" si="1"/>
        <v>78</v>
      </c>
      <c r="B78" s="4" t="s">
        <v>60</v>
      </c>
      <c r="C78" s="2" t="s">
        <v>74</v>
      </c>
    </row>
    <row r="79" spans="1:3">
      <c r="A79" s="7">
        <f t="shared" si="1"/>
        <v>79</v>
      </c>
      <c r="B79" s="4" t="s">
        <v>61</v>
      </c>
      <c r="C79" s="2" t="s">
        <v>74</v>
      </c>
    </row>
    <row r="80" spans="1:3">
      <c r="A80" s="7">
        <f t="shared" si="1"/>
        <v>80</v>
      </c>
      <c r="B80" s="4"/>
    </row>
    <row r="81" spans="1:3">
      <c r="A81" s="7">
        <f t="shared" si="1"/>
        <v>81</v>
      </c>
      <c r="B81" s="4" t="s">
        <v>62</v>
      </c>
      <c r="C81" s="25" t="s">
        <v>241</v>
      </c>
    </row>
    <row r="82" spans="1:3">
      <c r="A82" s="7">
        <f t="shared" si="1"/>
        <v>82</v>
      </c>
      <c r="B82" s="4"/>
    </row>
    <row r="83" spans="1:3">
      <c r="A83" s="7">
        <f t="shared" si="1"/>
        <v>83</v>
      </c>
      <c r="B83" s="4" t="s">
        <v>63</v>
      </c>
      <c r="C83" s="2" t="s">
        <v>71</v>
      </c>
    </row>
    <row r="84" spans="1:3">
      <c r="A84" s="7">
        <f t="shared" si="1"/>
        <v>84</v>
      </c>
      <c r="B84" s="4"/>
    </row>
    <row r="85" spans="1:3">
      <c r="A85" s="7">
        <f t="shared" si="1"/>
        <v>85</v>
      </c>
      <c r="B85" s="4"/>
    </row>
    <row r="86" spans="1:3">
      <c r="A86" s="7">
        <f t="shared" si="1"/>
        <v>86</v>
      </c>
      <c r="B86" s="4"/>
    </row>
    <row r="87" spans="1:3">
      <c r="B87" s="4"/>
    </row>
    <row r="88" spans="1:3">
      <c r="B88" s="4"/>
    </row>
    <row r="89" spans="1:3">
      <c r="B89" s="4"/>
    </row>
    <row r="90" spans="1:3">
      <c r="B90" s="4"/>
    </row>
    <row r="91" spans="1:3">
      <c r="B91" s="4"/>
    </row>
    <row r="92" spans="1:3">
      <c r="B92" s="4"/>
    </row>
    <row r="93" spans="1:3">
      <c r="B93" s="4"/>
    </row>
    <row r="95" spans="1:3">
      <c r="B95" s="4"/>
    </row>
    <row r="96" spans="1:3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</sheetData>
  <phoneticPr fontId="13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585B-2836-4BDA-9250-F13773F4C007}">
  <dimension ref="A1:O34"/>
  <sheetViews>
    <sheetView zoomScale="50" zoomScaleNormal="50" workbookViewId="0">
      <selection activeCell="A18" sqref="A18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96" customFormat="1" ht="32.25" customHeight="1">
      <c r="H1" s="97"/>
    </row>
    <row r="2" spans="1:15" s="96" customFormat="1" ht="32.5">
      <c r="A2" s="96" t="str">
        <f>'shipper master'!C26</f>
        <v xml:space="preserve"> SY-6700722-VT-DD-01</v>
      </c>
      <c r="H2" s="97"/>
      <c r="I2" s="96" t="str">
        <f>'shipper master'!C26</f>
        <v xml:space="preserve"> SY-6700722-VT-DD-01</v>
      </c>
    </row>
    <row r="3" spans="1:15" s="96" customFormat="1" ht="32.5">
      <c r="A3" s="96" t="str">
        <f>'[1]shipper master'!C50</f>
        <v xml:space="preserve">VIVAN GARMENTS VIET NAM </v>
      </c>
      <c r="H3" s="97"/>
      <c r="I3" s="96" t="str">
        <f>'[1]shipper master'!C50</f>
        <v xml:space="preserve">VIVAN GARMENTS VIET NAM </v>
      </c>
    </row>
    <row r="4" spans="1:15" s="96" customFormat="1" ht="32.5">
      <c r="A4" s="96" t="str">
        <f>'[1]shipper master'!C51</f>
        <v xml:space="preserve"> COMPANY LIMITED</v>
      </c>
      <c r="H4" s="97"/>
      <c r="I4" s="96" t="str">
        <f>'[1]shipper master'!C51</f>
        <v xml:space="preserve"> COMPANY LIMITED</v>
      </c>
    </row>
    <row r="5" spans="1:15" s="96" customFormat="1" ht="32.5">
      <c r="A5" s="96" t="str">
        <f>'[1]shipper master'!C52</f>
        <v xml:space="preserve"> HOCHIMINH-CITY, VIETNAM</v>
      </c>
      <c r="H5" s="97"/>
      <c r="I5" s="96" t="str">
        <f>'[1]shipper master'!C52</f>
        <v xml:space="preserve"> HOCHIMINH-CITY, VIETNAM</v>
      </c>
    </row>
    <row r="6" spans="1:15" s="96" customFormat="1" ht="32.5">
      <c r="A6" s="96" t="s">
        <v>109</v>
      </c>
      <c r="C6" s="96">
        <v>1</v>
      </c>
      <c r="D6" s="98"/>
      <c r="H6" s="97"/>
      <c r="I6" s="96" t="s">
        <v>109</v>
      </c>
      <c r="K6" s="96">
        <v>2</v>
      </c>
    </row>
    <row r="7" spans="1:15" s="96" customFormat="1" ht="32.25" customHeight="1">
      <c r="A7" s="96" t="str">
        <f>'[1]shipper master'!C54</f>
        <v xml:space="preserve"> MADE IN JAPAN</v>
      </c>
      <c r="H7" s="97"/>
      <c r="I7" s="96" t="str">
        <f>'[1]shipper master'!C54</f>
        <v xml:space="preserve"> MADE IN JAPAN</v>
      </c>
    </row>
    <row r="8" spans="1:15" s="96" customFormat="1" ht="19.5" customHeight="1">
      <c r="H8" s="97"/>
    </row>
    <row r="9" spans="1:15" s="96" customFormat="1" ht="19.5" customHeight="1">
      <c r="H9" s="97"/>
    </row>
    <row r="10" spans="1:15" s="96" customFormat="1" ht="19.5" customHeight="1">
      <c r="A10" s="99"/>
      <c r="B10" s="99"/>
      <c r="C10" s="99"/>
      <c r="D10" s="99"/>
      <c r="E10" s="99"/>
      <c r="F10" s="99"/>
      <c r="G10" s="99"/>
      <c r="H10" s="100"/>
      <c r="I10" s="99"/>
      <c r="J10" s="99"/>
      <c r="K10" s="99"/>
      <c r="L10" s="99"/>
      <c r="M10" s="99"/>
      <c r="N10" s="99"/>
      <c r="O10" s="99"/>
    </row>
    <row r="11" spans="1:15" s="96" customFormat="1" ht="19.5" customHeight="1">
      <c r="H11" s="97"/>
    </row>
    <row r="12" spans="1:15" s="96" customFormat="1" ht="19.5" customHeight="1">
      <c r="H12" s="97"/>
    </row>
    <row r="13" spans="1:15" s="96" customFormat="1" ht="32.5">
      <c r="A13" s="96" t="str">
        <f>'shipper master'!C26</f>
        <v xml:space="preserve"> SY-6700722-VT-DD-01</v>
      </c>
      <c r="H13" s="97"/>
      <c r="I13" s="96" t="str">
        <f>'shipper master'!C26</f>
        <v xml:space="preserve"> SY-6700722-VT-DD-01</v>
      </c>
    </row>
    <row r="14" spans="1:15" s="96" customFormat="1" ht="32.5">
      <c r="A14" s="96" t="str">
        <f>'[1]shipper master'!C50</f>
        <v xml:space="preserve">VIVAN GARMENTS VIET NAM </v>
      </c>
      <c r="H14" s="97"/>
      <c r="I14" s="96" t="str">
        <f>'[1]shipper master'!C50</f>
        <v xml:space="preserve">VIVAN GARMENTS VIET NAM </v>
      </c>
    </row>
    <row r="15" spans="1:15" s="96" customFormat="1" ht="32.5">
      <c r="A15" s="96" t="str">
        <f>'[1]shipper master'!C51</f>
        <v xml:space="preserve"> COMPANY LIMITED</v>
      </c>
      <c r="H15" s="97"/>
      <c r="I15" s="96" t="str">
        <f>'[1]shipper master'!C51</f>
        <v xml:space="preserve"> COMPANY LIMITED</v>
      </c>
    </row>
    <row r="16" spans="1:15" s="96" customFormat="1" ht="32.5">
      <c r="A16" s="96" t="str">
        <f>'[1]shipper master'!C52</f>
        <v xml:space="preserve"> HOCHIMINH-CITY, VIETNAM</v>
      </c>
      <c r="H16" s="97"/>
      <c r="I16" s="96" t="str">
        <f>'[1]shipper master'!C52</f>
        <v xml:space="preserve"> HOCHIMINH-CITY, VIETNAM</v>
      </c>
    </row>
    <row r="17" spans="1:11" s="96" customFormat="1" ht="32.5">
      <c r="A17" s="96" t="s">
        <v>109</v>
      </c>
      <c r="C17" s="96">
        <v>3</v>
      </c>
      <c r="H17" s="97"/>
      <c r="I17" s="96" t="s">
        <v>109</v>
      </c>
      <c r="K17" s="96">
        <v>4</v>
      </c>
    </row>
    <row r="18" spans="1:11" s="96" customFormat="1" ht="32.5">
      <c r="A18" s="96" t="str">
        <f>'[1]shipper master'!C54</f>
        <v xml:space="preserve"> MADE IN JAPAN</v>
      </c>
      <c r="H18" s="97"/>
      <c r="I18" s="96" t="str">
        <f>'[1]shipper master'!C54</f>
        <v xml:space="preserve"> MADE IN JAPAN</v>
      </c>
    </row>
    <row r="19" spans="1:11" s="101" customFormat="1" ht="34">
      <c r="A19" s="96"/>
    </row>
    <row r="20" spans="1:11" s="101" customFormat="1" ht="34"/>
    <row r="21" spans="1:11" s="101" customFormat="1" ht="34"/>
    <row r="22" spans="1:11" s="101" customFormat="1" ht="34"/>
    <row r="23" spans="1:11" s="101" customFormat="1" ht="34"/>
    <row r="24" spans="1:11" s="101" customFormat="1" ht="34"/>
    <row r="25" spans="1:11" s="101" customFormat="1" ht="34"/>
    <row r="26" spans="1:11" s="96" customFormat="1" ht="32.5"/>
    <row r="27" spans="1:11" s="96" customFormat="1" ht="32.5"/>
    <row r="28" spans="1:11" s="96" customFormat="1" ht="32.5"/>
    <row r="29" spans="1:11" s="96" customFormat="1" ht="32.5"/>
    <row r="30" spans="1:11" s="96" customFormat="1" ht="32.5"/>
    <row r="31" spans="1:11" s="96" customFormat="1" ht="32.5"/>
    <row r="32" spans="1:11" s="96" customFormat="1" ht="32.5"/>
    <row r="33" s="96" customFormat="1" ht="32.5"/>
    <row r="34" s="96" customFormat="1" ht="32.5"/>
  </sheetData>
  <phoneticPr fontId="13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566B-09EC-4DA3-BA5A-98BCA7A42B85}">
  <sheetPr>
    <tabColor rgb="FFFFFF00"/>
    <pageSetUpPr fitToPage="1"/>
  </sheetPr>
  <dimension ref="A1:M91"/>
  <sheetViews>
    <sheetView showZeros="0" view="pageBreakPreview" topLeftCell="A13" zoomScale="110" zoomScaleNormal="115" zoomScaleSheetLayoutView="110" workbookViewId="0">
      <selection activeCell="O26" sqref="O26"/>
    </sheetView>
  </sheetViews>
  <sheetFormatPr defaultColWidth="9" defaultRowHeight="16"/>
  <cols>
    <col min="1" max="1" width="8.6328125" style="105" customWidth="1"/>
    <col min="2" max="2" width="11.6328125" style="105" customWidth="1"/>
    <col min="3" max="3" width="4.81640625" style="105" customWidth="1"/>
    <col min="4" max="4" width="23.36328125" style="105" customWidth="1"/>
    <col min="5" max="5" width="6.08984375" style="105" customWidth="1"/>
    <col min="6" max="7" width="3.08984375" style="105" customWidth="1"/>
    <col min="8" max="8" width="2.90625" style="105" customWidth="1"/>
    <col min="9" max="9" width="3.08984375" style="105" hidden="1" customWidth="1"/>
    <col min="10" max="10" width="8.453125" style="105" customWidth="1"/>
    <col min="11" max="11" width="9.90625" style="105" customWidth="1"/>
    <col min="12" max="12" width="13" style="105" customWidth="1"/>
    <col min="13" max="13" width="13.90625" style="105" customWidth="1"/>
    <col min="14" max="16384" width="9" style="105"/>
  </cols>
  <sheetData>
    <row r="1" spans="1:13" s="102" customFormat="1" ht="32.25" customHeight="1">
      <c r="A1" s="290" t="s">
        <v>110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</row>
    <row r="2" spans="1:13" ht="23.25" customHeight="1">
      <c r="A2" s="103" t="str">
        <f>'[2]shipper master'!C2</f>
        <v xml:space="preserve"> SHUNYA CO., LTD.</v>
      </c>
      <c r="B2" s="104"/>
      <c r="C2" s="104"/>
      <c r="D2" s="104"/>
      <c r="E2" s="104"/>
      <c r="L2" s="106"/>
    </row>
    <row r="3" spans="1:13" ht="15.75" customHeight="1">
      <c r="A3" s="3" t="str">
        <f>'[2]shipper master'!C3</f>
        <v xml:space="preserve"> KENSHIN BLDG., 1F, 1-22-10 DOUGENZAKA,</v>
      </c>
      <c r="B3" s="104"/>
      <c r="C3" s="104"/>
      <c r="D3" s="104"/>
      <c r="E3" s="104"/>
      <c r="L3" s="106"/>
    </row>
    <row r="4" spans="1:13" ht="18" customHeight="1">
      <c r="A4" s="3" t="str">
        <f>'[2]shipper master'!C4</f>
        <v xml:space="preserve"> SHIBUYA-KU 150-0043</v>
      </c>
      <c r="B4" s="104"/>
      <c r="C4" s="104"/>
      <c r="D4" s="104"/>
      <c r="E4" s="104"/>
      <c r="F4" s="107"/>
      <c r="G4" s="107"/>
      <c r="H4" s="107"/>
      <c r="I4" s="107"/>
      <c r="J4" s="107"/>
      <c r="L4" s="3">
        <f>'[2]shipper master'!C6</f>
        <v>0</v>
      </c>
    </row>
    <row r="5" spans="1:13" ht="16.5" thickBot="1">
      <c r="A5" s="108" t="str">
        <f>'[2]shipper master'!C5</f>
        <v xml:space="preserve"> TEL : +81(0)3-5459-1177</v>
      </c>
      <c r="B5" s="104"/>
      <c r="C5" s="104"/>
      <c r="D5" s="104"/>
      <c r="L5" s="3">
        <f>'[2]shipper master'!C7</f>
        <v>0</v>
      </c>
      <c r="M5" s="109"/>
    </row>
    <row r="6" spans="1:13" ht="13.4" customHeight="1">
      <c r="A6" s="110" t="s">
        <v>111</v>
      </c>
      <c r="B6" s="111"/>
      <c r="C6" s="111"/>
      <c r="D6" s="111"/>
      <c r="E6" s="111"/>
      <c r="F6" s="112" t="s">
        <v>112</v>
      </c>
      <c r="G6" s="113"/>
      <c r="H6" s="113"/>
      <c r="I6" s="113"/>
      <c r="J6" s="111"/>
      <c r="K6" s="207"/>
      <c r="L6" s="112" t="s">
        <v>113</v>
      </c>
      <c r="M6" s="106"/>
    </row>
    <row r="7" spans="1:13" ht="13.4" customHeight="1">
      <c r="A7" s="3" t="str">
        <f>'[2]shipper master'!C9</f>
        <v>VIVAN GARMENTS VIET NAM COMPANY LIMITED</v>
      </c>
      <c r="B7" s="106"/>
      <c r="C7" s="106"/>
      <c r="D7" s="106"/>
      <c r="E7" s="106"/>
      <c r="F7" s="114" t="str">
        <f>'shipper master'!C26</f>
        <v xml:space="preserve"> SY-6700722-VT-DD-01</v>
      </c>
      <c r="G7" s="115"/>
      <c r="H7" s="115"/>
      <c r="I7" s="115"/>
      <c r="J7" s="115"/>
      <c r="K7" s="208"/>
      <c r="L7" s="116"/>
      <c r="M7" s="106"/>
    </row>
    <row r="8" spans="1:13" ht="13.4" customHeight="1">
      <c r="A8" s="3" t="str">
        <f>'[2]shipper master'!C10</f>
        <v>D17 Street , Sai Gon South Residential Area</v>
      </c>
      <c r="B8" s="106"/>
      <c r="C8" s="106"/>
      <c r="D8" s="106"/>
      <c r="E8" s="106"/>
      <c r="F8" s="117" t="s">
        <v>114</v>
      </c>
      <c r="G8" s="110"/>
      <c r="H8" s="110"/>
      <c r="I8" s="110"/>
      <c r="J8" s="106"/>
      <c r="K8" s="209"/>
      <c r="L8" s="118" t="str">
        <f>'shipper master'!C26</f>
        <v xml:space="preserve"> SY-6700722-VT-DD-01</v>
      </c>
      <c r="M8" s="106"/>
    </row>
    <row r="9" spans="1:13" ht="13.4" customHeight="1">
      <c r="A9" s="3" t="str">
        <f>'[2]shipper master'!C11</f>
        <v>Hamlet 3 , Long Hau Commune , Can Giuoc District,</v>
      </c>
      <c r="B9" s="106"/>
      <c r="C9" s="106"/>
      <c r="D9" s="106"/>
      <c r="E9" s="106"/>
      <c r="F9" s="210" t="str">
        <f>'shipper master'!C25</f>
        <v>JULY, 22 2025</v>
      </c>
      <c r="G9" s="119"/>
      <c r="H9" s="119"/>
      <c r="I9" s="119"/>
      <c r="J9" s="119"/>
      <c r="K9" s="120"/>
      <c r="L9" s="118" t="str">
        <f>'[1]shipper master'!C50</f>
        <v xml:space="preserve">VIVAN GARMENTS VIET NAM </v>
      </c>
      <c r="M9" s="106"/>
    </row>
    <row r="10" spans="1:13" ht="13.4" customHeight="1">
      <c r="A10" s="3" t="str">
        <f>'[2]shipper master'!C12</f>
        <v xml:space="preserve"> Long An Province , VietNam</v>
      </c>
      <c r="B10" s="106"/>
      <c r="C10" s="106"/>
      <c r="D10" s="106"/>
      <c r="E10" s="106"/>
      <c r="F10" s="117" t="s">
        <v>115</v>
      </c>
      <c r="G10" s="110"/>
      <c r="H10" s="110"/>
      <c r="I10" s="110"/>
      <c r="J10" s="106"/>
      <c r="K10" s="209"/>
      <c r="L10" s="118" t="str">
        <f>'[1]shipper master'!C51</f>
        <v xml:space="preserve"> COMPANY LIMITED</v>
      </c>
      <c r="M10" s="106"/>
    </row>
    <row r="11" spans="1:13" ht="13.4" customHeight="1">
      <c r="A11" s="115" t="str">
        <f>'[2]shipper master'!C13</f>
        <v xml:space="preserve"> TEL : ( 084 ) 097 22 00 798  ATTN : MR. TUAN</v>
      </c>
      <c r="B11" s="106"/>
      <c r="C11" s="106"/>
      <c r="D11" s="106"/>
      <c r="E11" s="125"/>
      <c r="F11" s="291" t="str">
        <f>'shipper master'!C26</f>
        <v xml:space="preserve"> SY-6700722-VT-DD-01</v>
      </c>
      <c r="G11" s="292"/>
      <c r="H11" s="292"/>
      <c r="I11" s="292"/>
      <c r="J11" s="292"/>
      <c r="K11" s="293"/>
      <c r="L11" s="118" t="str">
        <f>'[1]shipper master'!C52</f>
        <v xml:space="preserve"> HOCHIMINH-CITY, VIETNAM</v>
      </c>
      <c r="M11" s="106"/>
    </row>
    <row r="12" spans="1:13" ht="13.4" customHeight="1">
      <c r="A12" s="110" t="s">
        <v>116</v>
      </c>
      <c r="B12" s="121"/>
      <c r="C12" s="121"/>
      <c r="D12" s="121"/>
      <c r="E12" s="106"/>
      <c r="F12" s="117" t="s">
        <v>117</v>
      </c>
      <c r="G12" s="110"/>
      <c r="H12" s="110"/>
      <c r="I12" s="110"/>
      <c r="J12" s="106"/>
      <c r="K12" s="106"/>
      <c r="L12" s="122" t="s">
        <v>236</v>
      </c>
      <c r="M12" s="106"/>
    </row>
    <row r="13" spans="1:13" ht="13.4" customHeight="1">
      <c r="A13" s="3" t="str">
        <f>'[2]shipper master'!C15</f>
        <v xml:space="preserve"> - SAME AS BUYER -</v>
      </c>
      <c r="B13" s="106"/>
      <c r="C13" s="106"/>
      <c r="D13" s="106"/>
      <c r="E13" s="106"/>
      <c r="F13" s="291">
        <f>'[2]shipper master'!C30</f>
        <v>0</v>
      </c>
      <c r="G13" s="292"/>
      <c r="H13" s="292"/>
      <c r="I13" s="292"/>
      <c r="J13" s="292"/>
      <c r="K13" s="293"/>
      <c r="L13" s="118" t="s">
        <v>118</v>
      </c>
      <c r="M13" s="106"/>
    </row>
    <row r="14" spans="1:13" ht="13.4" customHeight="1">
      <c r="A14" s="3">
        <f>'[2]shipper master'!C16</f>
        <v>0</v>
      </c>
      <c r="B14" s="106"/>
      <c r="C14" s="106"/>
      <c r="D14" s="106"/>
      <c r="E14" s="106"/>
      <c r="F14" s="123" t="s">
        <v>24</v>
      </c>
      <c r="G14" s="3"/>
      <c r="H14" s="3"/>
      <c r="I14" s="3"/>
      <c r="J14" s="3"/>
      <c r="K14" s="124"/>
      <c r="L14" s="118" t="s">
        <v>170</v>
      </c>
      <c r="M14" s="106"/>
    </row>
    <row r="15" spans="1:13" ht="13.4" customHeight="1">
      <c r="A15" s="3">
        <f>'[2]shipper master'!C17</f>
        <v>0</v>
      </c>
      <c r="B15" s="106"/>
      <c r="C15" s="106"/>
      <c r="D15" s="106"/>
      <c r="E15" s="106"/>
      <c r="F15" s="291">
        <f>'[2]shipper master'!C29</f>
        <v>0</v>
      </c>
      <c r="G15" s="292"/>
      <c r="H15" s="292"/>
      <c r="I15" s="292"/>
      <c r="J15" s="292"/>
      <c r="K15" s="293"/>
      <c r="L15" s="144" t="s">
        <v>237</v>
      </c>
      <c r="M15" s="106"/>
    </row>
    <row r="16" spans="1:13" ht="13.4" customHeight="1">
      <c r="A16" s="3">
        <f>'[2]shipper master'!C18</f>
        <v>0</v>
      </c>
      <c r="B16" s="106"/>
      <c r="C16" s="106"/>
      <c r="D16" s="106"/>
      <c r="E16" s="106"/>
      <c r="F16" s="117" t="s">
        <v>119</v>
      </c>
      <c r="G16" s="110"/>
      <c r="H16" s="110"/>
      <c r="I16" s="110"/>
      <c r="J16" s="106"/>
      <c r="K16" s="106"/>
      <c r="L16" s="116"/>
      <c r="M16" s="106"/>
    </row>
    <row r="17" spans="1:13" ht="13.4" customHeight="1">
      <c r="A17" s="115">
        <f>'[2]shipper master'!C19</f>
        <v>0</v>
      </c>
      <c r="B17" s="125"/>
      <c r="C17" s="125"/>
      <c r="D17" s="125"/>
      <c r="E17" s="125"/>
      <c r="F17" s="294"/>
      <c r="G17" s="295"/>
      <c r="H17" s="295"/>
      <c r="I17" s="295"/>
      <c r="J17" s="295"/>
      <c r="K17" s="296"/>
      <c r="L17" s="116"/>
      <c r="M17" s="106"/>
    </row>
    <row r="18" spans="1:13" ht="13.4" customHeight="1">
      <c r="A18" s="110" t="s">
        <v>120</v>
      </c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16"/>
      <c r="M18" s="106"/>
    </row>
    <row r="19" spans="1:13" ht="13.4" customHeight="1">
      <c r="A19" s="115" t="str">
        <f>'[2]shipper master'!C21</f>
        <v xml:space="preserve"> NO COMMERCIAL</v>
      </c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6"/>
      <c r="M19" s="125"/>
    </row>
    <row r="20" spans="1:13" ht="13.4" customHeight="1">
      <c r="A20" s="110" t="s">
        <v>121</v>
      </c>
      <c r="B20" s="106"/>
      <c r="C20" s="106"/>
      <c r="D20" s="127" t="s">
        <v>122</v>
      </c>
      <c r="E20" s="128"/>
      <c r="F20" s="110" t="s">
        <v>123</v>
      </c>
      <c r="G20" s="110"/>
      <c r="H20" s="110"/>
      <c r="I20" s="110"/>
      <c r="J20" s="129" t="s">
        <v>124</v>
      </c>
      <c r="K20" s="130"/>
      <c r="L20" s="110" t="s">
        <v>125</v>
      </c>
      <c r="M20" s="106"/>
    </row>
    <row r="21" spans="1:13" s="1" customFormat="1" ht="13.4" customHeight="1" thickBot="1">
      <c r="A21" s="3" t="str">
        <f>'[2]shipper master'!C24</f>
        <v xml:space="preserve"> AIRCRAFT</v>
      </c>
      <c r="B21" s="108"/>
      <c r="C21" s="3"/>
      <c r="D21" s="131" t="str">
        <f>'[2]shipper master'!C32</f>
        <v xml:space="preserve"> TOKYO, JAPAN</v>
      </c>
      <c r="E21" s="4"/>
      <c r="F21" s="4"/>
      <c r="G21" s="4" t="str">
        <f>'[2]shipper master'!C33</f>
        <v xml:space="preserve"> HOCHIMINH-CITY, VIETNAM</v>
      </c>
      <c r="H21" s="3"/>
      <c r="I21" s="3"/>
      <c r="J21" s="108"/>
      <c r="K21" s="108"/>
      <c r="L21" s="4"/>
      <c r="M21" s="108"/>
    </row>
    <row r="22" spans="1:13" s="136" customFormat="1" ht="16.399999999999999" customHeight="1">
      <c r="A22" s="132" t="s">
        <v>126</v>
      </c>
      <c r="B22" s="132" t="s">
        <v>127</v>
      </c>
      <c r="C22" s="132"/>
      <c r="D22" s="133" t="s">
        <v>128</v>
      </c>
      <c r="E22" s="132" t="s">
        <v>129</v>
      </c>
      <c r="F22" s="133"/>
      <c r="G22" s="133"/>
      <c r="H22" s="133" t="s">
        <v>130</v>
      </c>
      <c r="I22" s="133"/>
      <c r="J22" s="133"/>
      <c r="K22" s="134" t="s">
        <v>131</v>
      </c>
      <c r="L22" s="132" t="s">
        <v>132</v>
      </c>
      <c r="M22" s="135" t="s">
        <v>133</v>
      </c>
    </row>
    <row r="23" spans="1:13" ht="13.4" customHeight="1">
      <c r="A23" s="137"/>
      <c r="B23" s="138"/>
      <c r="C23" s="138"/>
      <c r="D23" s="106"/>
      <c r="E23" s="138"/>
      <c r="F23" s="106"/>
      <c r="G23" s="106"/>
      <c r="H23" s="106"/>
      <c r="I23" s="106"/>
      <c r="J23" s="106"/>
      <c r="K23" s="139"/>
      <c r="L23" s="106"/>
      <c r="M23" s="116"/>
    </row>
    <row r="24" spans="1:13" s="1" customFormat="1" ht="13.4" customHeight="1">
      <c r="A24" s="140"/>
      <c r="B24" s="141" t="str">
        <f>'[2]shipper master'!C36</f>
        <v>FABRIC &amp; PARTS FOR WEAR &amp; SAMPLE CLOTHES</v>
      </c>
      <c r="C24" s="141"/>
      <c r="D24" s="4"/>
      <c r="E24" s="4"/>
      <c r="F24" s="4"/>
      <c r="G24" s="4"/>
      <c r="H24" s="4"/>
      <c r="I24" s="4"/>
      <c r="J24" s="4"/>
      <c r="K24" s="142"/>
      <c r="L24" s="143" t="str">
        <f>'[2]shipper master'!C48</f>
        <v>F.O.B. TOKYO IN YEN</v>
      </c>
      <c r="M24" s="144"/>
    </row>
    <row r="25" spans="1:13" s="1" customFormat="1" ht="13.4" customHeight="1">
      <c r="A25" s="140"/>
      <c r="B25" s="141"/>
      <c r="C25" s="141"/>
      <c r="D25" s="4"/>
      <c r="E25" s="4"/>
      <c r="F25" s="4"/>
      <c r="G25" s="4"/>
      <c r="H25" s="4"/>
      <c r="I25" s="4"/>
      <c r="J25" s="4"/>
      <c r="K25" s="142"/>
      <c r="L25" s="145"/>
      <c r="M25" s="144"/>
    </row>
    <row r="26" spans="1:13" s="1" customFormat="1" ht="13.4" customHeight="1">
      <c r="A26" s="146"/>
      <c r="B26" s="141">
        <f>'[2]shipper master'!C37</f>
        <v>0</v>
      </c>
      <c r="C26" s="141"/>
      <c r="D26" s="4"/>
      <c r="E26" s="4"/>
      <c r="F26" s="3"/>
      <c r="G26" s="3"/>
      <c r="H26" s="3"/>
      <c r="I26" s="3"/>
      <c r="J26" s="3"/>
      <c r="K26" s="148">
        <f>'NARITA '!E47</f>
        <v>79</v>
      </c>
      <c r="L26" s="149" t="s">
        <v>148</v>
      </c>
      <c r="M26" s="150">
        <f>'NARITA '!H47</f>
        <v>64780</v>
      </c>
    </row>
    <row r="27" spans="1:13" s="1" customFormat="1" ht="13.4" customHeight="1">
      <c r="A27" s="5"/>
      <c r="B27" s="4"/>
      <c r="C27" s="4"/>
      <c r="D27" s="3"/>
      <c r="E27" s="4"/>
      <c r="F27" s="4"/>
      <c r="G27" s="4"/>
      <c r="H27" s="4"/>
      <c r="I27" s="4"/>
      <c r="J27" s="4"/>
      <c r="K27" s="148">
        <f>'NARITA '!E48</f>
        <v>1728</v>
      </c>
      <c r="L27" s="149" t="s">
        <v>145</v>
      </c>
      <c r="M27" s="150">
        <f>'NARITA '!H48</f>
        <v>816510</v>
      </c>
    </row>
    <row r="28" spans="1:13" s="1" customFormat="1" ht="13.4" customHeight="1">
      <c r="A28" s="151"/>
      <c r="B28" s="22" t="str">
        <f>'[2]shipper master'!C38</f>
        <v>- DETAILS AS PER ATTACHED SHEET -</v>
      </c>
      <c r="C28" s="22"/>
      <c r="D28" s="3"/>
      <c r="E28" s="4"/>
      <c r="F28" s="3"/>
      <c r="G28" s="3"/>
      <c r="H28" s="3"/>
      <c r="I28" s="3"/>
      <c r="J28" s="3"/>
      <c r="K28" s="148">
        <f>'NARITA '!E49</f>
        <v>380</v>
      </c>
      <c r="L28" s="149" t="s">
        <v>158</v>
      </c>
      <c r="M28" s="150">
        <f>'NARITA '!H49</f>
        <v>8360</v>
      </c>
    </row>
    <row r="29" spans="1:13" s="1" customFormat="1" ht="13.4" customHeight="1">
      <c r="A29" s="151"/>
      <c r="B29" s="22"/>
      <c r="C29" s="22"/>
      <c r="D29" s="3"/>
      <c r="E29" s="4"/>
      <c r="F29" s="3"/>
      <c r="G29" s="3"/>
      <c r="H29" s="3"/>
      <c r="I29" s="3"/>
      <c r="J29" s="3"/>
      <c r="K29" s="152"/>
      <c r="L29" s="149"/>
      <c r="M29" s="153"/>
    </row>
    <row r="30" spans="1:13" s="1" customFormat="1" ht="17.25" customHeight="1" thickBot="1">
      <c r="A30" s="154"/>
      <c r="B30" s="155" t="s">
        <v>144</v>
      </c>
      <c r="C30" s="192"/>
      <c r="D30" s="197">
        <f>K26</f>
        <v>79</v>
      </c>
      <c r="E30" s="192" t="s">
        <v>147</v>
      </c>
      <c r="F30" s="297">
        <f>K27</f>
        <v>1728</v>
      </c>
      <c r="G30" s="297"/>
      <c r="H30" s="297"/>
      <c r="I30" s="156" t="s">
        <v>85</v>
      </c>
      <c r="J30" s="156" t="s">
        <v>85</v>
      </c>
      <c r="K30" s="359">
        <f>K28</f>
        <v>380</v>
      </c>
      <c r="L30" s="193" t="s">
        <v>158</v>
      </c>
      <c r="M30" s="157">
        <f>SUM(M26:M29)</f>
        <v>889650</v>
      </c>
    </row>
    <row r="31" spans="1:13" s="1" customFormat="1" ht="13.4" customHeight="1" thickTop="1">
      <c r="A31" s="158"/>
      <c r="B31" s="159"/>
      <c r="C31" s="159"/>
      <c r="D31" s="3"/>
      <c r="E31" s="160"/>
      <c r="F31" s="3"/>
      <c r="G31" s="160"/>
      <c r="H31" s="3"/>
      <c r="I31" s="3"/>
      <c r="J31" s="3"/>
      <c r="K31" s="151"/>
      <c r="L31" s="161"/>
      <c r="M31" s="158"/>
    </row>
    <row r="32" spans="1:13" s="1" customFormat="1" ht="13.4" customHeight="1">
      <c r="A32" s="3"/>
      <c r="B32" s="4"/>
      <c r="C32" s="4"/>
      <c r="D32" s="3"/>
      <c r="E32" s="3"/>
      <c r="F32" s="3"/>
      <c r="G32" s="3"/>
      <c r="H32" s="3"/>
      <c r="I32" s="3"/>
      <c r="J32" s="3"/>
      <c r="K32" s="162"/>
      <c r="L32" s="161"/>
      <c r="M32" s="163"/>
    </row>
    <row r="33" spans="1:13" s="1" customFormat="1" ht="13.4" customHeight="1">
      <c r="A33" s="3" t="str">
        <f>'[2]shipper master'!C63</f>
        <v>" THESE GOODS WILL BE RETURN TO JAPAN</v>
      </c>
      <c r="B33" s="164"/>
      <c r="C33" s="164"/>
      <c r="D33" s="164"/>
      <c r="E33" s="164"/>
      <c r="F33" s="164"/>
      <c r="G33" s="3"/>
      <c r="H33" s="3"/>
      <c r="I33" s="3" t="s">
        <v>134</v>
      </c>
      <c r="J33" s="3"/>
      <c r="K33" s="162" t="s">
        <v>135</v>
      </c>
      <c r="L33" s="161"/>
      <c r="M33" s="3"/>
    </row>
    <row r="34" spans="1:13" s="1" customFormat="1" ht="13.4" customHeight="1">
      <c r="A34" s="289" t="str">
        <f>'[2]shipper master'!C64</f>
        <v xml:space="preserve">  AFTER MANUFACTURED AT VIET NAM "</v>
      </c>
      <c r="B34" s="289"/>
      <c r="C34" s="289"/>
      <c r="D34" s="289"/>
      <c r="E34" s="4"/>
      <c r="F34" s="3"/>
      <c r="G34" s="3"/>
      <c r="H34" s="3"/>
      <c r="I34" s="3" t="s">
        <v>136</v>
      </c>
      <c r="J34" s="3"/>
      <c r="K34" s="162" t="s">
        <v>137</v>
      </c>
      <c r="L34" s="161"/>
      <c r="M34" s="163"/>
    </row>
    <row r="35" spans="1:13" s="1" customFormat="1" ht="13.4" customHeight="1">
      <c r="A35" s="3"/>
      <c r="B35" s="4"/>
      <c r="C35" s="4"/>
      <c r="D35" s="4">
        <f>'[2]shipper master'!C58</f>
        <v>0</v>
      </c>
      <c r="E35" s="4"/>
      <c r="F35" s="3"/>
      <c r="G35" s="3"/>
      <c r="H35" s="3"/>
      <c r="I35" s="3"/>
      <c r="J35" s="3"/>
      <c r="K35" s="151"/>
      <c r="L35" s="161"/>
      <c r="M35" s="3"/>
    </row>
    <row r="36" spans="1:13" s="1" customFormat="1" ht="13.4" customHeight="1">
      <c r="A36" s="4" t="str">
        <f>'[2]shipper master'!C60</f>
        <v>COUNTRY OF ORIGIN : JAPAN</v>
      </c>
      <c r="B36" s="4"/>
      <c r="C36" s="4"/>
      <c r="D36" s="4"/>
      <c r="E36" s="4"/>
      <c r="F36" s="3"/>
      <c r="G36" s="3"/>
      <c r="H36" s="3"/>
      <c r="I36" s="3"/>
      <c r="J36" s="3"/>
      <c r="K36" s="151"/>
      <c r="L36" s="161"/>
      <c r="M36" s="3"/>
    </row>
    <row r="37" spans="1:13" s="1" customFormat="1" ht="13.4" customHeight="1">
      <c r="A37" s="4"/>
      <c r="B37" s="4"/>
      <c r="C37" s="4"/>
      <c r="D37" s="4"/>
      <c r="E37" s="4"/>
      <c r="F37" s="3"/>
      <c r="G37" s="3"/>
      <c r="H37" s="3"/>
      <c r="I37" s="3"/>
      <c r="J37" s="3"/>
      <c r="K37" s="151"/>
      <c r="L37" s="161"/>
      <c r="M37" s="3"/>
    </row>
    <row r="38" spans="1:13" s="1" customFormat="1" ht="13.4" customHeight="1">
      <c r="A38" s="165" t="s">
        <v>138</v>
      </c>
      <c r="B38" s="166"/>
      <c r="C38" s="166"/>
      <c r="D38" s="167" t="s">
        <v>231</v>
      </c>
      <c r="E38" s="4"/>
      <c r="F38" s="3"/>
      <c r="G38" s="3"/>
      <c r="H38" s="3"/>
      <c r="I38" s="3"/>
      <c r="J38" s="3"/>
      <c r="K38" s="151"/>
      <c r="L38" s="161"/>
      <c r="M38" s="3"/>
    </row>
    <row r="39" spans="1:13" s="1" customFormat="1" ht="13.4" customHeight="1">
      <c r="A39" s="165" t="s">
        <v>139</v>
      </c>
      <c r="B39" s="166"/>
      <c r="C39" s="166"/>
      <c r="D39" s="168" t="s">
        <v>140</v>
      </c>
      <c r="E39" s="4"/>
      <c r="F39" s="3"/>
      <c r="G39" s="3"/>
      <c r="H39" s="3"/>
      <c r="I39" s="3"/>
      <c r="J39" s="3"/>
      <c r="K39" s="151"/>
      <c r="L39" s="161"/>
      <c r="M39" s="3"/>
    </row>
    <row r="40" spans="1:13" s="1" customFormat="1" ht="13.4" customHeight="1">
      <c r="A40" s="147"/>
      <c r="B40" s="141"/>
      <c r="C40" s="141"/>
      <c r="D40" s="169"/>
      <c r="E40" s="141"/>
      <c r="F40" s="170"/>
      <c r="G40" s="170"/>
      <c r="H40" s="170"/>
      <c r="I40" s="3"/>
      <c r="J40" s="3"/>
      <c r="K40" s="151"/>
      <c r="L40" s="161"/>
      <c r="M40" s="3"/>
    </row>
    <row r="41" spans="1:13" ht="18" customHeight="1">
      <c r="A41" s="147"/>
      <c r="B41" s="106"/>
      <c r="C41" s="106"/>
      <c r="D41" s="106"/>
      <c r="E41" s="106"/>
      <c r="F41" s="106"/>
      <c r="G41" s="106"/>
      <c r="H41" s="138"/>
      <c r="I41" s="106"/>
      <c r="J41" s="106"/>
      <c r="K41" s="138"/>
      <c r="L41" s="171"/>
      <c r="M41" s="106"/>
    </row>
    <row r="42" spans="1:13" ht="13.4" customHeight="1">
      <c r="A42" s="106"/>
      <c r="B42" s="172"/>
      <c r="C42" s="172"/>
      <c r="D42" s="106"/>
      <c r="E42" s="106"/>
      <c r="F42" s="106"/>
      <c r="G42" s="106"/>
      <c r="H42" s="106"/>
      <c r="I42" s="106"/>
      <c r="J42" s="106"/>
      <c r="K42" s="173"/>
      <c r="L42" s="171"/>
      <c r="M42" s="106"/>
    </row>
    <row r="43" spans="1:13" ht="13.4" customHeight="1">
      <c r="A43" s="106"/>
      <c r="B43" s="172"/>
      <c r="C43" s="172"/>
      <c r="D43" s="106"/>
      <c r="E43" s="106"/>
      <c r="F43" s="106"/>
      <c r="G43" s="106"/>
      <c r="H43" s="106"/>
      <c r="I43" s="106"/>
      <c r="J43" s="106"/>
      <c r="K43" s="173"/>
      <c r="L43" s="171"/>
      <c r="M43" s="106"/>
    </row>
    <row r="44" spans="1:13" ht="13.4" customHeight="1">
      <c r="A44" s="106"/>
      <c r="B44" s="106"/>
      <c r="C44" s="106"/>
      <c r="D44" s="106"/>
      <c r="E44" s="106"/>
      <c r="F44" s="106"/>
      <c r="G44" s="106"/>
      <c r="H44" s="125"/>
      <c r="I44" s="125"/>
      <c r="J44" s="125"/>
      <c r="K44" s="174"/>
      <c r="L44" s="175"/>
      <c r="M44" s="125"/>
    </row>
    <row r="45" spans="1:13" ht="13.4" customHeight="1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73"/>
      <c r="L45" s="171"/>
      <c r="M45" s="106"/>
    </row>
    <row r="46" spans="1:13" ht="13.4" customHeight="1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73"/>
      <c r="L46" s="171"/>
      <c r="M46" s="106"/>
    </row>
    <row r="47" spans="1:13" ht="13.4" customHeight="1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73"/>
      <c r="L47" s="171"/>
      <c r="M47" s="106"/>
    </row>
    <row r="48" spans="1:13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73"/>
      <c r="L48" s="171"/>
      <c r="M48" s="106"/>
    </row>
    <row r="49" spans="1:13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73"/>
      <c r="L49" s="176"/>
      <c r="M49" s="106"/>
    </row>
    <row r="50" spans="1:13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73"/>
      <c r="L50" s="176"/>
      <c r="M50" s="106"/>
    </row>
    <row r="51" spans="1:13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73"/>
      <c r="L51" s="176"/>
      <c r="M51" s="106"/>
    </row>
    <row r="52" spans="1:13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73"/>
      <c r="L52" s="176"/>
      <c r="M52" s="106"/>
    </row>
    <row r="53" spans="1:13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73"/>
      <c r="L53" s="176"/>
      <c r="M53" s="106"/>
    </row>
    <row r="54" spans="1:13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73"/>
      <c r="L54" s="176"/>
      <c r="M54" s="106"/>
    </row>
    <row r="55" spans="1:13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73"/>
      <c r="L55" s="176"/>
      <c r="M55" s="106"/>
    </row>
    <row r="56" spans="1:13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73"/>
      <c r="L56" s="176"/>
      <c r="M56" s="106"/>
    </row>
    <row r="57" spans="1:13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73"/>
      <c r="L57" s="176"/>
      <c r="M57" s="106"/>
    </row>
    <row r="58" spans="1:13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73"/>
      <c r="L58" s="176"/>
      <c r="M58" s="106"/>
    </row>
    <row r="59" spans="1:13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73"/>
      <c r="L59" s="176"/>
      <c r="M59" s="106"/>
    </row>
    <row r="60" spans="1:13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73"/>
      <c r="L60" s="176"/>
      <c r="M60" s="106"/>
    </row>
    <row r="61" spans="1:13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73"/>
      <c r="L61" s="176"/>
      <c r="M61" s="106"/>
    </row>
    <row r="62" spans="1:13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73"/>
      <c r="L62" s="176"/>
      <c r="M62" s="106"/>
    </row>
    <row r="63" spans="1:13">
      <c r="A63" s="106"/>
      <c r="B63" s="106"/>
      <c r="C63" s="106"/>
      <c r="D63" s="106"/>
      <c r="E63" s="106"/>
      <c r="F63" s="106"/>
      <c r="G63" s="106"/>
      <c r="H63" s="106"/>
      <c r="I63" s="106"/>
      <c r="J63" s="106"/>
      <c r="K63" s="173"/>
      <c r="L63" s="176"/>
      <c r="M63" s="106"/>
    </row>
    <row r="64" spans="1:13">
      <c r="A64" s="106"/>
      <c r="B64" s="106"/>
      <c r="C64" s="106"/>
      <c r="D64" s="106"/>
      <c r="E64" s="106"/>
      <c r="F64" s="106"/>
      <c r="G64" s="106"/>
      <c r="H64" s="106"/>
      <c r="I64" s="106"/>
      <c r="J64" s="106"/>
      <c r="K64" s="173"/>
      <c r="L64" s="176"/>
      <c r="M64" s="106"/>
    </row>
    <row r="65" spans="1:13">
      <c r="A65" s="106"/>
      <c r="B65" s="106"/>
      <c r="C65" s="106"/>
      <c r="D65" s="106"/>
      <c r="E65" s="106"/>
      <c r="F65" s="106"/>
      <c r="G65" s="106"/>
      <c r="H65" s="106"/>
      <c r="I65" s="106"/>
      <c r="J65" s="106"/>
      <c r="K65" s="173"/>
      <c r="L65" s="176"/>
      <c r="M65" s="106"/>
    </row>
    <row r="66" spans="1:13">
      <c r="A66" s="106"/>
      <c r="B66" s="106"/>
      <c r="C66" s="106"/>
      <c r="D66" s="106"/>
      <c r="E66" s="106"/>
      <c r="F66" s="106"/>
      <c r="G66" s="106"/>
      <c r="H66" s="106"/>
      <c r="I66" s="106"/>
      <c r="J66" s="106"/>
      <c r="K66" s="173"/>
      <c r="L66" s="176"/>
      <c r="M66" s="106"/>
    </row>
    <row r="67" spans="1:13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73"/>
      <c r="L67" s="176"/>
      <c r="M67" s="106"/>
    </row>
    <row r="68" spans="1:13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73"/>
      <c r="L68" s="176"/>
      <c r="M68" s="106"/>
    </row>
    <row r="69" spans="1:13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73"/>
      <c r="L69" s="176"/>
      <c r="M69" s="106"/>
    </row>
    <row r="70" spans="1:13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73"/>
      <c r="L70" s="176"/>
      <c r="M70" s="106"/>
    </row>
    <row r="71" spans="1:13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73"/>
      <c r="L71" s="176"/>
      <c r="M71" s="106"/>
    </row>
    <row r="72" spans="1:13">
      <c r="K72" s="177"/>
      <c r="L72" s="178"/>
    </row>
    <row r="73" spans="1:13">
      <c r="K73" s="177"/>
      <c r="L73" s="178"/>
    </row>
    <row r="74" spans="1:13">
      <c r="L74" s="178"/>
    </row>
    <row r="75" spans="1:13">
      <c r="L75" s="178"/>
    </row>
    <row r="76" spans="1:13">
      <c r="L76" s="178"/>
    </row>
    <row r="77" spans="1:13">
      <c r="L77" s="178"/>
    </row>
    <row r="78" spans="1:13">
      <c r="L78" s="178"/>
    </row>
    <row r="79" spans="1:13">
      <c r="L79" s="178"/>
    </row>
    <row r="80" spans="1:13">
      <c r="L80" s="178"/>
    </row>
    <row r="81" spans="12:12">
      <c r="L81" s="178"/>
    </row>
    <row r="82" spans="12:12">
      <c r="L82" s="178"/>
    </row>
    <row r="83" spans="12:12">
      <c r="L83" s="178"/>
    </row>
    <row r="84" spans="12:12">
      <c r="L84" s="178"/>
    </row>
    <row r="85" spans="12:12">
      <c r="L85" s="178"/>
    </row>
    <row r="86" spans="12:12">
      <c r="L86" s="178"/>
    </row>
    <row r="87" spans="12:12">
      <c r="L87" s="178"/>
    </row>
    <row r="88" spans="12:12">
      <c r="L88" s="178"/>
    </row>
    <row r="89" spans="12:12">
      <c r="L89" s="178"/>
    </row>
    <row r="90" spans="12:12">
      <c r="L90" s="178"/>
    </row>
    <row r="91" spans="12:12">
      <c r="L91" s="178"/>
    </row>
  </sheetData>
  <mergeCells count="7">
    <mergeCell ref="A34:D34"/>
    <mergeCell ref="A1:M1"/>
    <mergeCell ref="F11:K11"/>
    <mergeCell ref="F13:K13"/>
    <mergeCell ref="F15:K15"/>
    <mergeCell ref="F17:K17"/>
    <mergeCell ref="F30:H30"/>
  </mergeCells>
  <phoneticPr fontId="13"/>
  <pageMargins left="0.39370078740157483" right="0.19685039370078741" top="0.59055118110236227" bottom="0.39370078740157483" header="0.51181102362204722" footer="0.51181102362204722"/>
  <pageSetup paperSize="9" scale="8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dimension ref="A1:N102"/>
  <sheetViews>
    <sheetView view="pageBreakPreview" topLeftCell="A16" zoomScale="70" zoomScaleNormal="90" zoomScaleSheetLayoutView="70" workbookViewId="0">
      <selection activeCell="H50" sqref="H50"/>
    </sheetView>
  </sheetViews>
  <sheetFormatPr defaultRowHeight="15"/>
  <cols>
    <col min="1" max="1" width="7.90625" style="7" customWidth="1"/>
    <col min="2" max="2" width="41.90625" style="22" customWidth="1"/>
    <col min="3" max="3" width="24.08984375" style="7" customWidth="1"/>
    <col min="4" max="4" width="60.36328125" style="3" customWidth="1"/>
    <col min="5" max="5" width="10.08984375" style="7" customWidth="1"/>
    <col min="6" max="6" width="5.6328125" style="7" customWidth="1"/>
    <col min="7" max="7" width="13.453125" style="7" customWidth="1"/>
    <col min="8" max="8" width="13.90625" style="7" customWidth="1"/>
    <col min="9" max="9" width="36" style="7" customWidth="1"/>
    <col min="10" max="10" width="14.453125" style="7" customWidth="1"/>
    <col min="11" max="11" width="11.453125" style="7" customWidth="1"/>
    <col min="12" max="12" width="25.36328125" style="7" customWidth="1"/>
    <col min="13" max="13" width="10.08984375" style="7" customWidth="1"/>
    <col min="14" max="14" width="7" style="7" customWidth="1"/>
  </cols>
  <sheetData>
    <row r="1" spans="1:14">
      <c r="A1" s="5"/>
      <c r="I1" s="5"/>
      <c r="J1" s="5"/>
      <c r="K1" s="5"/>
      <c r="L1" s="5"/>
      <c r="M1" s="5"/>
      <c r="N1" s="5"/>
    </row>
    <row r="2" spans="1:14" ht="15.5" thickBot="1">
      <c r="A2" s="298" t="s">
        <v>98</v>
      </c>
      <c r="B2" s="298"/>
      <c r="C2" s="298"/>
      <c r="D2" s="298"/>
      <c r="E2" s="298"/>
      <c r="F2" s="298"/>
      <c r="G2" s="298"/>
      <c r="H2" s="298"/>
      <c r="I2" s="36"/>
      <c r="L2" s="37"/>
      <c r="M2" s="37"/>
      <c r="N2" s="37"/>
    </row>
    <row r="3" spans="1:14" ht="15.5" thickBot="1">
      <c r="A3" s="38"/>
      <c r="B3" s="39"/>
      <c r="C3" s="38"/>
      <c r="D3" s="38"/>
      <c r="E3" s="38"/>
      <c r="F3" s="38"/>
      <c r="G3" s="38"/>
      <c r="H3" s="38"/>
      <c r="I3" s="36"/>
      <c r="L3" s="37"/>
      <c r="M3" s="37"/>
      <c r="N3" s="37"/>
    </row>
    <row r="4" spans="1:14" ht="21.75" customHeight="1" thickBot="1">
      <c r="A4" s="40" t="s">
        <v>36</v>
      </c>
      <c r="B4" s="24" t="s">
        <v>96</v>
      </c>
      <c r="C4" s="40" t="s">
        <v>86</v>
      </c>
      <c r="D4" s="23" t="s">
        <v>87</v>
      </c>
      <c r="E4" s="40" t="s">
        <v>88</v>
      </c>
      <c r="F4" s="299" t="s">
        <v>89</v>
      </c>
      <c r="G4" s="300"/>
      <c r="H4" s="41" t="s">
        <v>90</v>
      </c>
      <c r="I4" s="42" t="s">
        <v>91</v>
      </c>
      <c r="J4" s="43" t="s">
        <v>92</v>
      </c>
      <c r="K4" s="44" t="s">
        <v>93</v>
      </c>
      <c r="L4" s="45" t="s">
        <v>107</v>
      </c>
      <c r="M4" s="45" t="s">
        <v>94</v>
      </c>
      <c r="N4" s="46" t="s">
        <v>95</v>
      </c>
    </row>
    <row r="5" spans="1:14">
      <c r="A5" s="47"/>
      <c r="B5" s="48"/>
      <c r="C5" s="49"/>
      <c r="D5" s="50"/>
      <c r="E5" s="49"/>
      <c r="F5" s="49"/>
      <c r="G5" s="51"/>
      <c r="H5" s="51"/>
      <c r="I5" s="52"/>
      <c r="J5" s="53"/>
      <c r="K5" s="53"/>
      <c r="L5" s="53"/>
      <c r="M5" s="53"/>
      <c r="N5" s="54"/>
    </row>
    <row r="6" spans="1:14">
      <c r="A6" s="55"/>
      <c r="B6" s="56" t="s">
        <v>97</v>
      </c>
      <c r="C6" s="49"/>
      <c r="D6" s="57" t="str">
        <f>[3]invoice!B24</f>
        <v>FABRIC &amp; PARTS FOR WEAR &amp; SAMPLE CLOTHES</v>
      </c>
      <c r="E6" s="51"/>
      <c r="F6" s="51"/>
      <c r="G6" s="58" t="str">
        <f>'[1]shipper master'!C48</f>
        <v>F.O.B. TOKYO IN YEN</v>
      </c>
      <c r="H6" s="51"/>
      <c r="I6" s="59"/>
      <c r="J6" s="60"/>
      <c r="K6" s="60"/>
      <c r="L6" s="60"/>
      <c r="M6" s="60"/>
      <c r="N6" s="61"/>
    </row>
    <row r="7" spans="1:14" ht="15.5" thickBot="1">
      <c r="A7" s="62"/>
      <c r="B7" s="63"/>
      <c r="C7" s="64"/>
      <c r="D7" s="65" t="s">
        <v>108</v>
      </c>
      <c r="E7" s="64"/>
      <c r="F7" s="64"/>
      <c r="G7" s="66"/>
      <c r="H7" s="20"/>
      <c r="I7" s="67"/>
      <c r="J7" s="68"/>
      <c r="K7" s="68"/>
      <c r="L7" s="68"/>
      <c r="M7" s="69"/>
      <c r="N7" s="70"/>
    </row>
    <row r="8" spans="1:14" ht="15.65" customHeight="1">
      <c r="A8" s="301" t="s">
        <v>177</v>
      </c>
      <c r="B8" s="29"/>
      <c r="C8" s="29"/>
      <c r="D8" s="190" t="s">
        <v>195</v>
      </c>
      <c r="E8" s="71"/>
      <c r="F8" s="71"/>
      <c r="G8" s="72"/>
      <c r="H8" s="73"/>
      <c r="I8" s="230"/>
      <c r="J8" s="236"/>
      <c r="K8" s="73"/>
      <c r="L8" s="73"/>
      <c r="M8" s="73"/>
      <c r="N8" s="304">
        <v>1</v>
      </c>
    </row>
    <row r="9" spans="1:14">
      <c r="A9" s="302"/>
      <c r="B9" s="30" t="s">
        <v>171</v>
      </c>
      <c r="C9" s="198" t="s">
        <v>173</v>
      </c>
      <c r="D9" s="21" t="s">
        <v>146</v>
      </c>
      <c r="E9" s="203">
        <v>30</v>
      </c>
      <c r="F9" s="76" t="s">
        <v>147</v>
      </c>
      <c r="G9" s="199">
        <v>820</v>
      </c>
      <c r="H9" s="200">
        <f>E9*G9</f>
        <v>24600</v>
      </c>
      <c r="I9" s="205"/>
      <c r="J9" s="237"/>
      <c r="K9" s="51"/>
      <c r="L9" s="79"/>
      <c r="M9" s="51"/>
      <c r="N9" s="305"/>
    </row>
    <row r="10" spans="1:14" ht="16.5">
      <c r="A10" s="302"/>
      <c r="B10" s="21" t="s">
        <v>146</v>
      </c>
      <c r="C10" s="74" t="s">
        <v>196</v>
      </c>
      <c r="D10" s="232" t="s">
        <v>174</v>
      </c>
      <c r="E10" s="75">
        <v>49</v>
      </c>
      <c r="F10" s="76" t="s">
        <v>147</v>
      </c>
      <c r="G10" s="199">
        <v>820</v>
      </c>
      <c r="H10" s="200">
        <f>E10*G10</f>
        <v>40180</v>
      </c>
      <c r="I10" s="205" t="s">
        <v>175</v>
      </c>
      <c r="J10" s="237" t="s">
        <v>176</v>
      </c>
      <c r="K10" s="51"/>
      <c r="L10" s="51"/>
      <c r="M10" s="51"/>
      <c r="N10" s="305"/>
    </row>
    <row r="11" spans="1:14" ht="16.5">
      <c r="A11" s="302"/>
      <c r="B11" s="33" t="s">
        <v>172</v>
      </c>
      <c r="C11" s="74"/>
      <c r="D11" s="32" t="s">
        <v>198</v>
      </c>
      <c r="E11" s="75"/>
      <c r="F11" s="76"/>
      <c r="G11" s="77"/>
      <c r="H11" s="78"/>
      <c r="I11" s="205"/>
      <c r="J11" s="237"/>
      <c r="K11" s="51"/>
      <c r="L11" s="51"/>
      <c r="M11" s="51"/>
      <c r="N11" s="305"/>
    </row>
    <row r="12" spans="1:14" ht="15.5" thickBot="1">
      <c r="A12" s="303"/>
      <c r="B12" s="35" t="s">
        <v>165</v>
      </c>
      <c r="C12" s="80"/>
      <c r="D12" s="34"/>
      <c r="E12" s="81"/>
      <c r="F12" s="194"/>
      <c r="G12" s="82"/>
      <c r="H12" s="83"/>
      <c r="I12" s="231"/>
      <c r="J12" s="238"/>
      <c r="K12" s="19"/>
      <c r="L12" s="19"/>
      <c r="M12" s="19"/>
      <c r="N12" s="306"/>
    </row>
    <row r="13" spans="1:14" ht="15.5" thickBot="1">
      <c r="A13" s="235"/>
      <c r="B13" s="201"/>
      <c r="C13" s="198"/>
      <c r="D13" s="202"/>
      <c r="E13" s="252"/>
      <c r="F13" s="233"/>
      <c r="G13" s="84"/>
      <c r="H13" s="85"/>
      <c r="I13" s="205"/>
      <c r="J13" s="237"/>
      <c r="K13" s="16"/>
      <c r="L13" s="16"/>
      <c r="M13" s="16"/>
      <c r="N13" s="206"/>
    </row>
    <row r="14" spans="1:14" ht="15.65" customHeight="1">
      <c r="A14" s="316" t="s">
        <v>192</v>
      </c>
      <c r="B14" s="317"/>
      <c r="C14" s="29"/>
      <c r="D14" s="190" t="s">
        <v>182</v>
      </c>
      <c r="E14" s="71"/>
      <c r="F14" s="71"/>
      <c r="G14" s="72"/>
      <c r="H14" s="73"/>
      <c r="I14" s="318"/>
      <c r="J14" s="330"/>
      <c r="K14" s="73"/>
      <c r="L14" s="73"/>
      <c r="M14" s="73"/>
      <c r="N14" s="304">
        <v>5</v>
      </c>
    </row>
    <row r="15" spans="1:14">
      <c r="A15" s="319"/>
      <c r="B15" s="320" t="s">
        <v>180</v>
      </c>
      <c r="C15" s="74" t="s">
        <v>186</v>
      </c>
      <c r="D15" s="31" t="s">
        <v>157</v>
      </c>
      <c r="E15" s="75">
        <v>34</v>
      </c>
      <c r="F15" s="76" t="s">
        <v>85</v>
      </c>
      <c r="G15" s="77">
        <v>1867</v>
      </c>
      <c r="H15" s="78">
        <f>E15*G15</f>
        <v>63478</v>
      </c>
      <c r="I15" s="328" t="s">
        <v>190</v>
      </c>
      <c r="J15" s="331"/>
      <c r="K15" s="51"/>
      <c r="L15" s="79"/>
      <c r="M15" s="51"/>
      <c r="N15" s="305"/>
    </row>
    <row r="16" spans="1:14">
      <c r="A16" s="319"/>
      <c r="B16" s="320" t="s">
        <v>181</v>
      </c>
      <c r="C16" s="74" t="s">
        <v>179</v>
      </c>
      <c r="D16" s="31" t="s">
        <v>174</v>
      </c>
      <c r="E16" s="75">
        <v>31</v>
      </c>
      <c r="F16" s="76" t="s">
        <v>85</v>
      </c>
      <c r="G16" s="77">
        <v>1867</v>
      </c>
      <c r="H16" s="78">
        <f t="shared" ref="H16:H17" si="0">E16*G16</f>
        <v>57877</v>
      </c>
      <c r="I16" s="328"/>
      <c r="J16" s="332"/>
      <c r="K16" s="51"/>
      <c r="L16" s="51"/>
      <c r="M16" s="51"/>
      <c r="N16" s="305"/>
    </row>
    <row r="17" spans="1:14">
      <c r="A17" s="319"/>
      <c r="B17" s="321" t="s">
        <v>157</v>
      </c>
      <c r="C17" s="74" t="s">
        <v>187</v>
      </c>
      <c r="D17" s="32" t="s">
        <v>194</v>
      </c>
      <c r="E17" s="75">
        <v>15</v>
      </c>
      <c r="F17" s="76" t="s">
        <v>85</v>
      </c>
      <c r="G17" s="77">
        <v>1867</v>
      </c>
      <c r="H17" s="78">
        <f t="shared" si="0"/>
        <v>28005</v>
      </c>
      <c r="I17" s="328"/>
      <c r="J17" s="288" t="s">
        <v>191</v>
      </c>
      <c r="K17" s="51"/>
      <c r="L17" s="51"/>
      <c r="M17" s="51"/>
      <c r="N17" s="305"/>
    </row>
    <row r="18" spans="1:14" ht="17" thickBot="1">
      <c r="A18" s="319"/>
      <c r="B18" s="322" t="s">
        <v>214</v>
      </c>
      <c r="C18" s="272"/>
      <c r="D18" s="273"/>
      <c r="E18" s="81"/>
      <c r="F18" s="81"/>
      <c r="G18" s="82"/>
      <c r="H18" s="83"/>
      <c r="I18" s="328"/>
      <c r="J18" s="86"/>
      <c r="K18" s="51"/>
      <c r="L18" s="51"/>
      <c r="M18" s="51"/>
      <c r="N18" s="305"/>
    </row>
    <row r="19" spans="1:14" ht="15.5" thickBot="1">
      <c r="A19" s="319"/>
      <c r="B19" s="323"/>
      <c r="C19" s="324"/>
      <c r="D19" s="325"/>
      <c r="E19" s="326"/>
      <c r="F19" s="326"/>
      <c r="G19" s="84"/>
      <c r="H19" s="85"/>
      <c r="I19" s="328"/>
      <c r="J19" s="86"/>
      <c r="K19" s="51"/>
      <c r="L19" s="51"/>
      <c r="M19" s="51"/>
      <c r="N19" s="305"/>
    </row>
    <row r="20" spans="1:14" ht="15.65" customHeight="1">
      <c r="A20" s="319"/>
      <c r="B20" s="29"/>
      <c r="C20" s="29"/>
      <c r="D20" s="190" t="s">
        <v>189</v>
      </c>
      <c r="E20" s="71"/>
      <c r="F20" s="71"/>
      <c r="G20" s="72"/>
      <c r="H20" s="73"/>
      <c r="I20" s="328"/>
      <c r="J20" s="332"/>
      <c r="K20" s="51"/>
      <c r="L20" s="51"/>
      <c r="M20" s="51"/>
      <c r="N20" s="305"/>
    </row>
    <row r="21" spans="1:14">
      <c r="A21" s="319"/>
      <c r="B21" s="320" t="s">
        <v>183</v>
      </c>
      <c r="C21" s="74" t="s">
        <v>188</v>
      </c>
      <c r="D21" s="31" t="s">
        <v>157</v>
      </c>
      <c r="E21" s="75">
        <v>65</v>
      </c>
      <c r="F21" s="76" t="s">
        <v>85</v>
      </c>
      <c r="G21" s="77">
        <v>771</v>
      </c>
      <c r="H21" s="78">
        <f>E21*G21</f>
        <v>50115</v>
      </c>
      <c r="I21" s="328"/>
      <c r="J21" s="331"/>
      <c r="K21" s="51"/>
      <c r="L21" s="79"/>
      <c r="M21" s="51"/>
      <c r="N21" s="305"/>
    </row>
    <row r="22" spans="1:14">
      <c r="A22" s="319"/>
      <c r="B22" s="320" t="s">
        <v>184</v>
      </c>
      <c r="C22" s="74" t="s">
        <v>185</v>
      </c>
      <c r="D22" s="31" t="s">
        <v>174</v>
      </c>
      <c r="E22" s="75">
        <v>87</v>
      </c>
      <c r="F22" s="76" t="s">
        <v>85</v>
      </c>
      <c r="G22" s="77">
        <v>771</v>
      </c>
      <c r="H22" s="78">
        <f>E22*G22</f>
        <v>67077</v>
      </c>
      <c r="I22" s="328"/>
      <c r="J22" s="332"/>
      <c r="K22" s="51"/>
      <c r="L22" s="51"/>
      <c r="M22" s="51"/>
      <c r="N22" s="305"/>
    </row>
    <row r="23" spans="1:14">
      <c r="A23" s="319"/>
      <c r="B23" s="321" t="s">
        <v>157</v>
      </c>
      <c r="C23" s="74" t="s">
        <v>187</v>
      </c>
      <c r="D23" s="32" t="s">
        <v>193</v>
      </c>
      <c r="E23" s="75">
        <v>48</v>
      </c>
      <c r="F23" s="76" t="s">
        <v>85</v>
      </c>
      <c r="G23" s="77">
        <v>771</v>
      </c>
      <c r="H23" s="78">
        <f>E23*G23</f>
        <v>37008</v>
      </c>
      <c r="I23" s="328"/>
      <c r="J23" s="86"/>
      <c r="K23" s="51"/>
      <c r="L23" s="51"/>
      <c r="M23" s="51"/>
      <c r="N23" s="305"/>
    </row>
    <row r="24" spans="1:14" ht="17" thickBot="1">
      <c r="A24" s="327"/>
      <c r="B24" s="322" t="s">
        <v>178</v>
      </c>
      <c r="C24" s="80"/>
      <c r="D24" s="273"/>
      <c r="E24" s="81"/>
      <c r="F24" s="81"/>
      <c r="G24" s="82"/>
      <c r="H24" s="83"/>
      <c r="I24" s="329"/>
      <c r="J24" s="333"/>
      <c r="K24" s="19"/>
      <c r="L24" s="19"/>
      <c r="M24" s="19"/>
      <c r="N24" s="306"/>
    </row>
    <row r="25" spans="1:14" ht="15.5" thickBot="1">
      <c r="A25" s="235"/>
      <c r="B25" s="260"/>
      <c r="C25" s="198"/>
      <c r="D25" s="259"/>
      <c r="E25" s="203"/>
      <c r="F25" s="76"/>
      <c r="G25" s="199"/>
      <c r="H25" s="200"/>
      <c r="I25" s="205"/>
      <c r="J25" s="237"/>
      <c r="K25" s="91"/>
      <c r="L25" s="91"/>
      <c r="M25" s="91"/>
      <c r="N25" s="206"/>
    </row>
    <row r="26" spans="1:14" ht="15.65" customHeight="1">
      <c r="A26" s="309" t="s">
        <v>230</v>
      </c>
      <c r="B26" s="253"/>
      <c r="C26" s="29"/>
      <c r="D26" s="190" t="s">
        <v>168</v>
      </c>
      <c r="E26" s="71"/>
      <c r="F26" s="71"/>
      <c r="G26" s="72"/>
      <c r="H26" s="73"/>
      <c r="I26" s="230"/>
      <c r="J26" s="312" t="s">
        <v>191</v>
      </c>
      <c r="K26" s="73"/>
      <c r="L26" s="73"/>
      <c r="M26" s="73"/>
      <c r="N26" s="304">
        <v>1</v>
      </c>
    </row>
    <row r="27" spans="1:14">
      <c r="A27" s="310"/>
      <c r="B27" s="254" t="s">
        <v>197</v>
      </c>
      <c r="C27" s="74" t="s">
        <v>163</v>
      </c>
      <c r="D27" s="31" t="s">
        <v>146</v>
      </c>
      <c r="E27" s="203">
        <v>305</v>
      </c>
      <c r="F27" s="76" t="s">
        <v>85</v>
      </c>
      <c r="G27" s="199">
        <v>1000</v>
      </c>
      <c r="H27" s="78">
        <f>E27*G27</f>
        <v>305000</v>
      </c>
      <c r="I27" s="205"/>
      <c r="J27" s="313"/>
      <c r="K27" s="51"/>
      <c r="L27" s="51"/>
      <c r="M27" s="51"/>
      <c r="N27" s="305"/>
    </row>
    <row r="28" spans="1:14" ht="16.5">
      <c r="A28" s="310"/>
      <c r="B28" s="255" t="s">
        <v>166</v>
      </c>
      <c r="C28" s="74"/>
      <c r="D28" s="31" t="s">
        <v>162</v>
      </c>
      <c r="E28" s="75"/>
      <c r="F28" s="76"/>
      <c r="G28" s="77"/>
      <c r="H28" s="78"/>
      <c r="I28" s="258"/>
      <c r="J28" s="313"/>
      <c r="K28" s="51"/>
      <c r="L28" s="51"/>
      <c r="M28" s="51"/>
      <c r="N28" s="305"/>
    </row>
    <row r="29" spans="1:14" ht="15.5" customHeight="1">
      <c r="A29" s="310"/>
      <c r="B29" s="256" t="s">
        <v>161</v>
      </c>
      <c r="C29" s="74"/>
      <c r="D29" s="32"/>
      <c r="E29" s="75"/>
      <c r="F29" s="76"/>
      <c r="G29" s="77"/>
      <c r="H29" s="78"/>
      <c r="I29" s="205"/>
      <c r="J29" s="313"/>
      <c r="K29" s="51"/>
      <c r="L29" s="51"/>
      <c r="M29" s="51"/>
      <c r="N29" s="305"/>
    </row>
    <row r="30" spans="1:14" ht="15.5" thickBot="1">
      <c r="A30" s="310"/>
      <c r="B30" s="257" t="s">
        <v>162</v>
      </c>
      <c r="C30" s="80"/>
      <c r="D30" s="34"/>
      <c r="E30" s="81"/>
      <c r="F30" s="81"/>
      <c r="G30" s="82"/>
      <c r="H30" s="83"/>
      <c r="I30" s="205" t="s">
        <v>213</v>
      </c>
      <c r="J30" s="313"/>
      <c r="K30" s="51"/>
      <c r="L30" s="51"/>
      <c r="M30" s="51"/>
      <c r="N30" s="305"/>
    </row>
    <row r="31" spans="1:14" ht="15.65" customHeight="1" thickBot="1">
      <c r="A31" s="310"/>
      <c r="B31" s="263"/>
      <c r="C31" s="29"/>
      <c r="D31" s="276"/>
      <c r="E31" s="71"/>
      <c r="F31" s="71"/>
      <c r="G31" s="72"/>
      <c r="H31" s="73"/>
      <c r="I31" s="205"/>
      <c r="J31" s="313"/>
      <c r="K31" s="51"/>
      <c r="L31" s="51"/>
      <c r="M31" s="51"/>
      <c r="N31" s="305"/>
    </row>
    <row r="32" spans="1:14" ht="18.5" customHeight="1" thickBot="1">
      <c r="A32" s="310"/>
      <c r="B32" s="264" t="s">
        <v>200</v>
      </c>
      <c r="C32" s="244"/>
      <c r="D32" s="245" t="s">
        <v>206</v>
      </c>
      <c r="E32" s="246">
        <v>1</v>
      </c>
      <c r="F32" s="191" t="s">
        <v>85</v>
      </c>
      <c r="G32" s="204">
        <v>4000</v>
      </c>
      <c r="H32" s="204">
        <f>E32*G32</f>
        <v>4000</v>
      </c>
      <c r="I32" s="205"/>
      <c r="J32" s="313"/>
      <c r="K32" s="51"/>
      <c r="L32" s="261"/>
      <c r="M32" s="51"/>
      <c r="N32" s="305"/>
    </row>
    <row r="33" spans="1:14" ht="18.5" customHeight="1" thickBot="1">
      <c r="A33" s="310"/>
      <c r="B33" s="264" t="s">
        <v>202</v>
      </c>
      <c r="C33" s="244"/>
      <c r="D33" s="245" t="s">
        <v>208</v>
      </c>
      <c r="E33" s="246">
        <v>1</v>
      </c>
      <c r="F33" s="191" t="s">
        <v>85</v>
      </c>
      <c r="G33" s="204">
        <v>4000</v>
      </c>
      <c r="H33" s="204">
        <f>E33*G33</f>
        <v>4000</v>
      </c>
      <c r="I33" s="205"/>
      <c r="J33" s="313"/>
      <c r="K33" s="51"/>
      <c r="L33" s="261"/>
      <c r="M33" s="51"/>
      <c r="N33" s="305"/>
    </row>
    <row r="34" spans="1:14" ht="18.5" customHeight="1" thickBot="1">
      <c r="A34" s="310"/>
      <c r="B34" s="264" t="s">
        <v>204</v>
      </c>
      <c r="C34" s="244"/>
      <c r="D34" s="245" t="s">
        <v>210</v>
      </c>
      <c r="E34" s="246">
        <v>1</v>
      </c>
      <c r="F34" s="191" t="s">
        <v>85</v>
      </c>
      <c r="G34" s="204">
        <v>4000</v>
      </c>
      <c r="H34" s="204">
        <f>E34*G34</f>
        <v>4000</v>
      </c>
      <c r="I34" s="205"/>
      <c r="J34" s="313"/>
      <c r="K34" s="51"/>
      <c r="L34" s="261"/>
      <c r="M34" s="51"/>
      <c r="N34" s="305"/>
    </row>
    <row r="35" spans="1:14" ht="15.65" customHeight="1" thickBot="1">
      <c r="A35" s="310"/>
      <c r="B35" s="263"/>
      <c r="C35" s="29"/>
      <c r="D35" s="276"/>
      <c r="E35" s="71"/>
      <c r="F35" s="71"/>
      <c r="G35" s="72"/>
      <c r="H35" s="73"/>
      <c r="I35" s="205"/>
      <c r="J35" s="313"/>
      <c r="K35" s="51"/>
      <c r="L35" s="51"/>
      <c r="M35" s="51"/>
      <c r="N35" s="305"/>
    </row>
    <row r="36" spans="1:14" ht="18.5" customHeight="1" thickBot="1">
      <c r="A36" s="311"/>
      <c r="B36" s="335" t="s">
        <v>211</v>
      </c>
      <c r="C36" s="336"/>
      <c r="D36" s="337" t="s">
        <v>212</v>
      </c>
      <c r="E36" s="338">
        <v>150</v>
      </c>
      <c r="F36" s="339" t="s">
        <v>85</v>
      </c>
      <c r="G36" s="340">
        <v>50</v>
      </c>
      <c r="H36" s="340">
        <f t="shared" ref="H36" si="1">E36*G36</f>
        <v>7500</v>
      </c>
      <c r="I36" s="231"/>
      <c r="J36" s="314"/>
      <c r="K36" s="19"/>
      <c r="L36" s="262"/>
      <c r="M36" s="19"/>
      <c r="N36" s="306"/>
    </row>
    <row r="37" spans="1:14" ht="15.5" thickBot="1">
      <c r="A37" s="235"/>
      <c r="B37" s="334"/>
      <c r="C37" s="324"/>
      <c r="D37" s="325"/>
      <c r="E37" s="252"/>
      <c r="F37" s="233"/>
      <c r="G37" s="84"/>
      <c r="H37" s="85"/>
      <c r="I37" s="205"/>
      <c r="J37" s="237"/>
      <c r="K37" s="16"/>
      <c r="L37" s="16"/>
      <c r="M37" s="16"/>
      <c r="N37" s="206"/>
    </row>
    <row r="38" spans="1:14" ht="15.65" customHeight="1">
      <c r="A38" s="307" t="s">
        <v>167</v>
      </c>
      <c r="B38" s="349"/>
      <c r="C38" s="350"/>
      <c r="D38" s="190" t="s">
        <v>224</v>
      </c>
      <c r="E38" s="71"/>
      <c r="F38" s="71"/>
      <c r="G38" s="72"/>
      <c r="H38" s="73"/>
      <c r="I38" s="230"/>
      <c r="J38" s="275"/>
      <c r="K38" s="73"/>
      <c r="L38" s="73"/>
      <c r="M38" s="73"/>
      <c r="N38" s="304">
        <v>1</v>
      </c>
    </row>
    <row r="39" spans="1:14" ht="15.65" customHeight="1">
      <c r="A39" s="341"/>
      <c r="B39" s="345" t="s">
        <v>223</v>
      </c>
      <c r="C39" s="346" t="s">
        <v>215</v>
      </c>
      <c r="D39" s="344" t="s">
        <v>225</v>
      </c>
      <c r="E39" s="352"/>
      <c r="F39" s="342"/>
      <c r="G39" s="343"/>
      <c r="H39" s="16"/>
      <c r="I39" s="205"/>
      <c r="J39" s="288"/>
      <c r="K39" s="51"/>
      <c r="L39" s="51"/>
      <c r="M39" s="51"/>
      <c r="N39" s="305"/>
    </row>
    <row r="40" spans="1:14" ht="15.65" customHeight="1">
      <c r="A40" s="341"/>
      <c r="B40" s="345"/>
      <c r="C40" s="346"/>
      <c r="D40" s="344" t="s">
        <v>216</v>
      </c>
      <c r="E40" s="352">
        <v>95</v>
      </c>
      <c r="F40" s="87" t="s">
        <v>85</v>
      </c>
      <c r="G40" s="78">
        <v>1575</v>
      </c>
      <c r="H40" s="78">
        <f>E40*G40</f>
        <v>149625</v>
      </c>
      <c r="I40" s="205" t="s">
        <v>228</v>
      </c>
      <c r="J40" s="288" t="s">
        <v>229</v>
      </c>
      <c r="K40" s="51"/>
      <c r="L40" s="51"/>
      <c r="M40" s="51"/>
      <c r="N40" s="305"/>
    </row>
    <row r="41" spans="1:14" ht="15.65" customHeight="1">
      <c r="A41" s="341"/>
      <c r="B41" s="345" t="s">
        <v>217</v>
      </c>
      <c r="C41" s="346" t="s">
        <v>215</v>
      </c>
      <c r="D41" s="344" t="s">
        <v>225</v>
      </c>
      <c r="E41" s="352"/>
      <c r="F41" s="87"/>
      <c r="G41" s="78"/>
      <c r="H41" s="78"/>
      <c r="I41" s="205"/>
      <c r="J41" s="288"/>
      <c r="K41" s="51"/>
      <c r="L41" s="51"/>
      <c r="M41" s="51"/>
      <c r="N41" s="305"/>
    </row>
    <row r="42" spans="1:14" ht="15.65" customHeight="1">
      <c r="A42" s="341"/>
      <c r="B42" s="345"/>
      <c r="C42" s="346"/>
      <c r="D42" s="344" t="s">
        <v>218</v>
      </c>
      <c r="E42" s="352">
        <v>95</v>
      </c>
      <c r="F42" s="87" t="s">
        <v>85</v>
      </c>
      <c r="G42" s="78">
        <v>375</v>
      </c>
      <c r="H42" s="78">
        <f>E42*G42</f>
        <v>35625</v>
      </c>
      <c r="I42" s="205"/>
      <c r="J42" s="288"/>
      <c r="K42" s="51"/>
      <c r="L42" s="51"/>
      <c r="M42" s="51"/>
      <c r="N42" s="305"/>
    </row>
    <row r="43" spans="1:14" ht="15.65" customHeight="1">
      <c r="A43" s="341"/>
      <c r="B43" s="345"/>
      <c r="C43" s="346"/>
      <c r="D43" s="344"/>
      <c r="E43" s="352"/>
      <c r="F43" s="353"/>
      <c r="G43" s="354"/>
      <c r="H43" s="51"/>
      <c r="I43" s="205"/>
      <c r="J43" s="288"/>
      <c r="K43" s="51"/>
      <c r="L43" s="51"/>
      <c r="M43" s="51"/>
      <c r="N43" s="305"/>
    </row>
    <row r="44" spans="1:14" ht="18.5" customHeight="1">
      <c r="A44" s="341"/>
      <c r="B44" s="345" t="s">
        <v>219</v>
      </c>
      <c r="C44" s="346" t="s">
        <v>220</v>
      </c>
      <c r="D44" s="344" t="s">
        <v>226</v>
      </c>
      <c r="E44" s="352">
        <v>380</v>
      </c>
      <c r="F44" s="87" t="s">
        <v>158</v>
      </c>
      <c r="G44" s="78">
        <v>22</v>
      </c>
      <c r="H44" s="78">
        <f t="shared" ref="H44:H45" si="2">E44*G44</f>
        <v>8360</v>
      </c>
      <c r="I44" s="205"/>
      <c r="J44" s="288"/>
      <c r="K44" s="51"/>
      <c r="L44" s="261"/>
      <c r="M44" s="51"/>
      <c r="N44" s="305"/>
    </row>
    <row r="45" spans="1:14" ht="19" customHeight="1" thickBot="1">
      <c r="A45" s="308"/>
      <c r="B45" s="347" t="s">
        <v>221</v>
      </c>
      <c r="C45" s="348" t="s">
        <v>222</v>
      </c>
      <c r="D45" s="351" t="s">
        <v>227</v>
      </c>
      <c r="E45" s="357">
        <v>800</v>
      </c>
      <c r="F45" s="355" t="s">
        <v>85</v>
      </c>
      <c r="G45" s="356">
        <v>4</v>
      </c>
      <c r="H45" s="83">
        <f t="shared" si="2"/>
        <v>3200</v>
      </c>
      <c r="I45" s="231"/>
      <c r="J45" s="333"/>
      <c r="K45" s="19"/>
      <c r="L45" s="262"/>
      <c r="M45" s="19"/>
      <c r="N45" s="306"/>
    </row>
    <row r="46" spans="1:14" ht="15.5" thickBot="1">
      <c r="A46" s="235"/>
      <c r="B46" s="334"/>
      <c r="C46" s="324"/>
      <c r="D46" s="325"/>
      <c r="E46" s="252"/>
      <c r="F46" s="233"/>
      <c r="G46" s="84"/>
      <c r="H46" s="85"/>
      <c r="I46" s="205"/>
      <c r="J46" s="237"/>
      <c r="K46" s="16"/>
      <c r="L46" s="16"/>
      <c r="M46" s="16"/>
      <c r="N46" s="206"/>
    </row>
    <row r="47" spans="1:14">
      <c r="A47" s="250"/>
      <c r="B47" s="239"/>
      <c r="C47" s="276"/>
      <c r="D47" s="240"/>
      <c r="E47" s="251">
        <f>SUMIF($F$8:$F$45,"M.",$E$8:$E$45)</f>
        <v>79</v>
      </c>
      <c r="F47" s="191" t="s">
        <v>147</v>
      </c>
      <c r="G47" s="247"/>
      <c r="H47" s="269">
        <f>SUMIF($F$8:$F$45,"M.",$H$8:$H$45)</f>
        <v>64780</v>
      </c>
      <c r="I47" s="89"/>
      <c r="J47" s="90"/>
      <c r="K47" s="91"/>
      <c r="L47" s="91"/>
      <c r="M47" s="91"/>
      <c r="N47" s="92"/>
    </row>
    <row r="48" spans="1:14">
      <c r="A48" s="51"/>
      <c r="B48" s="21"/>
      <c r="C48" s="51"/>
      <c r="D48" s="93"/>
      <c r="E48" s="88">
        <f>SUMIF($F$8:$F$45,"PCS.",$E$8:$E$45)</f>
        <v>1728</v>
      </c>
      <c r="F48" s="87" t="s">
        <v>85</v>
      </c>
      <c r="G48" s="51"/>
      <c r="H48" s="270">
        <f>SUMIF($F$8:$F$45,"PCS.",$H$8:$H$45)</f>
        <v>816510</v>
      </c>
      <c r="I48" s="51"/>
      <c r="J48" s="94"/>
      <c r="K48" s="51"/>
      <c r="L48" s="51"/>
      <c r="M48" s="51"/>
      <c r="N48" s="95"/>
    </row>
    <row r="49" spans="1:14">
      <c r="A49" s="20"/>
      <c r="B49" s="63"/>
      <c r="C49" s="20"/>
      <c r="D49" s="277"/>
      <c r="E49" s="278">
        <f>SUMIF($F$8:$F$45,"SET.",$E$8:$E$45)</f>
        <v>380</v>
      </c>
      <c r="F49" s="279" t="s">
        <v>158</v>
      </c>
      <c r="G49" s="280"/>
      <c r="H49" s="281">
        <f>SUMIF($F$8:$F$45,"SET.",$H$8:$H$45)</f>
        <v>8360</v>
      </c>
      <c r="I49" s="51"/>
      <c r="J49" s="94"/>
      <c r="K49" s="51"/>
      <c r="L49" s="51"/>
      <c r="M49" s="51"/>
      <c r="N49" s="95"/>
    </row>
    <row r="50" spans="1:14" ht="14" customHeight="1" thickBot="1">
      <c r="A50" s="282"/>
      <c r="B50" s="283" t="s">
        <v>144</v>
      </c>
      <c r="C50" s="284" t="s">
        <v>231</v>
      </c>
      <c r="D50" s="285"/>
      <c r="E50" s="283"/>
      <c r="F50" s="286"/>
      <c r="G50" s="19" t="s">
        <v>159</v>
      </c>
      <c r="H50" s="287">
        <f>SUM(H8:H45)</f>
        <v>889650</v>
      </c>
      <c r="I50" s="231"/>
      <c r="J50" s="358"/>
      <c r="K50" s="241"/>
      <c r="L50" s="242"/>
      <c r="M50" s="229"/>
      <c r="N50" s="243"/>
    </row>
    <row r="54" spans="1:14">
      <c r="C54" s="3"/>
    </row>
    <row r="55" spans="1:14">
      <c r="C55" s="3"/>
    </row>
    <row r="102" spans="1:1">
      <c r="A102" s="7" t="s">
        <v>99</v>
      </c>
    </row>
  </sheetData>
  <mergeCells count="12">
    <mergeCell ref="A26:A36"/>
    <mergeCell ref="J26:J36"/>
    <mergeCell ref="N26:N36"/>
    <mergeCell ref="A38:A45"/>
    <mergeCell ref="N38:N45"/>
    <mergeCell ref="A2:H2"/>
    <mergeCell ref="F4:G4"/>
    <mergeCell ref="A8:A12"/>
    <mergeCell ref="N8:N12"/>
    <mergeCell ref="A14:A24"/>
    <mergeCell ref="N14:N24"/>
    <mergeCell ref="I15:I24"/>
  </mergeCells>
  <phoneticPr fontId="13"/>
  <pageMargins left="0.51181102362204722" right="0" top="0.74803149606299213" bottom="0.74803149606299213" header="0.31496062992125984" footer="0.31496062992125984"/>
  <pageSetup paperSize="9" scale="35" fitToWidth="0" fitToHeight="0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5F18-F202-4962-A2BE-650BD0B58DD8}">
  <sheetPr>
    <tabColor rgb="FFFF0000"/>
    <pageSetUpPr fitToPage="1"/>
  </sheetPr>
  <dimension ref="A1:I10"/>
  <sheetViews>
    <sheetView view="pageBreakPreview" zoomScale="40" zoomScaleNormal="90" zoomScaleSheetLayoutView="40" workbookViewId="0">
      <selection activeCell="K6" sqref="K6"/>
    </sheetView>
  </sheetViews>
  <sheetFormatPr defaultRowHeight="31.5"/>
  <cols>
    <col min="1" max="1" width="14.453125" customWidth="1"/>
    <col min="2" max="2" width="40.90625" style="211" customWidth="1"/>
    <col min="3" max="3" width="41.36328125" style="212" customWidth="1"/>
    <col min="4" max="4" width="86.08984375" style="212" customWidth="1"/>
    <col min="5" max="5" width="42.08984375" style="212" customWidth="1"/>
    <col min="6" max="6" width="38.1796875" style="214" customWidth="1"/>
    <col min="7" max="7" width="50.6328125" style="214" customWidth="1"/>
    <col min="8" max="8" width="34.90625" style="215" customWidth="1"/>
    <col min="9" max="9" width="34.90625" style="216" customWidth="1"/>
    <col min="10" max="16" width="34.90625" customWidth="1"/>
  </cols>
  <sheetData>
    <row r="1" spans="1:9">
      <c r="D1" s="213" t="s">
        <v>149</v>
      </c>
    </row>
    <row r="2" spans="1:9" s="221" customFormat="1" ht="88.4" customHeight="1" thickBot="1">
      <c r="A2" s="217"/>
      <c r="B2" s="218" t="s">
        <v>150</v>
      </c>
      <c r="C2" s="219" t="s">
        <v>151</v>
      </c>
      <c r="D2" s="219"/>
      <c r="E2" s="219" t="s">
        <v>152</v>
      </c>
      <c r="F2" s="220" t="s">
        <v>153</v>
      </c>
      <c r="G2" s="220" t="s">
        <v>154</v>
      </c>
      <c r="H2" s="219" t="s">
        <v>155</v>
      </c>
      <c r="I2" s="220" t="s">
        <v>156</v>
      </c>
    </row>
    <row r="3" spans="1:9" ht="194.9" customHeight="1" thickBot="1">
      <c r="A3" s="222"/>
      <c r="B3" s="223" t="s">
        <v>199</v>
      </c>
      <c r="C3" s="224" t="s">
        <v>169</v>
      </c>
      <c r="D3" s="225" t="s">
        <v>205</v>
      </c>
      <c r="E3" s="226" t="s">
        <v>233</v>
      </c>
      <c r="F3" s="227" t="s">
        <v>100</v>
      </c>
      <c r="G3" s="227"/>
      <c r="H3" s="227" t="s">
        <v>160</v>
      </c>
      <c r="I3" s="228">
        <v>7</v>
      </c>
    </row>
    <row r="4" spans="1:9" ht="194.9" customHeight="1" thickBot="1">
      <c r="A4" s="222"/>
      <c r="B4" s="223" t="s">
        <v>201</v>
      </c>
      <c r="C4" s="224" t="s">
        <v>232</v>
      </c>
      <c r="D4" s="225" t="s">
        <v>207</v>
      </c>
      <c r="E4" s="226" t="s">
        <v>233</v>
      </c>
      <c r="F4" s="227" t="s">
        <v>100</v>
      </c>
      <c r="G4" s="227"/>
      <c r="H4" s="227" t="s">
        <v>235</v>
      </c>
      <c r="I4" s="228">
        <v>7</v>
      </c>
    </row>
    <row r="5" spans="1:9" ht="194.9" customHeight="1" thickBot="1">
      <c r="A5" s="222"/>
      <c r="B5" s="223" t="s">
        <v>203</v>
      </c>
      <c r="C5" s="224" t="s">
        <v>234</v>
      </c>
      <c r="D5" s="225" t="s">
        <v>209</v>
      </c>
      <c r="E5" s="226" t="s">
        <v>233</v>
      </c>
      <c r="F5" s="227" t="s">
        <v>100</v>
      </c>
      <c r="G5" s="227"/>
      <c r="H5" s="227" t="s">
        <v>160</v>
      </c>
      <c r="I5" s="271" t="s">
        <v>230</v>
      </c>
    </row>
    <row r="6" spans="1:9" ht="194.9" customHeight="1" thickBot="1">
      <c r="A6" s="222"/>
      <c r="B6" s="223"/>
      <c r="C6" s="224"/>
      <c r="D6" s="225"/>
      <c r="E6" s="226"/>
      <c r="F6" s="227"/>
      <c r="G6" s="227"/>
      <c r="H6" s="227"/>
      <c r="I6" s="228"/>
    </row>
    <row r="7" spans="1:9" ht="194.9" customHeight="1" thickBot="1">
      <c r="A7" s="222"/>
      <c r="B7" s="223"/>
      <c r="C7" s="224"/>
      <c r="D7" s="225"/>
      <c r="E7" s="226"/>
      <c r="F7" s="227"/>
      <c r="G7" s="227"/>
      <c r="H7" s="227"/>
      <c r="I7" s="228"/>
    </row>
    <row r="8" spans="1:9" ht="194.9" customHeight="1">
      <c r="A8" s="222"/>
      <c r="B8" s="223"/>
      <c r="C8" s="224"/>
      <c r="D8" s="225"/>
      <c r="E8" s="226"/>
      <c r="F8" s="227"/>
      <c r="G8" s="227"/>
      <c r="H8" s="227"/>
      <c r="I8" s="228"/>
    </row>
    <row r="9" spans="1:9" ht="134.15" customHeight="1"/>
    <row r="10" spans="1:9" ht="134.15" customHeight="1"/>
  </sheetData>
  <phoneticPr fontId="13"/>
  <pageMargins left="0.51181102362204722" right="0" top="0.74803149606299213" bottom="0.74803149606299213" header="0.31496062992125984" footer="0.31496062992125984"/>
  <pageSetup paperSize="9" scale="25" fitToHeight="0" orientation="portrait" r:id="rId1"/>
  <headerFooter>
    <oddFooter>&amp;C&amp;"Century Gothic,太字"&amp;10&amp;  -   P A G E  3- &amp;P   -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9116-90FB-4047-B450-817A19232B01}">
  <sheetPr>
    <pageSetUpPr fitToPage="1"/>
  </sheetPr>
  <dimension ref="A1:D77"/>
  <sheetViews>
    <sheetView view="pageBreakPreview" topLeftCell="A10" zoomScale="70" zoomScaleNormal="70" zoomScaleSheetLayoutView="70" workbookViewId="0">
      <selection activeCell="G30" sqref="G30"/>
    </sheetView>
  </sheetViews>
  <sheetFormatPr defaultRowHeight="15"/>
  <cols>
    <col min="1" max="1" width="7.90625" customWidth="1"/>
    <col min="2" max="2" width="38.08984375" style="179" customWidth="1"/>
    <col min="3" max="3" width="81.6328125" customWidth="1"/>
    <col min="4" max="4" width="23.6328125" customWidth="1"/>
  </cols>
  <sheetData>
    <row r="1" spans="1:4" ht="17.5" customHeight="1">
      <c r="A1" s="147"/>
    </row>
    <row r="2" spans="1:4" ht="15" customHeight="1">
      <c r="A2" s="315" t="s">
        <v>141</v>
      </c>
      <c r="B2" s="315"/>
      <c r="C2" s="180"/>
    </row>
    <row r="3" spans="1:4" ht="15.65" customHeight="1" thickBot="1">
      <c r="A3" s="181"/>
      <c r="B3" s="182"/>
      <c r="C3" s="181"/>
    </row>
    <row r="4" spans="1:4" ht="21.75" customHeight="1" thickBot="1">
      <c r="A4" s="183" t="s">
        <v>36</v>
      </c>
      <c r="B4" s="24" t="s">
        <v>96</v>
      </c>
      <c r="C4" s="23" t="s">
        <v>87</v>
      </c>
      <c r="D4" s="184" t="s">
        <v>142</v>
      </c>
    </row>
    <row r="5" spans="1:4" ht="16" customHeight="1">
      <c r="A5" s="301" t="s">
        <v>177</v>
      </c>
      <c r="B5" s="29"/>
      <c r="C5" s="267" t="s">
        <v>195</v>
      </c>
      <c r="D5" s="185"/>
    </row>
    <row r="6" spans="1:4" ht="16" customHeight="1">
      <c r="A6" s="302"/>
      <c r="B6" s="30" t="s">
        <v>171</v>
      </c>
      <c r="C6" s="21" t="s">
        <v>146</v>
      </c>
      <c r="D6" s="265"/>
    </row>
    <row r="7" spans="1:4" ht="16" customHeight="1">
      <c r="A7" s="302"/>
      <c r="B7" s="21" t="s">
        <v>146</v>
      </c>
      <c r="C7" s="232" t="s">
        <v>174</v>
      </c>
      <c r="D7" s="265" t="s">
        <v>242</v>
      </c>
    </row>
    <row r="8" spans="1:4" ht="16" customHeight="1">
      <c r="A8" s="302"/>
      <c r="B8" s="33" t="s">
        <v>172</v>
      </c>
      <c r="C8" s="32" t="s">
        <v>198</v>
      </c>
      <c r="D8" s="265"/>
    </row>
    <row r="9" spans="1:4" ht="16" customHeight="1" thickBot="1">
      <c r="A9" s="303"/>
      <c r="B9" s="35" t="s">
        <v>165</v>
      </c>
      <c r="C9" s="34"/>
      <c r="D9" s="266"/>
    </row>
    <row r="10" spans="1:4" ht="15" customHeight="1" thickBot="1">
      <c r="A10" s="234"/>
      <c r="B10" s="201"/>
      <c r="C10" s="202"/>
      <c r="D10" s="248"/>
    </row>
    <row r="11" spans="1:4" ht="21.75" customHeight="1" thickBot="1">
      <c r="A11" s="183" t="s">
        <v>36</v>
      </c>
      <c r="B11" s="24" t="s">
        <v>96</v>
      </c>
      <c r="C11" s="268" t="s">
        <v>87</v>
      </c>
      <c r="D11" s="184" t="s">
        <v>142</v>
      </c>
    </row>
    <row r="12" spans="1:4" ht="17" customHeight="1">
      <c r="A12" s="316" t="s">
        <v>192</v>
      </c>
      <c r="B12" s="317"/>
      <c r="C12" s="267" t="s">
        <v>182</v>
      </c>
      <c r="D12" s="196"/>
    </row>
    <row r="13" spans="1:4" ht="16.399999999999999" customHeight="1">
      <c r="A13" s="319"/>
      <c r="B13" s="320" t="s">
        <v>180</v>
      </c>
      <c r="C13" s="31" t="s">
        <v>157</v>
      </c>
      <c r="D13" s="186"/>
    </row>
    <row r="14" spans="1:4" ht="15" customHeight="1">
      <c r="A14" s="319"/>
      <c r="B14" s="320" t="s">
        <v>181</v>
      </c>
      <c r="C14" s="31" t="s">
        <v>174</v>
      </c>
      <c r="D14" s="186"/>
    </row>
    <row r="15" spans="1:4" ht="15" customHeight="1">
      <c r="A15" s="319"/>
      <c r="B15" s="321" t="s">
        <v>157</v>
      </c>
      <c r="C15" s="32" t="s">
        <v>194</v>
      </c>
      <c r="D15" s="186"/>
    </row>
    <row r="16" spans="1:4" ht="16.5" customHeight="1" thickBot="1">
      <c r="A16" s="319"/>
      <c r="B16" s="322" t="s">
        <v>214</v>
      </c>
      <c r="C16" s="273"/>
      <c r="D16" s="186" t="s">
        <v>65</v>
      </c>
    </row>
    <row r="17" spans="1:4" ht="16.5" customHeight="1" thickBot="1">
      <c r="A17" s="319"/>
      <c r="B17" s="323"/>
      <c r="C17" s="325"/>
      <c r="D17" s="186"/>
    </row>
    <row r="18" spans="1:4" ht="16.5" customHeight="1">
      <c r="A18" s="319"/>
      <c r="B18" s="29"/>
      <c r="C18" s="267" t="s">
        <v>189</v>
      </c>
      <c r="D18" s="186"/>
    </row>
    <row r="19" spans="1:4" ht="16.5" customHeight="1">
      <c r="A19" s="319"/>
      <c r="B19" s="320" t="s">
        <v>183</v>
      </c>
      <c r="C19" s="31" t="s">
        <v>157</v>
      </c>
      <c r="D19" s="186"/>
    </row>
    <row r="20" spans="1:4" ht="16.399999999999999" customHeight="1">
      <c r="A20" s="319"/>
      <c r="B20" s="320" t="s">
        <v>184</v>
      </c>
      <c r="C20" s="31" t="s">
        <v>174</v>
      </c>
      <c r="D20" s="186"/>
    </row>
    <row r="21" spans="1:4" ht="15" customHeight="1">
      <c r="A21" s="319"/>
      <c r="B21" s="321" t="s">
        <v>157</v>
      </c>
      <c r="C21" s="32" t="s">
        <v>193</v>
      </c>
      <c r="D21" s="186"/>
    </row>
    <row r="22" spans="1:4" ht="15" customHeight="1" thickBot="1">
      <c r="A22" s="327"/>
      <c r="B22" s="322" t="s">
        <v>178</v>
      </c>
      <c r="C22" s="273"/>
      <c r="D22" s="186"/>
    </row>
    <row r="23" spans="1:4" ht="15" customHeight="1" thickBot="1">
      <c r="A23" s="235"/>
      <c r="B23" s="35"/>
      <c r="C23" s="34"/>
      <c r="D23" s="187"/>
    </row>
    <row r="24" spans="1:4" ht="21.75" customHeight="1" thickBot="1">
      <c r="A24" s="183" t="s">
        <v>36</v>
      </c>
      <c r="B24" s="24" t="s">
        <v>96</v>
      </c>
      <c r="C24" s="268" t="s">
        <v>87</v>
      </c>
      <c r="D24" s="184" t="s">
        <v>142</v>
      </c>
    </row>
    <row r="25" spans="1:4" ht="16.5" customHeight="1">
      <c r="A25" s="309" t="s">
        <v>230</v>
      </c>
      <c r="B25" s="253"/>
      <c r="C25" s="267" t="s">
        <v>168</v>
      </c>
      <c r="D25" s="186"/>
    </row>
    <row r="26" spans="1:4" ht="16.399999999999999" customHeight="1">
      <c r="A26" s="310"/>
      <c r="B26" s="254" t="s">
        <v>197</v>
      </c>
      <c r="C26" s="31" t="s">
        <v>146</v>
      </c>
      <c r="D26" s="186"/>
    </row>
    <row r="27" spans="1:4" ht="15" customHeight="1">
      <c r="A27" s="310"/>
      <c r="B27" s="255" t="s">
        <v>166</v>
      </c>
      <c r="C27" s="31" t="s">
        <v>162</v>
      </c>
      <c r="D27" s="186"/>
    </row>
    <row r="28" spans="1:4" ht="15" customHeight="1">
      <c r="A28" s="310"/>
      <c r="B28" s="256" t="s">
        <v>161</v>
      </c>
      <c r="C28" s="32"/>
      <c r="D28" s="186"/>
    </row>
    <row r="29" spans="1:4" ht="15" customHeight="1" thickBot="1">
      <c r="A29" s="310"/>
      <c r="B29" s="257" t="s">
        <v>162</v>
      </c>
      <c r="C29" s="34"/>
      <c r="D29" s="186"/>
    </row>
    <row r="30" spans="1:4" ht="15" customHeight="1" thickBot="1">
      <c r="A30" s="310"/>
      <c r="B30" s="263"/>
      <c r="C30" s="276"/>
      <c r="D30" s="186" t="s">
        <v>65</v>
      </c>
    </row>
    <row r="31" spans="1:4" ht="15" customHeight="1" thickBot="1">
      <c r="A31" s="310"/>
      <c r="B31" s="264" t="s">
        <v>200</v>
      </c>
      <c r="C31" s="245" t="s">
        <v>206</v>
      </c>
      <c r="D31" s="186"/>
    </row>
    <row r="32" spans="1:4" ht="15" customHeight="1" thickBot="1">
      <c r="A32" s="310"/>
      <c r="B32" s="264" t="s">
        <v>202</v>
      </c>
      <c r="C32" s="245" t="s">
        <v>208</v>
      </c>
      <c r="D32" s="186"/>
    </row>
    <row r="33" spans="1:4" ht="16.5" customHeight="1" thickBot="1">
      <c r="A33" s="310"/>
      <c r="B33" s="264" t="s">
        <v>204</v>
      </c>
      <c r="C33" s="245" t="s">
        <v>210</v>
      </c>
      <c r="D33" s="186"/>
    </row>
    <row r="34" spans="1:4" ht="16.399999999999999" customHeight="1" thickBot="1">
      <c r="A34" s="310"/>
      <c r="B34" s="263"/>
      <c r="C34" s="276"/>
      <c r="D34" s="186"/>
    </row>
    <row r="35" spans="1:4" ht="15" customHeight="1" thickBot="1">
      <c r="A35" s="311"/>
      <c r="B35" s="335" t="s">
        <v>211</v>
      </c>
      <c r="C35" s="337" t="s">
        <v>212</v>
      </c>
      <c r="D35" s="186"/>
    </row>
    <row r="36" spans="1:4" ht="14" customHeight="1" thickBot="1">
      <c r="A36" s="235"/>
      <c r="B36" s="195"/>
      <c r="C36" s="32"/>
      <c r="D36" s="188"/>
    </row>
    <row r="37" spans="1:4" ht="21" customHeight="1" thickBot="1">
      <c r="A37" s="183" t="s">
        <v>36</v>
      </c>
      <c r="B37" s="24" t="s">
        <v>96</v>
      </c>
      <c r="C37" s="268" t="s">
        <v>87</v>
      </c>
      <c r="D37" s="184" t="s">
        <v>142</v>
      </c>
    </row>
    <row r="38" spans="1:4" ht="15" customHeight="1">
      <c r="A38" s="307" t="s">
        <v>167</v>
      </c>
      <c r="B38" s="349"/>
      <c r="C38" s="190" t="s">
        <v>224</v>
      </c>
      <c r="D38" s="274"/>
    </row>
    <row r="39" spans="1:4" ht="18" customHeight="1">
      <c r="A39" s="341"/>
      <c r="B39" s="345" t="s">
        <v>223</v>
      </c>
      <c r="C39" s="344" t="s">
        <v>225</v>
      </c>
      <c r="D39" s="196"/>
    </row>
    <row r="40" spans="1:4" ht="16.399999999999999" customHeight="1">
      <c r="A40" s="341"/>
      <c r="B40" s="345"/>
      <c r="C40" s="344" t="s">
        <v>216</v>
      </c>
      <c r="D40" s="186"/>
    </row>
    <row r="41" spans="1:4" ht="16.399999999999999" customHeight="1">
      <c r="A41" s="341"/>
      <c r="B41" s="345" t="s">
        <v>217</v>
      </c>
      <c r="C41" s="344" t="s">
        <v>225</v>
      </c>
      <c r="D41" s="186" t="s">
        <v>65</v>
      </c>
    </row>
    <row r="42" spans="1:4" ht="16.399999999999999" customHeight="1">
      <c r="A42" s="341"/>
      <c r="B42" s="345"/>
      <c r="C42" s="344" t="s">
        <v>218</v>
      </c>
      <c r="D42" s="186"/>
    </row>
    <row r="43" spans="1:4" ht="16.399999999999999" customHeight="1">
      <c r="A43" s="341"/>
      <c r="B43" s="345"/>
      <c r="C43" s="344"/>
      <c r="D43" s="186"/>
    </row>
    <row r="44" spans="1:4" ht="16.399999999999999" customHeight="1">
      <c r="A44" s="341"/>
      <c r="B44" s="345" t="s">
        <v>219</v>
      </c>
      <c r="C44" s="344" t="s">
        <v>226</v>
      </c>
      <c r="D44" s="186"/>
    </row>
    <row r="45" spans="1:4" ht="16.399999999999999" customHeight="1" thickBot="1">
      <c r="A45" s="308"/>
      <c r="B45" s="347" t="s">
        <v>221</v>
      </c>
      <c r="C45" s="360" t="s">
        <v>227</v>
      </c>
      <c r="D45" s="249"/>
    </row>
    <row r="46" spans="1:4" ht="15" customHeight="1">
      <c r="A46" s="188"/>
      <c r="B46" s="188"/>
      <c r="C46" s="188"/>
      <c r="D46" s="188"/>
    </row>
    <row r="47" spans="1:4" ht="15" customHeight="1">
      <c r="A47" s="188"/>
      <c r="B47" s="188"/>
      <c r="C47" s="188"/>
      <c r="D47" s="188"/>
    </row>
    <row r="48" spans="1:4" ht="15" customHeight="1">
      <c r="A48" s="188"/>
      <c r="B48" s="188"/>
      <c r="C48" s="188"/>
      <c r="D48" s="188"/>
    </row>
    <row r="49" spans="1:4" ht="15" customHeight="1">
      <c r="A49" s="188"/>
      <c r="B49" s="188"/>
      <c r="C49" s="188"/>
      <c r="D49" s="188"/>
    </row>
    <row r="50" spans="1:4" ht="15" customHeight="1">
      <c r="A50" s="188"/>
      <c r="B50" s="188"/>
      <c r="C50" s="188"/>
      <c r="D50" s="188"/>
    </row>
    <row r="51" spans="1:4" ht="15.65" customHeight="1">
      <c r="A51" s="188"/>
      <c r="B51" s="188"/>
      <c r="C51" s="188"/>
      <c r="D51" s="188"/>
    </row>
    <row r="52" spans="1:4" ht="15" customHeight="1">
      <c r="A52" s="188"/>
      <c r="B52" s="188"/>
      <c r="C52" s="188"/>
      <c r="D52" s="188"/>
    </row>
    <row r="53" spans="1:4" ht="15" customHeight="1">
      <c r="A53" s="188"/>
      <c r="B53" s="188"/>
      <c r="C53" s="188"/>
      <c r="D53" s="188"/>
    </row>
    <row r="54" spans="1:4" ht="15" customHeight="1">
      <c r="A54" s="188"/>
      <c r="B54" s="188"/>
      <c r="C54" s="188"/>
      <c r="D54" s="188"/>
    </row>
    <row r="55" spans="1:4" ht="15" customHeight="1">
      <c r="A55" s="188"/>
      <c r="B55" s="188"/>
      <c r="C55" s="188"/>
      <c r="D55" s="188"/>
    </row>
    <row r="56" spans="1:4" ht="15" customHeight="1">
      <c r="A56" s="188"/>
      <c r="B56" s="188"/>
      <c r="C56" s="188"/>
      <c r="D56" s="188"/>
    </row>
    <row r="57" spans="1:4" ht="15" customHeight="1">
      <c r="A57" s="188"/>
      <c r="B57" s="188"/>
      <c r="C57" s="188"/>
      <c r="D57" s="188"/>
    </row>
    <row r="58" spans="1:4" ht="15" customHeight="1">
      <c r="A58" s="188"/>
      <c r="B58" s="188"/>
      <c r="C58" s="188"/>
      <c r="D58" s="188"/>
    </row>
    <row r="59" spans="1:4" ht="15" customHeight="1">
      <c r="A59" s="188"/>
      <c r="B59" s="188"/>
      <c r="C59" s="188"/>
      <c r="D59" s="188"/>
    </row>
    <row r="60" spans="1:4" ht="15" customHeight="1">
      <c r="A60" s="188"/>
      <c r="B60" s="188"/>
      <c r="C60" s="188"/>
      <c r="D60" s="188"/>
    </row>
    <row r="61" spans="1:4" ht="14.15" customHeight="1">
      <c r="A61" s="188"/>
      <c r="B61" s="188"/>
      <c r="C61" s="188"/>
      <c r="D61" s="188"/>
    </row>
    <row r="62" spans="1:4" ht="15" customHeight="1">
      <c r="A62" s="188"/>
      <c r="B62" s="188"/>
      <c r="C62" s="188"/>
      <c r="D62" s="188"/>
    </row>
    <row r="63" spans="1:4" ht="15" customHeight="1">
      <c r="A63" s="188"/>
      <c r="B63" s="188"/>
      <c r="C63" s="188"/>
      <c r="D63" s="188"/>
    </row>
    <row r="64" spans="1:4" ht="15" customHeight="1">
      <c r="A64" s="188"/>
      <c r="B64" s="188"/>
      <c r="C64" s="188"/>
      <c r="D64" s="188"/>
    </row>
    <row r="65" spans="1:4" ht="15" customHeight="1">
      <c r="A65" s="188"/>
      <c r="B65" s="188"/>
      <c r="C65" s="188"/>
      <c r="D65" s="188"/>
    </row>
    <row r="66" spans="1:4" ht="15" customHeight="1">
      <c r="A66" s="188"/>
      <c r="B66" s="188"/>
      <c r="C66" s="188"/>
      <c r="D66" s="188"/>
    </row>
    <row r="67" spans="1:4" ht="15" customHeight="1">
      <c r="A67" s="188"/>
      <c r="B67" s="188"/>
      <c r="C67" s="188"/>
      <c r="D67" s="188"/>
    </row>
    <row r="68" spans="1:4" ht="12.65" customHeight="1">
      <c r="A68" s="188"/>
      <c r="B68" s="188"/>
      <c r="C68" s="188"/>
      <c r="D68" s="188"/>
    </row>
    <row r="69" spans="1:4" ht="15.65" customHeight="1">
      <c r="A69" s="188"/>
      <c r="B69" s="188"/>
      <c r="C69" s="188"/>
      <c r="D69" s="188"/>
    </row>
    <row r="70" spans="1:4" ht="41.15" customHeight="1">
      <c r="A70" s="188"/>
      <c r="B70" s="188"/>
      <c r="C70" s="188"/>
      <c r="D70" s="188"/>
    </row>
    <row r="71" spans="1:4" ht="21.75" customHeight="1">
      <c r="A71" s="188"/>
      <c r="B71" s="188"/>
      <c r="C71" s="188"/>
      <c r="D71" s="188"/>
    </row>
    <row r="72" spans="1:4" ht="15" customHeight="1">
      <c r="A72" s="188"/>
      <c r="B72" s="188"/>
      <c r="C72" s="188"/>
      <c r="D72" s="188"/>
    </row>
    <row r="73" spans="1:4" ht="10.4" customHeight="1">
      <c r="A73" s="165"/>
      <c r="B73" s="165"/>
      <c r="C73" s="189"/>
      <c r="D73" s="165"/>
    </row>
    <row r="74" spans="1:4">
      <c r="A74" s="165"/>
      <c r="B74" s="165"/>
      <c r="C74" s="165"/>
      <c r="D74" s="165"/>
    </row>
    <row r="75" spans="1:4">
      <c r="A75" s="165"/>
      <c r="B75" s="165"/>
      <c r="C75" s="165"/>
      <c r="D75" s="165"/>
    </row>
    <row r="76" spans="1:4">
      <c r="A76" s="165"/>
      <c r="B76" s="165"/>
      <c r="C76" s="165"/>
      <c r="D76" s="165"/>
    </row>
    <row r="77" spans="1:4">
      <c r="A77" s="165"/>
      <c r="B77" s="165"/>
      <c r="C77" s="165"/>
      <c r="D77" s="165"/>
    </row>
  </sheetData>
  <mergeCells count="5">
    <mergeCell ref="A2:B2"/>
    <mergeCell ref="A5:A9"/>
    <mergeCell ref="A12:A22"/>
    <mergeCell ref="A25:A35"/>
    <mergeCell ref="A38:A45"/>
  </mergeCells>
  <phoneticPr fontId="13"/>
  <pageMargins left="0.51181102362204722" right="0" top="0.74803149606299213" bottom="0.74803149606299213" header="0.31496062992125984" footer="0.31496062992125984"/>
  <pageSetup paperSize="9" scale="63" fitToHeight="0" orientation="portrait" r:id="rId1"/>
  <headerFooter>
    <oddFooter>&amp;C&amp;"Century Gothic,太字"&amp;10&amp;  -   P A G E  3- &amp;P  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shipper master</vt:lpstr>
      <vt:lpstr>case mark </vt:lpstr>
      <vt:lpstr>invoice</vt:lpstr>
      <vt:lpstr>NARITA </vt:lpstr>
      <vt:lpstr>サンプル製品カタログ</vt:lpstr>
      <vt:lpstr>LABEL</vt:lpstr>
      <vt:lpstr>LABEL!Print_Area</vt:lpstr>
      <vt:lpstr>'NARITA '!Print_Area</vt:lpstr>
      <vt:lpstr>サンプル製品カタログ!Print_Area</vt:lpstr>
      <vt:lpstr>LABEL!Print_Titles</vt:lpstr>
      <vt:lpstr>'NARITA '!Print_Titles</vt:lpstr>
      <vt:lpstr>サンプル製品カタログ!Print_Titles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2024-11-22T00:33:10Z</cp:lastPrinted>
  <dcterms:created xsi:type="dcterms:W3CDTF">2002-07-31T13:14:08Z</dcterms:created>
  <dcterms:modified xsi:type="dcterms:W3CDTF">2025-07-18T07:00:16Z</dcterms:modified>
</cp:coreProperties>
</file>