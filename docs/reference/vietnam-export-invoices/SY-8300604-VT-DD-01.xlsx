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C745C8D6-A3B2-4A5C-9DA9-A68FAD43F6F3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shipper master" sheetId="17" r:id="rId1"/>
    <sheet name="case mark " sheetId="64" r:id="rId2"/>
    <sheet name="invoice" sheetId="65" r:id="rId3"/>
    <sheet name="ATTACHED" sheetId="60" r:id="rId4"/>
    <sheet name="サンプル製品カタログ" sheetId="67" r:id="rId5"/>
    <sheet name="LABEL" sheetId="66" r:id="rId6"/>
  </sheets>
  <externalReferences>
    <externalReference r:id="rId7"/>
    <externalReference r:id="rId8"/>
    <externalReference r:id="rId9"/>
  </externalReferences>
  <definedNames>
    <definedName name="pricetable" localSheetId="3">#REF!</definedName>
    <definedName name="pricetable" localSheetId="1">#REF!</definedName>
    <definedName name="pricetable" localSheetId="5">#REF!</definedName>
    <definedName name="pricetable" localSheetId="4">#REF!</definedName>
    <definedName name="pricetable">#REF!</definedName>
    <definedName name="_xlnm.Print_Area" localSheetId="3">ATTACHED!$A$1:$N$119</definedName>
    <definedName name="_xlnm.Print_Area" localSheetId="5">LABEL!$A$1:$D$120</definedName>
    <definedName name="_xlnm.Print_Area" localSheetId="4">サンプル製品カタログ!$A$1:$I$4</definedName>
    <definedName name="_xlnm.Print_Titles" localSheetId="3">ATTACHED!$1:$5</definedName>
    <definedName name="_xlnm.Print_Titles" localSheetId="5">LABEL!$1:$3</definedName>
    <definedName name="_xlnm.Print_Titles" localSheetId="4">サンプル製品カタログ!$2:$2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7" i="60" l="1"/>
  <c r="H88" i="60"/>
  <c r="E116" i="60" l="1"/>
  <c r="H81" i="60"/>
  <c r="H80" i="60"/>
  <c r="H102" i="60"/>
  <c r="H112" i="60" l="1"/>
  <c r="H111" i="60"/>
  <c r="H106" i="60"/>
  <c r="H99" i="60"/>
  <c r="H98" i="60"/>
  <c r="H95" i="60"/>
  <c r="H94" i="60"/>
  <c r="H93" i="60"/>
  <c r="H86" i="60"/>
  <c r="H85" i="60"/>
  <c r="H84" i="60"/>
  <c r="H79" i="60"/>
  <c r="H73" i="60"/>
  <c r="H70" i="60"/>
  <c r="H69" i="60"/>
  <c r="H67" i="60"/>
  <c r="H62" i="60"/>
  <c r="H60" i="60"/>
  <c r="H58" i="60"/>
  <c r="H56" i="60"/>
  <c r="H52" i="60"/>
  <c r="H49" i="60"/>
  <c r="H48" i="60"/>
  <c r="H45" i="60"/>
  <c r="H44" i="60"/>
  <c r="H42" i="60"/>
  <c r="H40" i="60"/>
  <c r="H36" i="60"/>
  <c r="H31" i="60"/>
  <c r="H26" i="60"/>
  <c r="A37" i="65" l="1"/>
  <c r="F11" i="65"/>
  <c r="M27" i="65"/>
  <c r="L31" i="65" s="1"/>
  <c r="M26" i="65" l="1"/>
  <c r="H22" i="60"/>
  <c r="H21" i="60"/>
  <c r="H20" i="60"/>
  <c r="H16" i="60"/>
  <c r="H10" i="60" l="1"/>
  <c r="C27" i="17" l="1"/>
  <c r="H9" i="60" l="1"/>
  <c r="C81" i="17" l="1"/>
  <c r="K31" i="65" l="1"/>
  <c r="M28" i="65"/>
  <c r="O28" i="65"/>
  <c r="H14" i="60" l="1"/>
  <c r="H15" i="60"/>
  <c r="H117" i="60" l="1"/>
  <c r="O27" i="65" s="1"/>
  <c r="H8" i="60"/>
  <c r="H116" i="60" s="1"/>
  <c r="O26" i="65" s="1"/>
  <c r="F9" i="65"/>
  <c r="H119" i="60" l="1"/>
  <c r="O31" i="65"/>
  <c r="C45" i="17" s="1"/>
  <c r="F7" i="65"/>
  <c r="N8" i="65" s="1"/>
  <c r="I13" i="64" l="1"/>
  <c r="A13" i="64"/>
  <c r="I2" i="64"/>
  <c r="A2" i="64"/>
  <c r="D36" i="65"/>
  <c r="A35" i="65"/>
  <c r="A34" i="65"/>
  <c r="N24" i="65"/>
  <c r="B24" i="65"/>
  <c r="G21" i="65"/>
  <c r="D21" i="65"/>
  <c r="A21" i="65"/>
  <c r="A19" i="65"/>
  <c r="A17" i="65"/>
  <c r="A16" i="65"/>
  <c r="F15" i="65"/>
  <c r="A15" i="65"/>
  <c r="A14" i="65"/>
  <c r="F13" i="65"/>
  <c r="A13" i="65"/>
  <c r="N11" i="65"/>
  <c r="A11" i="65"/>
  <c r="A10" i="65"/>
  <c r="A9" i="65"/>
  <c r="A8" i="65"/>
  <c r="A7" i="65"/>
  <c r="N5" i="65"/>
  <c r="A5" i="65"/>
  <c r="N4" i="65"/>
  <c r="A4" i="65"/>
  <c r="A3" i="65"/>
  <c r="A2" i="65"/>
  <c r="I18" i="64"/>
  <c r="A18" i="64"/>
  <c r="I16" i="64"/>
  <c r="A16" i="64"/>
  <c r="I15" i="64"/>
  <c r="A15" i="64"/>
  <c r="I14" i="64"/>
  <c r="A14" i="64"/>
  <c r="I7" i="64"/>
  <c r="A7" i="64"/>
  <c r="I5" i="64"/>
  <c r="A5" i="64"/>
  <c r="I4" i="64"/>
  <c r="A4" i="64"/>
  <c r="I3" i="64"/>
  <c r="A3" i="64"/>
  <c r="F5" i="60" l="1"/>
  <c r="D5" i="60"/>
  <c r="A2" i="17" l="1"/>
  <c r="A3" i="17" s="1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49" i="17"/>
  <c r="E31" i="65"/>
</calcChain>
</file>

<file path=xl/sharedStrings.xml><?xml version="1.0" encoding="utf-8"?>
<sst xmlns="http://schemas.openxmlformats.org/spreadsheetml/2006/main" count="600" uniqueCount="309">
  <si>
    <t>SHIPPER NAME</t>
    <phoneticPr fontId="11" type="noConversion"/>
  </si>
  <si>
    <t>S/CODE</t>
    <phoneticPr fontId="11" type="noConversion"/>
  </si>
  <si>
    <t>SHIPPER ADDRESS 2</t>
    <phoneticPr fontId="14"/>
  </si>
  <si>
    <t>SHIPPER ADDRESS 1</t>
    <phoneticPr fontId="14"/>
  </si>
  <si>
    <t>SHIPPER ADDRESS 3</t>
    <phoneticPr fontId="14"/>
  </si>
  <si>
    <t xml:space="preserve">SHIPPER </t>
    <phoneticPr fontId="14"/>
  </si>
  <si>
    <t>TEL</t>
    <phoneticPr fontId="14"/>
  </si>
  <si>
    <t>FAX</t>
    <phoneticPr fontId="14"/>
  </si>
  <si>
    <t>ATTN OR VAT NO.</t>
    <phoneticPr fontId="14"/>
  </si>
  <si>
    <t>TEL/FAX</t>
    <phoneticPr fontId="14"/>
  </si>
  <si>
    <t>ATTN</t>
    <phoneticPr fontId="14"/>
  </si>
  <si>
    <t>CONSIGNEE :</t>
    <phoneticPr fontId="14"/>
  </si>
  <si>
    <t>CONSIGNEE ADDRESS1</t>
    <phoneticPr fontId="14"/>
  </si>
  <si>
    <t>CONSIGNEE ADDRESS2</t>
    <phoneticPr fontId="14"/>
  </si>
  <si>
    <t>CONSIGNEE ADDRESS3</t>
    <phoneticPr fontId="14"/>
  </si>
  <si>
    <t>TEL</t>
    <phoneticPr fontId="14"/>
  </si>
  <si>
    <t>FAX</t>
    <phoneticPr fontId="14"/>
  </si>
  <si>
    <t>PAYMENT 1</t>
    <phoneticPr fontId="14"/>
  </si>
  <si>
    <t>PAYMENT 2</t>
    <phoneticPr fontId="14"/>
  </si>
  <si>
    <t>SHIPPER PER</t>
    <phoneticPr fontId="14"/>
  </si>
  <si>
    <t>INVOICE DATE</t>
    <phoneticPr fontId="14"/>
  </si>
  <si>
    <t>INVOICE NO.</t>
    <phoneticPr fontId="14"/>
  </si>
  <si>
    <t>CONTRACT NO.</t>
    <phoneticPr fontId="14"/>
  </si>
  <si>
    <t>CONTRACT DATE</t>
    <phoneticPr fontId="14"/>
  </si>
  <si>
    <t>ORDER DATE</t>
    <phoneticPr fontId="14"/>
  </si>
  <si>
    <t>ORDER NO.</t>
    <phoneticPr fontId="14"/>
  </si>
  <si>
    <t>L/C DATE</t>
    <phoneticPr fontId="14"/>
  </si>
  <si>
    <t>FROM</t>
    <phoneticPr fontId="14"/>
  </si>
  <si>
    <t xml:space="preserve"> TOKYO, JAPAN</t>
    <phoneticPr fontId="14"/>
  </si>
  <si>
    <t>TO</t>
    <phoneticPr fontId="14"/>
  </si>
  <si>
    <t>VIA</t>
    <phoneticPr fontId="14"/>
  </si>
  <si>
    <t>SHIPPING TERMS</t>
    <phoneticPr fontId="14"/>
  </si>
  <si>
    <t>TITTLE 1</t>
    <phoneticPr fontId="14"/>
  </si>
  <si>
    <t>TITTLE 2</t>
    <phoneticPr fontId="14"/>
  </si>
  <si>
    <t>ATTACHE</t>
    <phoneticPr fontId="14"/>
  </si>
  <si>
    <t>- DETAILS AS PER ATTACHED SHEET -</t>
    <phoneticPr fontId="14"/>
  </si>
  <si>
    <t>C/NO.</t>
    <phoneticPr fontId="14"/>
  </si>
  <si>
    <t>STYLE NO.</t>
    <phoneticPr fontId="14"/>
  </si>
  <si>
    <t>DESCRIPTION</t>
    <phoneticPr fontId="14"/>
  </si>
  <si>
    <t>Q'TY CODE</t>
    <phoneticPr fontId="14"/>
  </si>
  <si>
    <t>QUANTITY</t>
    <phoneticPr fontId="14"/>
  </si>
  <si>
    <t>UNIT PRICE</t>
    <phoneticPr fontId="14"/>
  </si>
  <si>
    <t>AMOUNT</t>
    <phoneticPr fontId="14"/>
  </si>
  <si>
    <t>DISCOUNT</t>
    <phoneticPr fontId="14"/>
  </si>
  <si>
    <t>CASE MARK1</t>
    <phoneticPr fontId="14"/>
  </si>
  <si>
    <t>CASE MARK2</t>
    <phoneticPr fontId="14"/>
  </si>
  <si>
    <t>CASE MARK3</t>
    <phoneticPr fontId="14"/>
  </si>
  <si>
    <t>CASE MARK4</t>
    <phoneticPr fontId="14"/>
  </si>
  <si>
    <t>CASE MARK5</t>
    <phoneticPr fontId="14"/>
  </si>
  <si>
    <t>CASE MARK6</t>
    <phoneticPr fontId="14"/>
  </si>
  <si>
    <t>TOTAL</t>
    <phoneticPr fontId="14"/>
  </si>
  <si>
    <t>MANUFACTURED BY</t>
    <phoneticPr fontId="14"/>
  </si>
  <si>
    <t>ORIGIN</t>
    <phoneticPr fontId="14"/>
  </si>
  <si>
    <t>OUR BANK</t>
    <phoneticPr fontId="14"/>
  </si>
  <si>
    <t>ETD TYO</t>
    <phoneticPr fontId="14"/>
  </si>
  <si>
    <t>DELIVERY SCHEDULES</t>
    <phoneticPr fontId="14"/>
  </si>
  <si>
    <t>INSURANCE</t>
    <phoneticPr fontId="14"/>
  </si>
  <si>
    <t>REMARK 1</t>
    <phoneticPr fontId="14"/>
  </si>
  <si>
    <t>AIR FREIGHT</t>
    <phoneticPr fontId="14"/>
  </si>
  <si>
    <t>YOUR (OUR) FORWARDER</t>
    <phoneticPr fontId="14"/>
  </si>
  <si>
    <t>CUSTOMS AGENT</t>
    <phoneticPr fontId="14"/>
  </si>
  <si>
    <t>FORWARDER</t>
    <phoneticPr fontId="14"/>
  </si>
  <si>
    <t>C/O ISSUED DATE</t>
    <phoneticPr fontId="14"/>
  </si>
  <si>
    <t>COUNTRY</t>
    <phoneticPr fontId="14"/>
  </si>
  <si>
    <t>F.O.B. TOKYO IN YEN</t>
    <phoneticPr fontId="14"/>
  </si>
  <si>
    <t xml:space="preserve"> SHUNYA CO., LTD.</t>
    <phoneticPr fontId="14"/>
  </si>
  <si>
    <t xml:space="preserve"> KENSHIN BLDG., 1F, 1-22-10 DOUGENZAKA,</t>
    <phoneticPr fontId="14"/>
  </si>
  <si>
    <t xml:space="preserve"> SHIBUYA-KU 150-0043</t>
    <phoneticPr fontId="14"/>
  </si>
  <si>
    <t xml:space="preserve"> TEL : +81(0)3-5459-1177</t>
    <phoneticPr fontId="14"/>
  </si>
  <si>
    <t xml:space="preserve"> - SAME AS BUYER -</t>
    <phoneticPr fontId="14"/>
  </si>
  <si>
    <t xml:space="preserve"> HOCHIMINH-CITY, VIETNAM</t>
    <phoneticPr fontId="14"/>
  </si>
  <si>
    <t>VIETNAM</t>
    <phoneticPr fontId="14"/>
  </si>
  <si>
    <t>PREPAID</t>
    <phoneticPr fontId="14"/>
  </si>
  <si>
    <t>COVERED BY SHIPPER</t>
    <phoneticPr fontId="14"/>
  </si>
  <si>
    <t>MEITETSU WORLD TRANSPORT (MR. NAMIKI)</t>
    <phoneticPr fontId="14"/>
  </si>
  <si>
    <t>BUYER</t>
    <phoneticPr fontId="14"/>
  </si>
  <si>
    <t>BUYER ADDRESS1</t>
    <phoneticPr fontId="14"/>
  </si>
  <si>
    <t>BUYER ADDRESS2</t>
    <phoneticPr fontId="14"/>
  </si>
  <si>
    <t>BUYER ADDRESS3</t>
    <phoneticPr fontId="14"/>
  </si>
  <si>
    <t xml:space="preserve"> AIRCRAFT</t>
    <phoneticPr fontId="14"/>
  </si>
  <si>
    <t>持ち帰り条件</t>
    <rPh sb="0" eb="1">
      <t>モ</t>
    </rPh>
    <rPh sb="2" eb="3">
      <t>カエ</t>
    </rPh>
    <rPh sb="4" eb="6">
      <t>ジョウケン</t>
    </rPh>
    <phoneticPr fontId="14"/>
  </si>
  <si>
    <t xml:space="preserve">  AFTER MANUFACTURED AT VIET NAM "</t>
    <phoneticPr fontId="14"/>
  </si>
  <si>
    <t xml:space="preserve"> NO COMMERCIAL</t>
    <phoneticPr fontId="13"/>
  </si>
  <si>
    <t>PCS.</t>
    <phoneticPr fontId="14"/>
  </si>
  <si>
    <t>COLOR</t>
  </si>
  <si>
    <t>DESCRIPTION  OF  GOODS</t>
  </si>
  <si>
    <t>Q'TY</t>
  </si>
  <si>
    <t>U/PRICE</t>
  </si>
  <si>
    <t>AMOUNT</t>
  </si>
  <si>
    <t xml:space="preserve">ART NO. </t>
    <phoneticPr fontId="14"/>
  </si>
  <si>
    <t>(H.S. CODE)</t>
    <phoneticPr fontId="14"/>
  </si>
  <si>
    <t>- ATTACHED SHEET -</t>
    <phoneticPr fontId="14"/>
  </si>
  <si>
    <t xml:space="preserve"> Long An Province , VietNam</t>
    <phoneticPr fontId="14"/>
  </si>
  <si>
    <t xml:space="preserve"> TEL : :   ( 084 ) 097 22 00 798  ATTN : MR. TUAN</t>
    <phoneticPr fontId="14"/>
  </si>
  <si>
    <t>FABRIC &amp; PARTS FOR WEAR &amp; SAMPLE CLOTHES</t>
    <phoneticPr fontId="14"/>
  </si>
  <si>
    <t xml:space="preserve"> TEL : ( 084 ) 097 22 00 798  ATTN : MR. TUAN</t>
    <phoneticPr fontId="14"/>
  </si>
  <si>
    <t xml:space="preserve"> C/NO.</t>
    <phoneticPr fontId="14"/>
  </si>
  <si>
    <t>INVOICE</t>
    <phoneticPr fontId="14"/>
  </si>
  <si>
    <t>IMPORTER</t>
    <phoneticPr fontId="13"/>
  </si>
  <si>
    <t>INVOICE NO.</t>
    <phoneticPr fontId="13"/>
  </si>
  <si>
    <t>CASE MARK</t>
    <phoneticPr fontId="13"/>
  </si>
  <si>
    <t>INVOICE DATE</t>
    <phoneticPr fontId="13"/>
  </si>
  <si>
    <t>CONTRACT NO.</t>
    <phoneticPr fontId="13"/>
  </si>
  <si>
    <t>CONSIGNEE</t>
    <phoneticPr fontId="13"/>
  </si>
  <si>
    <t xml:space="preserve">ORDER NO. </t>
    <phoneticPr fontId="13"/>
  </si>
  <si>
    <t>L/C NO.</t>
    <phoneticPr fontId="13"/>
  </si>
  <si>
    <t>PAYMENT METHOD</t>
    <phoneticPr fontId="13"/>
  </si>
  <si>
    <t>SHIPPED PER</t>
    <phoneticPr fontId="13"/>
  </si>
  <si>
    <t>FROM</t>
    <phoneticPr fontId="13"/>
  </si>
  <si>
    <t>TO</t>
    <phoneticPr fontId="13"/>
  </si>
  <si>
    <t xml:space="preserve"> </t>
    <phoneticPr fontId="13"/>
  </si>
  <si>
    <t>VIA</t>
    <phoneticPr fontId="13"/>
  </si>
  <si>
    <t>C/NO.</t>
    <phoneticPr fontId="13"/>
  </si>
  <si>
    <t>ART NO.</t>
    <phoneticPr fontId="14"/>
  </si>
  <si>
    <t xml:space="preserve">  DESCRIPTION  OF  GOODS</t>
    <phoneticPr fontId="13"/>
  </si>
  <si>
    <t>COLOR</t>
    <phoneticPr fontId="14"/>
  </si>
  <si>
    <t>SIZE</t>
    <phoneticPr fontId="14"/>
  </si>
  <si>
    <t>Q'TY</t>
    <phoneticPr fontId="13"/>
  </si>
  <si>
    <t>U/PRICE</t>
    <phoneticPr fontId="13"/>
  </si>
  <si>
    <t>AMOUNT</t>
    <phoneticPr fontId="13"/>
  </si>
  <si>
    <t>" NO COMMER VALUE</t>
    <phoneticPr fontId="14"/>
  </si>
  <si>
    <t>" NO COMMERCIAL VALUE</t>
    <phoneticPr fontId="14"/>
  </si>
  <si>
    <t xml:space="preserve">  VALUE FOR CUSTOMS PURPOSE ONLY "</t>
    <phoneticPr fontId="14"/>
  </si>
  <si>
    <t xml:space="preserve"> VALUE FOR CUSTOMS PURPOSE ONLY "</t>
    <phoneticPr fontId="14"/>
  </si>
  <si>
    <t>TOTAL CARTONS :</t>
    <phoneticPr fontId="14"/>
  </si>
  <si>
    <t>TOTAL GROSS WEIGHT :</t>
    <phoneticPr fontId="14"/>
  </si>
  <si>
    <t>KGS</t>
    <phoneticPr fontId="14"/>
  </si>
  <si>
    <t>LABEL SHEET -</t>
    <phoneticPr fontId="14"/>
  </si>
  <si>
    <t>原産国</t>
    <rPh sb="0" eb="3">
      <t>ゲンサンコク</t>
    </rPh>
    <phoneticPr fontId="14"/>
  </si>
  <si>
    <t>TOTAL :</t>
  </si>
  <si>
    <t>PCS.</t>
  </si>
  <si>
    <t>M.</t>
    <phoneticPr fontId="14"/>
  </si>
  <si>
    <t>M.</t>
  </si>
  <si>
    <t>KNIT FABRIC</t>
    <phoneticPr fontId="14"/>
  </si>
  <si>
    <t>TOTAL</t>
    <phoneticPr fontId="19"/>
  </si>
  <si>
    <t>MADE IN JAPAN</t>
    <phoneticPr fontId="14"/>
  </si>
  <si>
    <t>ITEM</t>
    <phoneticPr fontId="14"/>
  </si>
  <si>
    <t>NAME</t>
    <phoneticPr fontId="14"/>
  </si>
  <si>
    <t>color</t>
    <phoneticPr fontId="14"/>
  </si>
  <si>
    <t>lady's or men's</t>
    <phoneticPr fontId="14"/>
  </si>
  <si>
    <t>WOVEN or  KNIT</t>
    <phoneticPr fontId="14"/>
  </si>
  <si>
    <t>picture</t>
    <phoneticPr fontId="14"/>
  </si>
  <si>
    <t>Composition</t>
    <phoneticPr fontId="14"/>
  </si>
  <si>
    <t>packingNo.</t>
    <phoneticPr fontId="14"/>
  </si>
  <si>
    <t>men's</t>
    <phoneticPr fontId="14"/>
  </si>
  <si>
    <t>WOVEN FABRIC</t>
    <phoneticPr fontId="14"/>
  </si>
  <si>
    <t>短繊維 プリント加工なし</t>
    <rPh sb="0" eb="1">
      <t>タン</t>
    </rPh>
    <rPh sb="1" eb="3">
      <t>センイ</t>
    </rPh>
    <rPh sb="7" eb="9">
      <t>カコウ</t>
    </rPh>
    <phoneticPr fontId="14"/>
  </si>
  <si>
    <t>搬入内容</t>
    <rPh sb="0" eb="2">
      <t>ハンニュウ</t>
    </rPh>
    <phoneticPr fontId="14"/>
  </si>
  <si>
    <t>佐川伝票・明細</t>
  </si>
  <si>
    <t>搬入日</t>
  </si>
  <si>
    <t>伝票NO</t>
  </si>
  <si>
    <t>数量</t>
  </si>
  <si>
    <t>箱数</t>
  </si>
  <si>
    <t>C/#002 BLACK</t>
    <phoneticPr fontId="14"/>
  </si>
  <si>
    <t>COTTON 100%</t>
    <phoneticPr fontId="14"/>
  </si>
  <si>
    <t xml:space="preserve"> MADE  IN JAPAN</t>
    <phoneticPr fontId="14"/>
  </si>
  <si>
    <t xml:space="preserve"> VIVAN GARMENTS VIET NAM COMPANY LIMITED</t>
    <phoneticPr fontId="14"/>
  </si>
  <si>
    <t xml:space="preserve"> D17 Street , Sai Gon South Residential Area</t>
    <phoneticPr fontId="14"/>
  </si>
  <si>
    <t xml:space="preserve"> Hamlet 3 , Long Hau Commune , Can Giuoc District,</t>
    <phoneticPr fontId="14"/>
  </si>
  <si>
    <t xml:space="preserve"> VIVAN GARMENTS VIET NAM</t>
    <phoneticPr fontId="14"/>
  </si>
  <si>
    <t xml:space="preserve"> COMPANY LIMITED</t>
    <phoneticPr fontId="14"/>
  </si>
  <si>
    <t>WOVEN</t>
    <phoneticPr fontId="14"/>
  </si>
  <si>
    <t>c/#CLEAR</t>
    <phoneticPr fontId="14"/>
  </si>
  <si>
    <t>材質：メタル</t>
    <rPh sb="0" eb="2">
      <t>ザイシツ</t>
    </rPh>
    <phoneticPr fontId="14"/>
  </si>
  <si>
    <t>BLACK</t>
    <phoneticPr fontId="14"/>
  </si>
  <si>
    <t>BLUE</t>
    <phoneticPr fontId="14"/>
  </si>
  <si>
    <t>END OF JUNE - BEG., OF MAR, 2018</t>
    <phoneticPr fontId="14"/>
  </si>
  <si>
    <t>1-3</t>
    <phoneticPr fontId="14"/>
  </si>
  <si>
    <t>11487</t>
    <phoneticPr fontId="14"/>
  </si>
  <si>
    <t>C/#801 ベビーピンク</t>
    <phoneticPr fontId="14"/>
  </si>
  <si>
    <t>C/#503 スカイブルー</t>
    <phoneticPr fontId="14"/>
  </si>
  <si>
    <t>C/#301 イエロー</t>
    <phoneticPr fontId="14"/>
  </si>
  <si>
    <t>WIDTH:110CM (155ｇ/㎡ )</t>
    <phoneticPr fontId="14"/>
  </si>
  <si>
    <t>5/29</t>
    <phoneticPr fontId="14"/>
  </si>
  <si>
    <t>入庫NO.22081349</t>
    <rPh sb="0" eb="2">
      <t>ニュウコ</t>
    </rPh>
    <phoneticPr fontId="14"/>
  </si>
  <si>
    <t>入庫NO.22081274</t>
    <rPh sb="0" eb="2">
      <t>ニュウコ</t>
    </rPh>
    <phoneticPr fontId="14"/>
  </si>
  <si>
    <t>5/27</t>
    <phoneticPr fontId="14"/>
  </si>
  <si>
    <t>平織 ツイル 後染め</t>
    <rPh sb="0" eb="2">
      <t>ヒラオリ</t>
    </rPh>
    <rPh sb="5" eb="7">
      <t>アトゾ</t>
    </rPh>
    <phoneticPr fontId="14"/>
  </si>
  <si>
    <t>STYLE:26SY-11</t>
    <phoneticPr fontId="14"/>
  </si>
  <si>
    <t>5001-01</t>
    <phoneticPr fontId="14"/>
  </si>
  <si>
    <t>men's crew neck T-shirt</t>
    <phoneticPr fontId="14"/>
  </si>
  <si>
    <t>短繊維 天竺 テクスチャード加工無し</t>
    <phoneticPr fontId="14"/>
  </si>
  <si>
    <t>C/#001 WHITE</t>
    <phoneticPr fontId="14"/>
  </si>
  <si>
    <t>C/#086 NAVY</t>
    <phoneticPr fontId="14"/>
  </si>
  <si>
    <t xml:space="preserve">STYLE:bd26-009				</t>
    <phoneticPr fontId="14"/>
  </si>
  <si>
    <t>4-5</t>
    <phoneticPr fontId="14"/>
  </si>
  <si>
    <t>6-7</t>
    <phoneticPr fontId="14"/>
  </si>
  <si>
    <t>4488-01</t>
    <phoneticPr fontId="14"/>
  </si>
  <si>
    <t>men's cardigan</t>
    <phoneticPr fontId="14"/>
  </si>
  <si>
    <t xml:space="preserve">STYLE:bd26-008			</t>
    <phoneticPr fontId="14"/>
  </si>
  <si>
    <t>C/#005 GRAY</t>
    <phoneticPr fontId="14"/>
  </si>
  <si>
    <t>8</t>
    <phoneticPr fontId="14"/>
  </si>
  <si>
    <t>PRESTIGE Product bags</t>
    <phoneticPr fontId="14"/>
  </si>
  <si>
    <t>PRESTIGE Product hang tag</t>
    <phoneticPr fontId="14"/>
  </si>
  <si>
    <t>STYLE:26A-PT-01,26A-PT-02,26A-SH-01,26A-SH-02,26A-JK-01,26A-JK-02,26A-AC-04</t>
    <phoneticPr fontId="14"/>
  </si>
  <si>
    <t>6/4</t>
    <phoneticPr fontId="14"/>
  </si>
  <si>
    <t>STYLE:25I-CS02</t>
    <phoneticPr fontId="14"/>
  </si>
  <si>
    <t>YG1001</t>
    <phoneticPr fontId="14"/>
  </si>
  <si>
    <t>C/#1 WHITE</t>
    <phoneticPr fontId="14"/>
  </si>
  <si>
    <t>YG1002</t>
    <phoneticPr fontId="14"/>
  </si>
  <si>
    <t>STYLE:26A-AC09</t>
    <phoneticPr fontId="14"/>
  </si>
  <si>
    <t>GN-13-16</t>
    <phoneticPr fontId="14"/>
  </si>
  <si>
    <t>26SY-07(26A-SH01) sample</t>
    <phoneticPr fontId="14"/>
  </si>
  <si>
    <t>men's cotton shirt SAMPLE CLOTHES</t>
    <phoneticPr fontId="14"/>
  </si>
  <si>
    <t>26SY-06(26A-JK04) sample</t>
    <phoneticPr fontId="14"/>
  </si>
  <si>
    <t>丸編み フレンチパイル編み 後染め</t>
    <rPh sb="0" eb="2">
      <t>マルア</t>
    </rPh>
    <rPh sb="11" eb="12">
      <t>ア</t>
    </rPh>
    <rPh sb="14" eb="15">
      <t>アト</t>
    </rPh>
    <rPh sb="15" eb="16">
      <t>ソ</t>
    </rPh>
    <phoneticPr fontId="14"/>
  </si>
  <si>
    <t>WIDTH:180CM (590ｇ/㎡ )</t>
    <phoneticPr fontId="14"/>
  </si>
  <si>
    <t>WIDTH:42WCM (300ｇ/㎡ )</t>
    <phoneticPr fontId="14"/>
  </si>
  <si>
    <t>COTTON 95% PU 5%</t>
    <phoneticPr fontId="14"/>
  </si>
  <si>
    <t>丸編み リブ編み 後染め</t>
    <rPh sb="0" eb="2">
      <t>マルア</t>
    </rPh>
    <rPh sb="6" eb="7">
      <t>ア</t>
    </rPh>
    <rPh sb="9" eb="10">
      <t>アト</t>
    </rPh>
    <rPh sb="10" eb="11">
      <t>ソ</t>
    </rPh>
    <phoneticPr fontId="14"/>
  </si>
  <si>
    <t>短繊維、プリント加工なし</t>
    <rPh sb="0" eb="1">
      <t>ミジカ</t>
    </rPh>
    <phoneticPr fontId="14"/>
  </si>
  <si>
    <t>Metal O-Ring</t>
    <phoneticPr fontId="14"/>
  </si>
  <si>
    <t>16mm</t>
    <phoneticPr fontId="14"/>
  </si>
  <si>
    <t>men's Velour jacket SAMPLE CLOTHES</t>
    <phoneticPr fontId="14"/>
  </si>
  <si>
    <t>MADE IN CHINA</t>
    <phoneticPr fontId="14"/>
  </si>
  <si>
    <t xml:space="preserve">STYLE:26SY-07(26A-SH01),26SY-06(26A-JK04) </t>
    <phoneticPr fontId="14"/>
  </si>
  <si>
    <t>COTTON 70% POLYESTER 30%</t>
    <phoneticPr fontId="14"/>
  </si>
  <si>
    <t>EN-22SY-66</t>
    <phoneticPr fontId="19"/>
  </si>
  <si>
    <t xml:space="preserve">SB17 </t>
    <phoneticPr fontId="19"/>
  </si>
  <si>
    <t>BUTTONS  13MM</t>
    <phoneticPr fontId="19"/>
  </si>
  <si>
    <t>BUTTONS  10MM</t>
    <phoneticPr fontId="19"/>
  </si>
  <si>
    <t>KOHAZE</t>
    <phoneticPr fontId="19"/>
  </si>
  <si>
    <t>KINTEN BUJI</t>
    <phoneticPr fontId="19"/>
  </si>
  <si>
    <t>CORD  S</t>
    <phoneticPr fontId="19"/>
  </si>
  <si>
    <t>M</t>
    <phoneticPr fontId="19"/>
  </si>
  <si>
    <t>PL-S17</t>
    <phoneticPr fontId="19"/>
  </si>
  <si>
    <t xml:space="preserve">DOT BUTTONS </t>
    <phoneticPr fontId="19"/>
  </si>
  <si>
    <t>PACKING</t>
    <phoneticPr fontId="19"/>
  </si>
  <si>
    <t>9*3</t>
    <phoneticPr fontId="19"/>
  </si>
  <si>
    <t>5YNR C DA8</t>
    <phoneticPr fontId="19"/>
  </si>
  <si>
    <t>EN-22SY-65</t>
    <phoneticPr fontId="19"/>
  </si>
  <si>
    <t>5RGK OP DA8</t>
    <phoneticPr fontId="19"/>
  </si>
  <si>
    <t>ZIPPER</t>
    <phoneticPr fontId="19"/>
  </si>
  <si>
    <t>5RGK C DA8</t>
    <phoneticPr fontId="19"/>
  </si>
  <si>
    <t>COTTON 100% PIECE-DYED SLEEK</t>
    <phoneticPr fontId="19"/>
  </si>
  <si>
    <t>EN-22SY-53</t>
    <phoneticPr fontId="19"/>
  </si>
  <si>
    <t>MESH LINING</t>
    <phoneticPr fontId="19"/>
  </si>
  <si>
    <t>CC26AW-46</t>
    <phoneticPr fontId="19"/>
  </si>
  <si>
    <t>#26-8M   #4-5M  #1-2-3M</t>
    <phoneticPr fontId="19"/>
  </si>
  <si>
    <t>5RGKB C DA8</t>
    <phoneticPr fontId="19"/>
  </si>
  <si>
    <t xml:space="preserve">3MGKB C DA8 </t>
    <phoneticPr fontId="19"/>
  </si>
  <si>
    <t>132-723</t>
    <phoneticPr fontId="19"/>
  </si>
  <si>
    <t>TAPE</t>
    <phoneticPr fontId="19"/>
  </si>
  <si>
    <t>15MM   #010-6M  #074-4M  #050-3M</t>
    <phoneticPr fontId="19"/>
  </si>
  <si>
    <t>12MM   #010-2M  #074-2M  #050-1M</t>
    <phoneticPr fontId="19"/>
  </si>
  <si>
    <t>NF25SY-44</t>
    <phoneticPr fontId="19"/>
  </si>
  <si>
    <t>PRV26</t>
    <phoneticPr fontId="19"/>
  </si>
  <si>
    <t>BUTTONS  11.5MM</t>
    <phoneticPr fontId="19"/>
  </si>
  <si>
    <t>NF25SY-43</t>
    <phoneticPr fontId="19"/>
  </si>
  <si>
    <t>1000</t>
    <phoneticPr fontId="19"/>
  </si>
  <si>
    <t>C/#BK</t>
    <phoneticPr fontId="19"/>
  </si>
  <si>
    <t>C/#580</t>
    <phoneticPr fontId="19"/>
  </si>
  <si>
    <t>C/#258</t>
    <phoneticPr fontId="19"/>
  </si>
  <si>
    <t>C/#999</t>
    <phoneticPr fontId="19"/>
  </si>
  <si>
    <t>C/#563</t>
    <phoneticPr fontId="19"/>
  </si>
  <si>
    <t>C/#564</t>
    <phoneticPr fontId="19"/>
  </si>
  <si>
    <t>C/#33</t>
    <phoneticPr fontId="19"/>
  </si>
  <si>
    <t>C/#572</t>
    <phoneticPr fontId="19"/>
  </si>
  <si>
    <t>材質：樹脂</t>
    <rPh sb="0" eb="2">
      <t>ザイシツ</t>
    </rPh>
    <rPh sb="3" eb="5">
      <t>ジュシ</t>
    </rPh>
    <phoneticPr fontId="14"/>
  </si>
  <si>
    <t>綾織 スレキ 先染め</t>
    <rPh sb="0" eb="2">
      <t>アヤオリ</t>
    </rPh>
    <rPh sb="7" eb="9">
      <t>サキゾ</t>
    </rPh>
    <phoneticPr fontId="14"/>
  </si>
  <si>
    <t>材質：真鍮</t>
    <phoneticPr fontId="14"/>
  </si>
  <si>
    <t>材質：ポリエステル</t>
    <phoneticPr fontId="14"/>
  </si>
  <si>
    <t>shell button</t>
    <phoneticPr fontId="14"/>
  </si>
  <si>
    <t>学術名： Tectus maximus / 黒蝶</t>
    <rPh sb="0" eb="2">
      <t>ガクジュツメイ</t>
    </rPh>
    <phoneticPr fontId="14"/>
  </si>
  <si>
    <t>38CM-20PCS.  39CM-10PCS.  40CM-30PCS.  41CM-20PCS.</t>
    <phoneticPr fontId="19"/>
  </si>
  <si>
    <t>16CM-10PCS.  17CM -20PCS.  18CM-10PCS.</t>
    <phoneticPr fontId="19"/>
  </si>
  <si>
    <t>C/#NICKEL</t>
    <phoneticPr fontId="19"/>
  </si>
  <si>
    <t>43CM-5PCS.  45CM-5PCS.</t>
    <phoneticPr fontId="19"/>
  </si>
  <si>
    <t>43CM-3PCS.  45CM-3PCS.</t>
    <phoneticPr fontId="19"/>
  </si>
  <si>
    <t>45CMPCS.</t>
    <phoneticPr fontId="19"/>
  </si>
  <si>
    <t>16CM-10PCS.  17CM-10PCS.</t>
    <phoneticPr fontId="19"/>
  </si>
  <si>
    <t>16CM-6PCS.  17CM-6PCS.</t>
    <phoneticPr fontId="19"/>
  </si>
  <si>
    <t>17CM-8PCS.</t>
    <phoneticPr fontId="19"/>
  </si>
  <si>
    <t>材質：綿</t>
    <rPh sb="0" eb="2">
      <t>ザイシツ</t>
    </rPh>
    <rPh sb="3" eb="4">
      <t>メン</t>
    </rPh>
    <phoneticPr fontId="14"/>
  </si>
  <si>
    <t>材質：ユリア樹脂</t>
    <rPh sb="0" eb="2">
      <t>ザイシツ</t>
    </rPh>
    <rPh sb="6" eb="8">
      <t>ジュシ</t>
    </rPh>
    <phoneticPr fontId="14"/>
  </si>
  <si>
    <t>ZIPPER  12CM-10PCS.  13CM-50PCS.  14CM-10PCS.</t>
    <phoneticPr fontId="19"/>
  </si>
  <si>
    <t>POLYESTER 100%</t>
    <phoneticPr fontId="14"/>
  </si>
  <si>
    <t>WIDTH:122CM (ｇ/㎡ )</t>
    <phoneticPr fontId="14"/>
  </si>
  <si>
    <t>3MA-C GSN8</t>
    <phoneticPr fontId="19"/>
  </si>
  <si>
    <t>15CM-4PCS.  16CM-4PCS.</t>
    <phoneticPr fontId="19"/>
  </si>
  <si>
    <t>15CM-8PCS.  16CM-9PCS.</t>
    <phoneticPr fontId="19"/>
  </si>
  <si>
    <t>MADE IN JAPAN 
 SHUNYA CO., LTD.</t>
  </si>
  <si>
    <t>MADE IN JAPAN 
 SHUNYA CO., LTD.</t>
    <phoneticPr fontId="14"/>
  </si>
  <si>
    <t>9-10</t>
    <phoneticPr fontId="14"/>
  </si>
  <si>
    <t>COUNTRY OF ORIGIN : JAPAN</t>
    <phoneticPr fontId="14"/>
  </si>
  <si>
    <t>経編み メッシュ 後染め</t>
    <rPh sb="0" eb="2">
      <t>タテアミ</t>
    </rPh>
    <rPh sb="9" eb="10">
      <t>アト</t>
    </rPh>
    <rPh sb="10" eb="11">
      <t>ソ</t>
    </rPh>
    <phoneticPr fontId="14"/>
  </si>
  <si>
    <t>長繊維、プリント加工なし</t>
    <rPh sb="0" eb="1">
      <t>ナガ</t>
    </rPh>
    <phoneticPr fontId="14"/>
  </si>
  <si>
    <t>WIDTH:122CM (140ｇ/㎡ )</t>
    <phoneticPr fontId="14"/>
  </si>
  <si>
    <t>入庫NO.2208448</t>
    <rPh sb="0" eb="2">
      <t>ニュウコ</t>
    </rPh>
    <phoneticPr fontId="14"/>
  </si>
  <si>
    <t>入庫NO.2208447</t>
    <rPh sb="0" eb="2">
      <t>ニュウコ</t>
    </rPh>
    <phoneticPr fontId="14"/>
  </si>
  <si>
    <t>10 CARTONS</t>
    <phoneticPr fontId="14"/>
  </si>
  <si>
    <t xml:space="preserve"> C/NO. 1-10</t>
    <phoneticPr fontId="14"/>
  </si>
  <si>
    <t xml:space="preserve"> 10PACKAGES</t>
    <phoneticPr fontId="14"/>
  </si>
  <si>
    <t xml:space="preserve"> JUN, 4 2026</t>
    <phoneticPr fontId="14"/>
  </si>
  <si>
    <r>
      <rPr>
        <sz val="10"/>
        <color indexed="10"/>
        <rFont val="Yu Gothic UI"/>
        <family val="3"/>
        <charset val="128"/>
      </rPr>
      <t xml:space="preserve">" </t>
    </r>
    <r>
      <rPr>
        <b/>
        <sz val="10"/>
        <color indexed="10"/>
        <rFont val="Yu Gothic UI"/>
        <family val="3"/>
        <charset val="128"/>
      </rPr>
      <t>THESE GOODS WILL BE RETURN TO JAPAN</t>
    </r>
    <phoneticPr fontId="14"/>
  </si>
  <si>
    <t xml:space="preserve"> SY-8100604VT-DD-01</t>
    <phoneticPr fontId="14"/>
  </si>
  <si>
    <t>C/#165 BLACK</t>
    <phoneticPr fontId="14"/>
  </si>
  <si>
    <t xml:space="preserve">PRESTIGE Product bags </t>
    <phoneticPr fontId="14"/>
  </si>
  <si>
    <t>材質：ポリエチレン</t>
    <rPh sb="0" eb="2">
      <t>ザイシツ</t>
    </rPh>
    <phoneticPr fontId="14"/>
  </si>
  <si>
    <t>C/#26 BEIGE</t>
    <phoneticPr fontId="14"/>
  </si>
  <si>
    <t>C/#4 GRAY</t>
    <phoneticPr fontId="19"/>
  </si>
  <si>
    <t>C/#1-2 BLACK</t>
    <phoneticPr fontId="14"/>
  </si>
  <si>
    <t>C/#258 L.BEIGE</t>
    <phoneticPr fontId="19"/>
  </si>
  <si>
    <t>テープ：平織、白染め：無し</t>
    <phoneticPr fontId="14"/>
  </si>
  <si>
    <t>USE：SLEEVE CUFF FASTENING</t>
    <phoneticPr fontId="14"/>
  </si>
  <si>
    <t>SHAPE：HALF-MOON SHAPED</t>
    <phoneticPr fontId="14"/>
  </si>
  <si>
    <t>45CM 4PCS.</t>
    <phoneticPr fontId="19"/>
  </si>
  <si>
    <t>C/#258 Natural</t>
    <phoneticPr fontId="19"/>
  </si>
  <si>
    <t>296.5M. 3426PCS.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</si>
</sst>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¥&quot;#,##0;[Red]&quot;¥&quot;\-#,##0"/>
    <numFmt numFmtId="41" formatCode="_ * #,##0_ ;_ * \-#,##0_ ;_ * &quot;-&quot;_ ;_ @_ "/>
    <numFmt numFmtId="26" formatCode="\$#,##0.00_);[Red]\(\$#,##0.00\)"/>
    <numFmt numFmtId="176" formatCode="_(* #,##0_);_(* \(#,##0\);_(* &quot;-&quot;_);_(@_)"/>
    <numFmt numFmtId="177" formatCode="&quot;¥&quot;#,##0_);\(&quot;¥&quot;#,##0\)"/>
    <numFmt numFmtId="178" formatCode="&quot;¥&quot;#,##0_);[Red]\(&quot;¥&quot;#,##0\)"/>
    <numFmt numFmtId="179" formatCode="#,##0.0"/>
    <numFmt numFmtId="180" formatCode="#,##0.0_);\(#,##0.0\)"/>
    <numFmt numFmtId="181" formatCode="_(* #,##0.0_);_(* \(#,##0.0\);_(* &quot;-&quot;_);_(@_)"/>
    <numFmt numFmtId="182" formatCode="[$€-410]\ #,##0.00_);[Red]\([$€-410]\ #,##0.00\)"/>
    <numFmt numFmtId="183" formatCode="[$€-410]\ #,##0.00;\-[$€-410]\ #,##0.00"/>
    <numFmt numFmtId="184" formatCode="#,##0_);\(#,##0\)"/>
  </numFmts>
  <fonts count="55" x14ac:knownFonts="1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28"/>
      <name val="ＭＳ Ｐゴシック"/>
      <family val="3"/>
      <charset val="128"/>
      <scheme val="minor"/>
    </font>
    <font>
      <sz val="28"/>
      <name val="新細明體"/>
      <family val="1"/>
    </font>
    <font>
      <sz val="6"/>
      <name val="ＭＳ Ｐゴシック"/>
      <family val="2"/>
      <charset val="128"/>
      <scheme val="minor"/>
    </font>
    <font>
      <b/>
      <sz val="10"/>
      <name val="Yu Gothic UI"/>
      <family val="3"/>
      <charset val="128"/>
    </font>
    <font>
      <sz val="12"/>
      <name val="Yu Gothic UI"/>
      <family val="3"/>
      <charset val="128"/>
    </font>
    <font>
      <b/>
      <sz val="10"/>
      <color rgb="FFFF0000"/>
      <name val="Yu Gothic UI"/>
      <family val="3"/>
      <charset val="128"/>
    </font>
    <font>
      <b/>
      <sz val="10"/>
      <color theme="1"/>
      <name val="Yu Gothic UI"/>
      <family val="3"/>
      <charset val="128"/>
    </font>
    <font>
      <b/>
      <sz val="9"/>
      <name val="Yu Gothic UI"/>
      <family val="3"/>
      <charset val="128"/>
    </font>
    <font>
      <b/>
      <sz val="9"/>
      <color rgb="FFFF0000"/>
      <name val="Yu Gothic UI"/>
      <family val="3"/>
      <charset val="128"/>
    </font>
    <font>
      <b/>
      <u/>
      <sz val="9"/>
      <color theme="1"/>
      <name val="Yu Gothic UI"/>
      <family val="3"/>
      <charset val="128"/>
    </font>
    <font>
      <b/>
      <sz val="9"/>
      <color theme="1"/>
      <name val="Yu Gothic UI"/>
      <family val="3"/>
      <charset val="128"/>
    </font>
    <font>
      <sz val="18"/>
      <name val="Yu Gothic UI"/>
      <family val="3"/>
      <charset val="128"/>
    </font>
    <font>
      <sz val="24"/>
      <name val="Yu Gothic UI"/>
      <family val="3"/>
      <charset val="128"/>
    </font>
    <font>
      <sz val="22"/>
      <name val="Yu Gothic UI"/>
      <family val="3"/>
      <charset val="128"/>
    </font>
    <font>
      <b/>
      <u/>
      <sz val="10"/>
      <color theme="1"/>
      <name val="Yu Gothic UI"/>
      <family val="3"/>
      <charset val="128"/>
    </font>
    <font>
      <sz val="10"/>
      <name val="Yu Gothic UI"/>
      <family val="3"/>
      <charset val="128"/>
    </font>
    <font>
      <b/>
      <u/>
      <sz val="10"/>
      <name val="Yu Gothic UI"/>
      <family val="3"/>
      <charset val="128"/>
    </font>
    <font>
      <b/>
      <sz val="10"/>
      <color rgb="FF0070C0"/>
      <name val="Yu Gothic UI"/>
      <family val="3"/>
      <charset val="128"/>
    </font>
    <font>
      <sz val="26"/>
      <name val="Yu Gothic UI"/>
      <family val="3"/>
      <charset val="128"/>
    </font>
    <font>
      <sz val="22"/>
      <color rgb="FFFF0000"/>
      <name val="Yu Gothic UI"/>
      <family val="3"/>
      <charset val="128"/>
    </font>
    <font>
      <sz val="72"/>
      <name val="Yu Gothic UI"/>
      <family val="3"/>
      <charset val="128"/>
    </font>
    <font>
      <sz val="20"/>
      <color rgb="FF0070C0"/>
      <name val="Yu Gothic UI"/>
      <family val="3"/>
      <charset val="128"/>
    </font>
    <font>
      <sz val="20"/>
      <color theme="1"/>
      <name val="Yu Gothic UI"/>
      <family val="3"/>
      <charset val="128"/>
    </font>
    <font>
      <sz val="20"/>
      <name val="Yu Gothic UI"/>
      <family val="3"/>
      <charset val="128"/>
    </font>
    <font>
      <b/>
      <sz val="22"/>
      <name val="Yu Gothic UI"/>
      <family val="3"/>
      <charset val="128"/>
    </font>
    <font>
      <b/>
      <sz val="20"/>
      <name val="Yu Gothic UI"/>
      <family val="3"/>
      <charset val="128"/>
    </font>
    <font>
      <b/>
      <i/>
      <sz val="20"/>
      <name val="Yu Gothic UI"/>
      <family val="3"/>
      <charset val="128"/>
    </font>
    <font>
      <sz val="11"/>
      <name val="Yu Gothic UI"/>
      <family val="3"/>
      <charset val="128"/>
    </font>
    <font>
      <b/>
      <sz val="11"/>
      <name val="Yu Gothic UI"/>
      <family val="3"/>
      <charset val="128"/>
    </font>
    <font>
      <sz val="16"/>
      <name val="Yu Gothic UI"/>
      <family val="3"/>
      <charset val="128"/>
    </font>
    <font>
      <b/>
      <i/>
      <sz val="9"/>
      <name val="Yu Gothic UI"/>
      <family val="3"/>
      <charset val="128"/>
    </font>
    <font>
      <b/>
      <sz val="8"/>
      <name val="Yu Gothic UI"/>
      <family val="3"/>
      <charset val="128"/>
    </font>
    <font>
      <b/>
      <i/>
      <sz val="10"/>
      <name val="Yu Gothic UI"/>
      <family val="3"/>
      <charset val="128"/>
    </font>
    <font>
      <i/>
      <sz val="10"/>
      <name val="Yu Gothic UI"/>
      <family val="3"/>
      <charset val="128"/>
    </font>
    <font>
      <b/>
      <u/>
      <sz val="11"/>
      <name val="Yu Gothic UI"/>
      <family val="3"/>
      <charset val="128"/>
    </font>
    <font>
      <u/>
      <sz val="10"/>
      <color indexed="12"/>
      <name val="Yu Gothic UI"/>
      <family val="3"/>
      <charset val="128"/>
    </font>
    <font>
      <sz val="10"/>
      <color indexed="10"/>
      <name val="Yu Gothic UI"/>
      <family val="3"/>
      <charset val="128"/>
    </font>
    <font>
      <b/>
      <sz val="10"/>
      <color indexed="10"/>
      <name val="Yu Gothic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7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5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5" fillId="0" borderId="0">
      <alignment vertical="center"/>
    </xf>
    <xf numFmtId="6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6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56">
    <xf numFmtId="0" fontId="0" fillId="0" borderId="0" xfId="0">
      <alignment vertical="center"/>
    </xf>
    <xf numFmtId="0" fontId="17" fillId="0" borderId="0" xfId="0" applyFont="1">
      <alignment vertical="center"/>
    </xf>
    <xf numFmtId="0" fontId="17" fillId="0" borderId="18" xfId="0" applyFont="1" applyBorder="1">
      <alignment vertical="center"/>
    </xf>
    <xf numFmtId="0" fontId="17" fillId="0" borderId="0" xfId="0" applyFont="1" applyAlignment="1">
      <alignment horizontal="left" vertical="center"/>
    </xf>
    <xf numFmtId="0" fontId="17" fillId="0" borderId="19" xfId="0" applyFont="1" applyBorder="1">
      <alignment vertical="center"/>
    </xf>
    <xf numFmtId="0" fontId="17" fillId="0" borderId="20" xfId="0" applyFont="1" applyBorder="1">
      <alignment vertical="center"/>
    </xf>
    <xf numFmtId="0" fontId="18" fillId="0" borderId="0" xfId="0" applyFont="1">
      <alignment vertical="center"/>
    </xf>
    <xf numFmtId="178" fontId="23" fillId="0" borderId="31" xfId="0" applyNumberFormat="1" applyFont="1" applyBorder="1" applyAlignment="1">
      <alignment horizontal="center" vertical="center"/>
    </xf>
    <xf numFmtId="177" fontId="20" fillId="0" borderId="31" xfId="0" applyNumberFormat="1" applyFont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3" borderId="9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22" fillId="5" borderId="5" xfId="0" applyFont="1" applyFill="1" applyBorder="1" applyAlignment="1">
      <alignment horizontal="left" vertical="center"/>
    </xf>
    <xf numFmtId="49" fontId="23" fillId="0" borderId="8" xfId="0" applyNumberFormat="1" applyFont="1" applyBorder="1" applyAlignment="1">
      <alignment horizontal="left" vertical="center"/>
    </xf>
    <xf numFmtId="49" fontId="20" fillId="0" borderId="9" xfId="0" applyNumberFormat="1" applyFont="1" applyBorder="1" applyAlignment="1">
      <alignment horizontal="left" vertical="center"/>
    </xf>
    <xf numFmtId="0" fontId="23" fillId="0" borderId="9" xfId="0" applyFont="1" applyBorder="1" applyAlignment="1">
      <alignment vertical="center" wrapText="1"/>
    </xf>
    <xf numFmtId="179" fontId="23" fillId="0" borderId="9" xfId="0" applyNumberFormat="1" applyFont="1" applyBorder="1" applyAlignment="1">
      <alignment vertical="center" shrinkToFit="1"/>
    </xf>
    <xf numFmtId="49" fontId="22" fillId="0" borderId="10" xfId="0" quotePrefix="1" applyNumberFormat="1" applyFont="1" applyBorder="1" applyAlignment="1">
      <alignment horizontal="left" vertical="center"/>
    </xf>
    <xf numFmtId="179" fontId="23" fillId="0" borderId="10" xfId="0" applyNumberFormat="1" applyFont="1" applyBorder="1" applyAlignment="1">
      <alignment vertical="center" shrinkToFit="1"/>
    </xf>
    <xf numFmtId="49" fontId="22" fillId="3" borderId="15" xfId="0" applyNumberFormat="1" applyFont="1" applyFill="1" applyBorder="1">
      <alignment vertical="center"/>
    </xf>
    <xf numFmtId="0" fontId="23" fillId="0" borderId="8" xfId="0" applyFont="1" applyBorder="1" applyAlignment="1">
      <alignment vertical="center" wrapText="1"/>
    </xf>
    <xf numFmtId="49" fontId="24" fillId="0" borderId="9" xfId="0" applyNumberFormat="1" applyFont="1" applyBorder="1" applyAlignment="1">
      <alignment horizontal="left" vertical="center"/>
    </xf>
    <xf numFmtId="0" fontId="27" fillId="0" borderId="9" xfId="0" applyFont="1" applyBorder="1" applyAlignment="1">
      <alignment vertical="center" wrapText="1"/>
    </xf>
    <xf numFmtId="49" fontId="25" fillId="0" borderId="9" xfId="0" quotePrefix="1" applyNumberFormat="1" applyFont="1" applyBorder="1" applyAlignment="1">
      <alignment horizontal="left" vertical="center"/>
    </xf>
    <xf numFmtId="179" fontId="27" fillId="0" borderId="9" xfId="0" applyNumberFormat="1" applyFont="1" applyBorder="1" applyAlignment="1">
      <alignment vertical="center" shrinkToFit="1"/>
    </xf>
    <xf numFmtId="0" fontId="25" fillId="5" borderId="9" xfId="0" applyFont="1" applyFill="1" applyBorder="1" applyAlignment="1">
      <alignment horizontal="left" vertical="center"/>
    </xf>
    <xf numFmtId="0" fontId="26" fillId="0" borderId="9" xfId="0" applyFont="1" applyBorder="1" applyAlignment="1">
      <alignment horizontal="left" vertical="center"/>
    </xf>
    <xf numFmtId="49" fontId="27" fillId="0" borderId="9" xfId="0" applyNumberFormat="1" applyFont="1" applyBorder="1" applyAlignment="1">
      <alignment horizontal="left" vertical="center"/>
    </xf>
    <xf numFmtId="0" fontId="28" fillId="0" borderId="0" xfId="0" applyFont="1" applyAlignment="1">
      <alignment horizontal="center" vertical="center" wrapText="1"/>
    </xf>
    <xf numFmtId="0" fontId="28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30" fillId="0" borderId="9" xfId="0" applyFont="1" applyBorder="1" applyAlignment="1">
      <alignment horizontal="center" vertical="center" wrapText="1"/>
    </xf>
    <xf numFmtId="0" fontId="21" fillId="3" borderId="0" xfId="0" applyFont="1" applyFill="1">
      <alignment vertical="center"/>
    </xf>
    <xf numFmtId="0" fontId="28" fillId="3" borderId="0" xfId="0" applyFont="1" applyFill="1" applyAlignment="1">
      <alignment horizontal="center" vertical="center" wrapText="1"/>
    </xf>
    <xf numFmtId="0" fontId="28" fillId="3" borderId="0" xfId="0" applyFont="1" applyFill="1">
      <alignment vertical="center"/>
    </xf>
    <xf numFmtId="0" fontId="22" fillId="5" borderId="9" xfId="0" applyFont="1" applyFill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22" fillId="0" borderId="9" xfId="0" applyFont="1" applyBorder="1" applyAlignment="1">
      <alignment horizontal="left" vertical="center"/>
    </xf>
    <xf numFmtId="0" fontId="23" fillId="0" borderId="31" xfId="0" applyFont="1" applyBorder="1" applyAlignment="1">
      <alignment horizontal="center" vertical="center" wrapText="1"/>
    </xf>
    <xf numFmtId="1" fontId="20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23" fillId="0" borderId="9" xfId="0" applyNumberFormat="1" applyFont="1" applyBorder="1" applyAlignment="1">
      <alignment horizontal="left" vertical="center"/>
    </xf>
    <xf numFmtId="0" fontId="20" fillId="0" borderId="6" xfId="0" applyFont="1" applyBorder="1" applyAlignment="1">
      <alignment horizontal="center" vertical="center"/>
    </xf>
    <xf numFmtId="49" fontId="20" fillId="0" borderId="6" xfId="0" applyNumberFormat="1" applyFont="1" applyBorder="1" applyAlignment="1">
      <alignment horizontal="left" vertical="center"/>
    </xf>
    <xf numFmtId="49" fontId="20" fillId="3" borderId="0" xfId="0" applyNumberFormat="1" applyFont="1" applyFill="1" applyAlignment="1">
      <alignment horizontal="center" vertical="center"/>
    </xf>
    <xf numFmtId="49" fontId="20" fillId="0" borderId="31" xfId="0" applyNumberFormat="1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49" fontId="20" fillId="0" borderId="9" xfId="0" applyNumberFormat="1" applyFont="1" applyBorder="1" applyAlignment="1">
      <alignment horizontal="center" vertical="center"/>
    </xf>
    <xf numFmtId="49" fontId="20" fillId="0" borderId="11" xfId="0" applyNumberFormat="1" applyFont="1" applyBorder="1" applyAlignment="1">
      <alignment horizontal="center" vertical="center"/>
    </xf>
    <xf numFmtId="0" fontId="32" fillId="0" borderId="0" xfId="0" applyFont="1">
      <alignment vertical="center"/>
    </xf>
    <xf numFmtId="49" fontId="22" fillId="0" borderId="9" xfId="0" quotePrefix="1" applyNumberFormat="1" applyFont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49" fontId="20" fillId="3" borderId="9" xfId="0" applyNumberFormat="1" applyFont="1" applyFill="1" applyBorder="1" applyAlignment="1">
      <alignment horizontal="left" vertical="center"/>
    </xf>
    <xf numFmtId="179" fontId="23" fillId="3" borderId="9" xfId="0" applyNumberFormat="1" applyFont="1" applyFill="1" applyBorder="1" applyAlignment="1">
      <alignment vertical="center" shrinkToFit="1"/>
    </xf>
    <xf numFmtId="49" fontId="32" fillId="0" borderId="0" xfId="0" applyNumberFormat="1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49" fontId="23" fillId="0" borderId="31" xfId="0" applyNumberFormat="1" applyFont="1" applyBorder="1" applyAlignment="1">
      <alignment horizontal="left" vertical="center"/>
    </xf>
    <xf numFmtId="0" fontId="23" fillId="0" borderId="31" xfId="0" applyFont="1" applyBorder="1" applyAlignment="1">
      <alignment vertical="center" wrapText="1"/>
    </xf>
    <xf numFmtId="0" fontId="20" fillId="0" borderId="37" xfId="0" applyFont="1" applyBorder="1" applyAlignment="1">
      <alignment horizontal="center" vertical="center"/>
    </xf>
    <xf numFmtId="49" fontId="20" fillId="0" borderId="38" xfId="0" applyNumberFormat="1" applyFont="1" applyBorder="1" applyAlignment="1">
      <alignment horizontal="left" vertical="center"/>
    </xf>
    <xf numFmtId="0" fontId="20" fillId="0" borderId="39" xfId="0" applyFont="1" applyBorder="1" applyAlignment="1">
      <alignment horizontal="center" vertical="center"/>
    </xf>
    <xf numFmtId="49" fontId="20" fillId="3" borderId="0" xfId="0" applyNumberFormat="1" applyFont="1" applyFill="1" applyAlignment="1">
      <alignment horizontal="left" vertical="center"/>
    </xf>
    <xf numFmtId="0" fontId="20" fillId="3" borderId="0" xfId="0" applyFont="1" applyFill="1" applyAlignment="1">
      <alignment horizontal="center" vertical="center"/>
    </xf>
    <xf numFmtId="0" fontId="20" fillId="3" borderId="0" xfId="0" applyFont="1" applyFill="1">
      <alignment vertical="center"/>
    </xf>
    <xf numFmtId="0" fontId="33" fillId="3" borderId="0" xfId="0" applyFont="1" applyFill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/>
    </xf>
    <xf numFmtId="49" fontId="22" fillId="0" borderId="8" xfId="0" applyNumberFormat="1" applyFont="1" applyBorder="1" applyAlignment="1">
      <alignment horizontal="left" vertical="center"/>
    </xf>
    <xf numFmtId="0" fontId="33" fillId="0" borderId="8" xfId="0" applyFont="1" applyBorder="1" applyAlignment="1">
      <alignment horizontal="center" vertical="center"/>
    </xf>
    <xf numFmtId="0" fontId="33" fillId="0" borderId="8" xfId="0" applyFont="1" applyBorder="1">
      <alignment vertical="center"/>
    </xf>
    <xf numFmtId="0" fontId="20" fillId="0" borderId="6" xfId="0" applyFont="1" applyBorder="1" applyAlignment="1">
      <alignment horizontal="center"/>
    </xf>
    <xf numFmtId="0" fontId="33" fillId="0" borderId="6" xfId="0" applyFont="1" applyBorder="1" applyAlignment="1">
      <alignment horizontal="center" vertical="center"/>
    </xf>
    <xf numFmtId="0" fontId="33" fillId="0" borderId="6" xfId="0" applyFont="1" applyBorder="1">
      <alignment vertical="center"/>
    </xf>
    <xf numFmtId="26" fontId="33" fillId="0" borderId="6" xfId="0" applyNumberFormat="1" applyFont="1" applyBorder="1" applyAlignment="1">
      <alignment horizontal="center" vertical="center"/>
    </xf>
    <xf numFmtId="178" fontId="23" fillId="0" borderId="5" xfId="0" applyNumberFormat="1" applyFont="1" applyBorder="1" applyAlignment="1">
      <alignment horizontal="center" vertical="center"/>
    </xf>
    <xf numFmtId="49" fontId="20" fillId="0" borderId="5" xfId="0" applyNumberFormat="1" applyFont="1" applyBorder="1" applyAlignment="1">
      <alignment horizontal="center" vertical="center"/>
    </xf>
    <xf numFmtId="0" fontId="23" fillId="3" borderId="9" xfId="0" applyFont="1" applyFill="1" applyBorder="1" applyAlignment="1">
      <alignment horizontal="left" vertical="center"/>
    </xf>
    <xf numFmtId="0" fontId="23" fillId="0" borderId="9" xfId="0" applyFont="1" applyBorder="1" applyAlignment="1">
      <alignment horizontal="center" vertical="center" wrapText="1"/>
    </xf>
    <xf numFmtId="178" fontId="23" fillId="0" borderId="9" xfId="0" applyNumberFormat="1" applyFont="1" applyBorder="1" applyAlignment="1">
      <alignment horizontal="center" vertical="center"/>
    </xf>
    <xf numFmtId="177" fontId="20" fillId="0" borderId="9" xfId="0" applyNumberFormat="1" applyFont="1" applyBorder="1" applyAlignment="1">
      <alignment horizontal="center" vertical="center"/>
    </xf>
    <xf numFmtId="0" fontId="23" fillId="0" borderId="10" xfId="0" applyFont="1" applyBorder="1" applyAlignment="1">
      <alignment horizontal="left" vertical="center"/>
    </xf>
    <xf numFmtId="179" fontId="23" fillId="0" borderId="10" xfId="0" applyNumberFormat="1" applyFont="1" applyBorder="1" applyAlignment="1">
      <alignment horizontal="center" vertical="center" shrinkToFit="1"/>
    </xf>
    <xf numFmtId="1" fontId="20" fillId="0" borderId="10" xfId="0" applyNumberFormat="1" applyFont="1" applyBorder="1" applyAlignment="1">
      <alignment horizontal="center" vertical="center"/>
    </xf>
    <xf numFmtId="178" fontId="23" fillId="0" borderId="10" xfId="0" applyNumberFormat="1" applyFont="1" applyBorder="1" applyAlignment="1">
      <alignment horizontal="center" vertical="center"/>
    </xf>
    <xf numFmtId="177" fontId="20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/>
    </xf>
    <xf numFmtId="49" fontId="22" fillId="3" borderId="31" xfId="0" applyNumberFormat="1" applyFont="1" applyFill="1" applyBorder="1">
      <alignment vertical="center"/>
    </xf>
    <xf numFmtId="0" fontId="23" fillId="0" borderId="31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49" fontId="23" fillId="0" borderId="31" xfId="0" quotePrefix="1" applyNumberFormat="1" applyFont="1" applyBorder="1" applyAlignment="1">
      <alignment horizontal="left" vertical="center"/>
    </xf>
    <xf numFmtId="179" fontId="23" fillId="0" borderId="31" xfId="0" applyNumberFormat="1" applyFont="1" applyBorder="1" applyAlignment="1">
      <alignment vertical="center" shrinkToFit="1"/>
    </xf>
    <xf numFmtId="49" fontId="22" fillId="0" borderId="6" xfId="0" quotePrefix="1" applyNumberFormat="1" applyFont="1" applyBorder="1" applyAlignment="1">
      <alignment horizontal="left" vertical="center"/>
    </xf>
    <xf numFmtId="0" fontId="23" fillId="0" borderId="6" xfId="0" applyFont="1" applyBorder="1" applyAlignment="1">
      <alignment horizontal="left" vertical="center"/>
    </xf>
    <xf numFmtId="179" fontId="23" fillId="0" borderId="6" xfId="0" applyNumberFormat="1" applyFont="1" applyBorder="1" applyAlignment="1">
      <alignment vertical="center" shrinkToFit="1"/>
    </xf>
    <xf numFmtId="179" fontId="23" fillId="0" borderId="6" xfId="0" applyNumberFormat="1" applyFont="1" applyBorder="1" applyAlignment="1">
      <alignment horizontal="center" vertical="center" shrinkToFit="1"/>
    </xf>
    <xf numFmtId="178" fontId="23" fillId="0" borderId="6" xfId="0" applyNumberFormat="1" applyFont="1" applyBorder="1" applyAlignment="1">
      <alignment horizontal="center" vertical="center"/>
    </xf>
    <xf numFmtId="177" fontId="20" fillId="0" borderId="6" xfId="0" applyNumberFormat="1" applyFont="1" applyBorder="1" applyAlignment="1">
      <alignment horizontal="center" vertical="center"/>
    </xf>
    <xf numFmtId="49" fontId="20" fillId="0" borderId="6" xfId="0" applyNumberFormat="1" applyFont="1" applyBorder="1" applyAlignment="1">
      <alignment horizontal="center" vertical="center"/>
    </xf>
    <xf numFmtId="49" fontId="22" fillId="3" borderId="37" xfId="0" applyNumberFormat="1" applyFont="1" applyFill="1" applyBorder="1" applyAlignment="1">
      <alignment horizontal="center" vertical="center"/>
    </xf>
    <xf numFmtId="49" fontId="22" fillId="0" borderId="38" xfId="0" quotePrefix="1" applyNumberFormat="1" applyFont="1" applyBorder="1" applyAlignment="1">
      <alignment horizontal="left" vertical="center"/>
    </xf>
    <xf numFmtId="0" fontId="23" fillId="0" borderId="38" xfId="0" applyFont="1" applyBorder="1" applyAlignment="1">
      <alignment horizontal="left" vertical="center"/>
    </xf>
    <xf numFmtId="179" fontId="23" fillId="0" borderId="38" xfId="0" applyNumberFormat="1" applyFont="1" applyBorder="1" applyAlignment="1">
      <alignment vertical="center" shrinkToFit="1"/>
    </xf>
    <xf numFmtId="179" fontId="23" fillId="0" borderId="38" xfId="0" applyNumberFormat="1" applyFont="1" applyBorder="1" applyAlignment="1">
      <alignment horizontal="center" vertical="center" shrinkToFit="1"/>
    </xf>
    <xf numFmtId="178" fontId="23" fillId="0" borderId="38" xfId="0" applyNumberFormat="1" applyFont="1" applyBorder="1" applyAlignment="1">
      <alignment horizontal="center" vertical="center"/>
    </xf>
    <xf numFmtId="177" fontId="20" fillId="0" borderId="38" xfId="0" applyNumberFormat="1" applyFont="1" applyBorder="1" applyAlignment="1">
      <alignment horizontal="center" vertical="center"/>
    </xf>
    <xf numFmtId="49" fontId="20" fillId="0" borderId="38" xfId="0" applyNumberFormat="1" applyFont="1" applyBorder="1" applyAlignment="1">
      <alignment horizontal="center" vertical="center"/>
    </xf>
    <xf numFmtId="0" fontId="31" fillId="0" borderId="9" xfId="0" applyFont="1" applyBorder="1" applyAlignment="1">
      <alignment horizontal="left" vertical="center"/>
    </xf>
    <xf numFmtId="0" fontId="23" fillId="0" borderId="9" xfId="0" applyFont="1" applyBorder="1" applyAlignment="1">
      <alignment horizontal="center" vertical="center"/>
    </xf>
    <xf numFmtId="49" fontId="23" fillId="3" borderId="9" xfId="0" applyNumberFormat="1" applyFont="1" applyFill="1" applyBorder="1" applyAlignment="1">
      <alignment horizontal="left" vertical="center"/>
    </xf>
    <xf numFmtId="0" fontId="23" fillId="3" borderId="9" xfId="0" applyFont="1" applyFill="1" applyBorder="1" applyAlignment="1">
      <alignment horizontal="center" vertical="center" wrapText="1"/>
    </xf>
    <xf numFmtId="179" fontId="23" fillId="0" borderId="9" xfId="0" applyNumberFormat="1" applyFont="1" applyBorder="1" applyAlignment="1">
      <alignment horizontal="center" vertical="center" shrinkToFit="1"/>
    </xf>
    <xf numFmtId="179" fontId="20" fillId="0" borderId="9" xfId="0" applyNumberFormat="1" applyFont="1" applyBorder="1" applyAlignment="1">
      <alignment vertical="center" shrinkToFit="1"/>
    </xf>
    <xf numFmtId="49" fontId="34" fillId="0" borderId="9" xfId="0" quotePrefix="1" applyNumberFormat="1" applyFont="1" applyBorder="1" applyAlignment="1">
      <alignment horizontal="left" vertical="center" wrapText="1"/>
    </xf>
    <xf numFmtId="179" fontId="20" fillId="0" borderId="10" xfId="0" applyNumberFormat="1" applyFont="1" applyBorder="1" applyAlignment="1">
      <alignment vertical="center" shrinkToFit="1"/>
    </xf>
    <xf numFmtId="0" fontId="20" fillId="0" borderId="10" xfId="0" applyFont="1" applyBorder="1" applyAlignment="1">
      <alignment horizontal="left" vertical="center"/>
    </xf>
    <xf numFmtId="49" fontId="34" fillId="0" borderId="10" xfId="0" quotePrefix="1" applyNumberFormat="1" applyFont="1" applyBorder="1" applyAlignment="1">
      <alignment horizontal="left" vertical="center" wrapText="1"/>
    </xf>
    <xf numFmtId="49" fontId="22" fillId="3" borderId="16" xfId="0" applyNumberFormat="1" applyFont="1" applyFill="1" applyBorder="1">
      <alignment vertical="center"/>
    </xf>
    <xf numFmtId="179" fontId="20" fillId="0" borderId="11" xfId="0" applyNumberFormat="1" applyFont="1" applyBorder="1" applyAlignment="1">
      <alignment vertical="center" shrinkToFit="1"/>
    </xf>
    <xf numFmtId="0" fontId="20" fillId="0" borderId="11" xfId="0" applyFont="1" applyBorder="1" applyAlignment="1">
      <alignment horizontal="left" vertical="center"/>
    </xf>
    <xf numFmtId="49" fontId="34" fillId="0" borderId="11" xfId="0" quotePrefix="1" applyNumberFormat="1" applyFont="1" applyBorder="1" applyAlignment="1">
      <alignment horizontal="left" vertical="center" wrapText="1"/>
    </xf>
    <xf numFmtId="177" fontId="20" fillId="0" borderId="11" xfId="0" applyNumberFormat="1" applyFont="1" applyBorder="1" applyAlignment="1">
      <alignment horizontal="center" vertical="center"/>
    </xf>
    <xf numFmtId="0" fontId="20" fillId="0" borderId="17" xfId="0" applyFont="1" applyBorder="1">
      <alignment vertical="center"/>
    </xf>
    <xf numFmtId="0" fontId="23" fillId="0" borderId="8" xfId="0" applyFont="1" applyBorder="1" applyAlignment="1">
      <alignment horizontal="left" vertical="center"/>
    </xf>
    <xf numFmtId="0" fontId="20" fillId="0" borderId="9" xfId="0" applyFont="1" applyBorder="1" applyAlignment="1">
      <alignment horizontal="center"/>
    </xf>
    <xf numFmtId="0" fontId="22" fillId="3" borderId="9" xfId="0" applyFont="1" applyFill="1" applyBorder="1" applyAlignment="1">
      <alignment horizontal="left" vertical="center"/>
    </xf>
    <xf numFmtId="0" fontId="20" fillId="0" borderId="9" xfId="0" applyFont="1" applyBorder="1">
      <alignment vertical="center"/>
    </xf>
    <xf numFmtId="180" fontId="20" fillId="0" borderId="9" xfId="2" applyNumberFormat="1" applyFont="1" applyFill="1" applyBorder="1" applyAlignment="1">
      <alignment horizontal="center" vertical="center"/>
    </xf>
    <xf numFmtId="6" fontId="20" fillId="0" borderId="9" xfId="12" applyFont="1" applyFill="1" applyBorder="1" applyAlignment="1">
      <alignment horizontal="center" vertical="center"/>
    </xf>
    <xf numFmtId="0" fontId="20" fillId="0" borderId="9" xfId="0" applyFont="1" applyBorder="1" applyAlignment="1">
      <alignment vertical="center" shrinkToFit="1"/>
    </xf>
    <xf numFmtId="184" fontId="20" fillId="0" borderId="9" xfId="2" applyNumberFormat="1" applyFont="1" applyFill="1" applyBorder="1" applyAlignment="1">
      <alignment horizontal="center" vertical="center"/>
    </xf>
    <xf numFmtId="0" fontId="22" fillId="5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>
      <alignment horizontal="center" vertical="center"/>
    </xf>
    <xf numFmtId="56" fontId="20" fillId="0" borderId="9" xfId="0" applyNumberFormat="1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49" fontId="20" fillId="0" borderId="0" xfId="0" applyNumberFormat="1" applyFont="1" applyAlignment="1">
      <alignment horizontal="left" vertical="center"/>
    </xf>
    <xf numFmtId="0" fontId="20" fillId="0" borderId="0" xfId="0" applyFont="1">
      <alignment vertical="center"/>
    </xf>
    <xf numFmtId="49" fontId="20" fillId="3" borderId="9" xfId="0" applyNumberFormat="1" applyFont="1" applyFill="1" applyBorder="1" applyAlignment="1">
      <alignment horizontal="center" vertical="center"/>
    </xf>
    <xf numFmtId="49" fontId="32" fillId="3" borderId="9" xfId="0" applyNumberFormat="1" applyFont="1" applyFill="1" applyBorder="1" applyAlignment="1">
      <alignment horizontal="left" vertical="center"/>
    </xf>
    <xf numFmtId="0" fontId="32" fillId="3" borderId="9" xfId="0" applyFont="1" applyFill="1" applyBorder="1">
      <alignment vertical="center"/>
    </xf>
    <xf numFmtId="0" fontId="32" fillId="3" borderId="9" xfId="0" applyFont="1" applyFill="1" applyBorder="1" applyAlignment="1">
      <alignment horizontal="center" vertical="center"/>
    </xf>
    <xf numFmtId="49" fontId="20" fillId="3" borderId="9" xfId="0" applyNumberFormat="1" applyFont="1" applyFill="1" applyBorder="1">
      <alignment vertical="center"/>
    </xf>
    <xf numFmtId="49" fontId="22" fillId="3" borderId="9" xfId="0" applyNumberFormat="1" applyFont="1" applyFill="1" applyBorder="1" applyAlignment="1">
      <alignment horizontal="center" vertical="center"/>
    </xf>
    <xf numFmtId="49" fontId="22" fillId="0" borderId="9" xfId="0" applyNumberFormat="1" applyFont="1" applyBorder="1" applyAlignment="1">
      <alignment horizontal="center" vertical="center"/>
    </xf>
    <xf numFmtId="179" fontId="23" fillId="0" borderId="31" xfId="0" applyNumberFormat="1" applyFont="1" applyBorder="1" applyAlignment="1">
      <alignment horizontal="center" vertical="center" shrinkToFit="1"/>
    </xf>
    <xf numFmtId="0" fontId="32" fillId="0" borderId="9" xfId="0" applyFont="1" applyBorder="1">
      <alignment vertical="center"/>
    </xf>
    <xf numFmtId="49" fontId="28" fillId="3" borderId="0" xfId="0" applyNumberFormat="1" applyFont="1" applyFill="1" applyAlignment="1">
      <alignment horizontal="center" vertical="center" wrapText="1"/>
    </xf>
    <xf numFmtId="0" fontId="35" fillId="3" borderId="0" xfId="0" applyFont="1" applyFill="1" applyAlignment="1">
      <alignment horizontal="center" vertical="center"/>
    </xf>
    <xf numFmtId="49" fontId="29" fillId="0" borderId="9" xfId="0" applyNumberFormat="1" applyFont="1" applyBorder="1" applyAlignment="1">
      <alignment horizontal="center" vertical="center"/>
    </xf>
    <xf numFmtId="0" fontId="36" fillId="3" borderId="9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49" fontId="30" fillId="0" borderId="9" xfId="0" applyNumberFormat="1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/>
    </xf>
    <xf numFmtId="49" fontId="38" fillId="6" borderId="9" xfId="0" quotePrefix="1" applyNumberFormat="1" applyFont="1" applyFill="1" applyBorder="1" applyAlignment="1">
      <alignment horizontal="center" vertical="center" wrapText="1"/>
    </xf>
    <xf numFmtId="0" fontId="39" fillId="3" borderId="9" xfId="0" applyFont="1" applyFill="1" applyBorder="1" applyAlignment="1">
      <alignment horizontal="center" vertical="center" wrapText="1"/>
    </xf>
    <xf numFmtId="179" fontId="40" fillId="0" borderId="9" xfId="0" applyNumberFormat="1" applyFont="1" applyBorder="1" applyAlignment="1">
      <alignment horizontal="center" vertical="center" wrapText="1" shrinkToFit="1"/>
    </xf>
    <xf numFmtId="0" fontId="40" fillId="0" borderId="9" xfId="0" applyFont="1" applyBorder="1" applyAlignment="1">
      <alignment horizontal="center" vertical="center" wrapText="1"/>
    </xf>
    <xf numFmtId="0" fontId="40" fillId="0" borderId="9" xfId="0" applyFont="1" applyBorder="1">
      <alignment vertical="center"/>
    </xf>
    <xf numFmtId="0" fontId="40" fillId="0" borderId="0" xfId="0" applyFont="1" applyAlignment="1">
      <alignment horizontal="center" vertical="center" wrapText="1"/>
    </xf>
    <xf numFmtId="3" fontId="20" fillId="0" borderId="9" xfId="0" applyNumberFormat="1" applyFont="1" applyBorder="1" applyAlignment="1">
      <alignment horizontal="center" vertical="center"/>
    </xf>
    <xf numFmtId="177" fontId="20" fillId="0" borderId="9" xfId="0" applyNumberFormat="1" applyFont="1" applyBorder="1" applyAlignment="1">
      <alignment horizontal="center" vertical="center" shrinkToFit="1"/>
    </xf>
    <xf numFmtId="177" fontId="20" fillId="3" borderId="9" xfId="0" applyNumberFormat="1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vertical="center"/>
    </xf>
    <xf numFmtId="3" fontId="20" fillId="3" borderId="9" xfId="0" applyNumberFormat="1" applyFont="1" applyFill="1" applyBorder="1" applyAlignment="1">
      <alignment horizontal="center" vertical="center" shrinkToFit="1"/>
    </xf>
    <xf numFmtId="0" fontId="20" fillId="3" borderId="9" xfId="0" applyFont="1" applyFill="1" applyBorder="1" applyAlignment="1">
      <alignment horizontal="center" vertical="center"/>
    </xf>
    <xf numFmtId="177" fontId="20" fillId="3" borderId="9" xfId="0" applyNumberFormat="1" applyFont="1" applyFill="1" applyBorder="1" applyAlignment="1">
      <alignment horizontal="center" vertical="center" shrinkToFit="1"/>
    </xf>
    <xf numFmtId="3" fontId="20" fillId="3" borderId="9" xfId="0" applyNumberFormat="1" applyFont="1" applyFill="1" applyBorder="1" applyAlignment="1">
      <alignment horizontal="center" vertical="center"/>
    </xf>
    <xf numFmtId="6" fontId="20" fillId="3" borderId="9" xfId="12" applyFont="1" applyFill="1" applyBorder="1" applyAlignment="1">
      <alignment horizontal="center" vertical="center"/>
    </xf>
    <xf numFmtId="49" fontId="23" fillId="0" borderId="9" xfId="0" applyNumberFormat="1" applyFont="1" applyBorder="1" applyAlignment="1">
      <alignment horizontal="center" vertical="center"/>
    </xf>
    <xf numFmtId="49" fontId="23" fillId="5" borderId="9" xfId="0" applyNumberFormat="1" applyFont="1" applyFill="1" applyBorder="1" applyAlignment="1">
      <alignment horizontal="left" vertical="center"/>
    </xf>
    <xf numFmtId="49" fontId="20" fillId="5" borderId="9" xfId="0" applyNumberFormat="1" applyFont="1" applyFill="1" applyBorder="1" applyAlignment="1">
      <alignment horizontal="left" vertical="center"/>
    </xf>
    <xf numFmtId="0" fontId="33" fillId="5" borderId="9" xfId="0" applyFont="1" applyFill="1" applyBorder="1" applyAlignment="1">
      <alignment horizontal="center" vertical="center"/>
    </xf>
    <xf numFmtId="0" fontId="31" fillId="5" borderId="5" xfId="0" applyFont="1" applyFill="1" applyBorder="1" applyAlignment="1">
      <alignment horizontal="left" vertical="center"/>
    </xf>
    <xf numFmtId="0" fontId="20" fillId="5" borderId="5" xfId="0" applyFont="1" applyFill="1" applyBorder="1" applyAlignment="1">
      <alignment horizontal="center" vertical="center"/>
    </xf>
    <xf numFmtId="49" fontId="22" fillId="5" borderId="31" xfId="0" quotePrefix="1" applyNumberFormat="1" applyFont="1" applyFill="1" applyBorder="1" applyAlignment="1">
      <alignment horizontal="left" vertical="center"/>
    </xf>
    <xf numFmtId="0" fontId="23" fillId="5" borderId="31" xfId="0" applyFont="1" applyFill="1" applyBorder="1" applyAlignment="1">
      <alignment horizontal="left" vertical="center"/>
    </xf>
    <xf numFmtId="49" fontId="22" fillId="5" borderId="9" xfId="0" quotePrefix="1" applyNumberFormat="1" applyFont="1" applyFill="1" applyBorder="1" applyAlignment="1">
      <alignment horizontal="left" vertical="center"/>
    </xf>
    <xf numFmtId="0" fontId="23" fillId="5" borderId="9" xfId="0" applyFont="1" applyFill="1" applyBorder="1" applyAlignment="1">
      <alignment horizontal="left" vertical="center"/>
    </xf>
    <xf numFmtId="0" fontId="31" fillId="5" borderId="9" xfId="0" applyFont="1" applyFill="1" applyBorder="1" applyAlignment="1">
      <alignment horizontal="left" vertical="center"/>
    </xf>
    <xf numFmtId="0" fontId="20" fillId="5" borderId="9" xfId="0" applyFont="1" applyFill="1" applyBorder="1" applyAlignment="1">
      <alignment horizontal="center" vertical="center"/>
    </xf>
    <xf numFmtId="49" fontId="22" fillId="3" borderId="9" xfId="0" quotePrefix="1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left" vertical="center"/>
    </xf>
    <xf numFmtId="49" fontId="22" fillId="0" borderId="8" xfId="0" quotePrefix="1" applyNumberFormat="1" applyFont="1" applyBorder="1" applyAlignment="1">
      <alignment horizontal="left" vertical="center"/>
    </xf>
    <xf numFmtId="0" fontId="42" fillId="0" borderId="0" xfId="0" applyFont="1">
      <alignment vertical="center"/>
    </xf>
    <xf numFmtId="0" fontId="43" fillId="3" borderId="0" xfId="0" applyFont="1" applyFill="1">
      <alignment vertical="center"/>
    </xf>
    <xf numFmtId="0" fontId="44" fillId="3" borderId="0" xfId="0" applyFont="1" applyFill="1">
      <alignment vertical="center"/>
    </xf>
    <xf numFmtId="0" fontId="45" fillId="3" borderId="0" xfId="0" applyFont="1" applyFill="1">
      <alignment vertical="center"/>
    </xf>
    <xf numFmtId="0" fontId="46" fillId="3" borderId="0" xfId="0" applyFont="1" applyFill="1">
      <alignment vertical="center"/>
    </xf>
    <xf numFmtId="0" fontId="20" fillId="3" borderId="1" xfId="0" applyFont="1" applyFill="1" applyBorder="1">
      <alignment vertical="center"/>
    </xf>
    <xf numFmtId="0" fontId="21" fillId="3" borderId="1" xfId="0" applyFont="1" applyFill="1" applyBorder="1">
      <alignment vertical="center"/>
    </xf>
    <xf numFmtId="0" fontId="47" fillId="3" borderId="0" xfId="0" applyFont="1" applyFill="1">
      <alignment vertical="center"/>
    </xf>
    <xf numFmtId="0" fontId="45" fillId="3" borderId="2" xfId="0" applyFont="1" applyFill="1" applyBorder="1">
      <alignment vertical="center"/>
    </xf>
    <xf numFmtId="0" fontId="47" fillId="3" borderId="3" xfId="0" applyFont="1" applyFill="1" applyBorder="1">
      <alignment vertical="center"/>
    </xf>
    <xf numFmtId="0" fontId="47" fillId="3" borderId="2" xfId="0" applyFont="1" applyFill="1" applyBorder="1">
      <alignment vertical="center"/>
    </xf>
    <xf numFmtId="0" fontId="45" fillId="3" borderId="13" xfId="0" applyFont="1" applyFill="1" applyBorder="1">
      <alignment vertical="center"/>
    </xf>
    <xf numFmtId="0" fontId="20" fillId="3" borderId="21" xfId="0" applyFont="1" applyFill="1" applyBorder="1" applyAlignment="1">
      <alignment horizontal="left" vertical="center"/>
    </xf>
    <xf numFmtId="0" fontId="20" fillId="3" borderId="22" xfId="0" applyFont="1" applyFill="1" applyBorder="1">
      <alignment vertical="center"/>
    </xf>
    <xf numFmtId="0" fontId="20" fillId="3" borderId="24" xfId="0" applyFont="1" applyFill="1" applyBorder="1">
      <alignment vertical="center"/>
    </xf>
    <xf numFmtId="0" fontId="45" fillId="3" borderId="23" xfId="0" applyFont="1" applyFill="1" applyBorder="1">
      <alignment vertical="center"/>
    </xf>
    <xf numFmtId="0" fontId="47" fillId="3" borderId="23" xfId="0" applyFont="1" applyFill="1" applyBorder="1" applyAlignment="1">
      <alignment horizontal="left" vertical="center"/>
    </xf>
    <xf numFmtId="0" fontId="45" fillId="3" borderId="7" xfId="0" applyFont="1" applyFill="1" applyBorder="1">
      <alignment vertical="center"/>
    </xf>
    <xf numFmtId="0" fontId="20" fillId="3" borderId="23" xfId="0" applyFont="1" applyFill="1" applyBorder="1" applyAlignment="1">
      <alignment horizontal="left" vertical="center"/>
    </xf>
    <xf numFmtId="49" fontId="20" fillId="3" borderId="21" xfId="0" applyNumberFormat="1" applyFont="1" applyFill="1" applyBorder="1" applyAlignment="1">
      <alignment horizontal="left" vertical="center"/>
    </xf>
    <xf numFmtId="49" fontId="20" fillId="3" borderId="22" xfId="0" applyNumberFormat="1" applyFont="1" applyFill="1" applyBorder="1">
      <alignment vertical="center"/>
    </xf>
    <xf numFmtId="49" fontId="20" fillId="3" borderId="24" xfId="0" applyNumberFormat="1" applyFont="1" applyFill="1" applyBorder="1">
      <alignment vertical="center"/>
    </xf>
    <xf numFmtId="0" fontId="45" fillId="3" borderId="22" xfId="0" applyFont="1" applyFill="1" applyBorder="1">
      <alignment vertical="center"/>
    </xf>
    <xf numFmtId="0" fontId="45" fillId="3" borderId="25" xfId="0" applyFont="1" applyFill="1" applyBorder="1">
      <alignment vertical="center"/>
    </xf>
    <xf numFmtId="0" fontId="22" fillId="5" borderId="23" xfId="0" applyFont="1" applyFill="1" applyBorder="1" applyAlignment="1">
      <alignment horizontal="left" vertical="center"/>
    </xf>
    <xf numFmtId="0" fontId="47" fillId="3" borderId="23" xfId="0" applyFont="1" applyFill="1" applyBorder="1">
      <alignment vertical="center"/>
    </xf>
    <xf numFmtId="0" fontId="20" fillId="3" borderId="7" xfId="0" applyFont="1" applyFill="1" applyBorder="1">
      <alignment vertical="center"/>
    </xf>
    <xf numFmtId="0" fontId="45" fillId="3" borderId="21" xfId="0" applyFont="1" applyFill="1" applyBorder="1">
      <alignment vertical="center"/>
    </xf>
    <xf numFmtId="0" fontId="47" fillId="3" borderId="0" xfId="0" applyFont="1" applyFill="1" applyAlignment="1">
      <alignment horizontal="center"/>
    </xf>
    <xf numFmtId="0" fontId="47" fillId="3" borderId="0" xfId="0" applyFont="1" applyFill="1" applyAlignment="1">
      <alignment horizontal="left"/>
    </xf>
    <xf numFmtId="0" fontId="48" fillId="3" borderId="0" xfId="0" applyFont="1" applyFill="1">
      <alignment vertical="center"/>
    </xf>
    <xf numFmtId="0" fontId="24" fillId="3" borderId="0" xfId="0" applyFont="1" applyFill="1" applyAlignment="1">
      <alignment horizontal="right"/>
    </xf>
    <xf numFmtId="0" fontId="20" fillId="3" borderId="0" xfId="0" applyFont="1" applyFill="1" applyAlignment="1">
      <alignment horizontal="right" vertical="center"/>
    </xf>
    <xf numFmtId="0" fontId="20" fillId="3" borderId="0" xfId="0" applyFont="1" applyFill="1" applyAlignment="1">
      <alignment horizontal="left" vertical="center"/>
    </xf>
    <xf numFmtId="0" fontId="49" fillId="3" borderId="26" xfId="0" applyFont="1" applyFill="1" applyBorder="1" applyAlignment="1">
      <alignment horizontal="center" vertical="center"/>
    </xf>
    <xf numFmtId="0" fontId="49" fillId="3" borderId="26" xfId="0" applyFont="1" applyFill="1" applyBorder="1">
      <alignment vertical="center"/>
    </xf>
    <xf numFmtId="0" fontId="49" fillId="3" borderId="5" xfId="0" applyFont="1" applyFill="1" applyBorder="1" applyAlignment="1">
      <alignment horizontal="center" vertical="center"/>
    </xf>
    <xf numFmtId="0" fontId="49" fillId="3" borderId="27" xfId="0" applyFont="1" applyFill="1" applyBorder="1" applyAlignment="1">
      <alignment horizontal="center" vertical="center"/>
    </xf>
    <xf numFmtId="0" fontId="50" fillId="0" borderId="0" xfId="0" applyFont="1">
      <alignment vertical="center"/>
    </xf>
    <xf numFmtId="0" fontId="45" fillId="3" borderId="0" xfId="0" applyFont="1" applyFill="1" applyAlignment="1">
      <alignment horizontal="center" vertical="center"/>
    </xf>
    <xf numFmtId="0" fontId="45" fillId="3" borderId="0" xfId="0" applyFont="1" applyFill="1" applyAlignment="1">
      <alignment horizontal="left" vertical="center"/>
    </xf>
    <xf numFmtId="0" fontId="45" fillId="3" borderId="6" xfId="0" applyFont="1" applyFill="1" applyBorder="1">
      <alignment vertical="center"/>
    </xf>
    <xf numFmtId="0" fontId="33" fillId="3" borderId="0" xfId="0" applyFont="1" applyFill="1" applyAlignment="1">
      <alignment horizontal="center"/>
    </xf>
    <xf numFmtId="0" fontId="33" fillId="3" borderId="0" xfId="0" applyFont="1" applyFill="1" applyAlignment="1">
      <alignment horizontal="left" vertical="center"/>
    </xf>
    <xf numFmtId="0" fontId="33" fillId="3" borderId="4" xfId="0" applyFont="1" applyFill="1" applyBorder="1" applyAlignment="1">
      <alignment horizontal="center" vertical="center"/>
    </xf>
    <xf numFmtId="26" fontId="33" fillId="3" borderId="0" xfId="0" applyNumberFormat="1" applyFont="1" applyFill="1" applyAlignment="1">
      <alignment horizontal="left" vertical="center"/>
    </xf>
    <xf numFmtId="0" fontId="20" fillId="3" borderId="23" xfId="0" applyFont="1" applyFill="1" applyBorder="1">
      <alignment vertical="center"/>
    </xf>
    <xf numFmtId="0" fontId="48" fillId="3" borderId="0" xfId="0" applyFont="1" applyFill="1" applyAlignment="1">
      <alignment horizontal="center"/>
    </xf>
    <xf numFmtId="180" fontId="23" fillId="3" borderId="4" xfId="2" applyNumberFormat="1" applyFont="1" applyFill="1" applyBorder="1" applyAlignment="1">
      <alignment horizontal="center" vertical="center"/>
    </xf>
    <xf numFmtId="1" fontId="23" fillId="3" borderId="4" xfId="2" applyNumberFormat="1" applyFont="1" applyFill="1" applyBorder="1" applyAlignment="1">
      <alignment horizontal="center" vertical="center"/>
    </xf>
    <xf numFmtId="6" fontId="23" fillId="3" borderId="4" xfId="12" applyFont="1" applyFill="1" applyBorder="1" applyAlignment="1">
      <alignment horizontal="center" vertical="center"/>
    </xf>
    <xf numFmtId="184" fontId="23" fillId="3" borderId="4" xfId="2" applyNumberFormat="1" applyFont="1" applyFill="1" applyBorder="1" applyAlignment="1">
      <alignment horizontal="center" vertical="center"/>
    </xf>
    <xf numFmtId="180" fontId="23" fillId="3" borderId="4" xfId="2" applyNumberFormat="1" applyFont="1" applyFill="1" applyBorder="1" applyAlignment="1">
      <alignment horizontal="right" vertical="center"/>
    </xf>
    <xf numFmtId="1" fontId="23" fillId="3" borderId="31" xfId="2" applyNumberFormat="1" applyFont="1" applyFill="1" applyBorder="1" applyAlignment="1">
      <alignment horizontal="left" vertical="center"/>
    </xf>
    <xf numFmtId="177" fontId="23" fillId="3" borderId="23" xfId="2" applyNumberFormat="1" applyFont="1" applyFill="1" applyBorder="1" applyAlignment="1">
      <alignment horizontal="right" vertical="center"/>
    </xf>
    <xf numFmtId="0" fontId="20" fillId="3" borderId="0" xfId="0" applyFont="1" applyFill="1" applyAlignment="1">
      <alignment horizontal="center"/>
    </xf>
    <xf numFmtId="0" fontId="23" fillId="3" borderId="4" xfId="2" applyNumberFormat="1" applyFont="1" applyFill="1" applyBorder="1" applyAlignment="1">
      <alignment horizontal="right" vertical="center"/>
    </xf>
    <xf numFmtId="1" fontId="23" fillId="3" borderId="4" xfId="2" applyNumberFormat="1" applyFont="1" applyFill="1" applyBorder="1" applyAlignment="1">
      <alignment horizontal="left" vertical="center"/>
    </xf>
    <xf numFmtId="0" fontId="20" fillId="3" borderId="28" xfId="0" applyFont="1" applyFill="1" applyBorder="1" applyAlignment="1">
      <alignment horizontal="left" vertical="center"/>
    </xf>
    <xf numFmtId="181" fontId="20" fillId="3" borderId="28" xfId="2" applyNumberFormat="1" applyFont="1" applyFill="1" applyBorder="1" applyAlignment="1">
      <alignment horizontal="left" vertical="center" indent="1"/>
    </xf>
    <xf numFmtId="181" fontId="20" fillId="3" borderId="28" xfId="2" applyNumberFormat="1" applyFont="1" applyFill="1" applyBorder="1" applyAlignment="1">
      <alignment vertical="center"/>
    </xf>
    <xf numFmtId="181" fontId="20" fillId="3" borderId="28" xfId="2" applyNumberFormat="1" applyFont="1" applyFill="1" applyBorder="1" applyAlignment="1">
      <alignment horizontal="right" vertical="center"/>
    </xf>
    <xf numFmtId="182" fontId="23" fillId="3" borderId="28" xfId="0" applyNumberFormat="1" applyFont="1" applyFill="1" applyBorder="1" applyAlignment="1">
      <alignment horizontal="left" vertical="center"/>
    </xf>
    <xf numFmtId="0" fontId="23" fillId="3" borderId="28" xfId="0" applyFont="1" applyFill="1" applyBorder="1" applyAlignment="1">
      <alignment horizontal="right" vertical="center"/>
    </xf>
    <xf numFmtId="184" fontId="20" fillId="3" borderId="28" xfId="0" applyNumberFormat="1" applyFont="1" applyFill="1" applyBorder="1">
      <alignment vertical="center"/>
    </xf>
    <xf numFmtId="178" fontId="23" fillId="3" borderId="28" xfId="0" applyNumberFormat="1" applyFont="1" applyFill="1" applyBorder="1" applyAlignment="1">
      <alignment horizontal="right" vertical="center"/>
    </xf>
    <xf numFmtId="0" fontId="20" fillId="3" borderId="28" xfId="0" applyFont="1" applyFill="1" applyBorder="1">
      <alignment vertical="center"/>
    </xf>
    <xf numFmtId="178" fontId="23" fillId="3" borderId="28" xfId="0" applyNumberFormat="1" applyFont="1" applyFill="1" applyBorder="1" applyAlignment="1">
      <alignment horizontal="center" vertical="center"/>
    </xf>
    <xf numFmtId="0" fontId="20" fillId="3" borderId="0" xfId="0" quotePrefix="1" applyFont="1" applyFill="1">
      <alignment vertical="center"/>
    </xf>
    <xf numFmtId="0" fontId="20" fillId="3" borderId="0" xfId="0" quotePrefix="1" applyFont="1" applyFill="1" applyAlignment="1">
      <alignment horizontal="left" vertical="center"/>
    </xf>
    <xf numFmtId="26" fontId="20" fillId="3" borderId="0" xfId="0" applyNumberFormat="1" applyFont="1" applyFill="1">
      <alignment vertical="center"/>
    </xf>
    <xf numFmtId="49" fontId="20" fillId="3" borderId="0" xfId="0" applyNumberFormat="1" applyFont="1" applyFill="1" applyAlignment="1">
      <alignment horizontal="right"/>
    </xf>
    <xf numFmtId="0" fontId="20" fillId="3" borderId="0" xfId="0" applyFont="1" applyFill="1" applyAlignment="1">
      <alignment horizontal="left"/>
    </xf>
    <xf numFmtId="183" fontId="20" fillId="3" borderId="0" xfId="0" applyNumberFormat="1" applyFont="1" applyFill="1">
      <alignment vertical="center"/>
    </xf>
    <xf numFmtId="0" fontId="24" fillId="3" borderId="0" xfId="0" applyFont="1" applyFill="1">
      <alignment vertical="center"/>
    </xf>
    <xf numFmtId="49" fontId="22" fillId="3" borderId="0" xfId="0" applyNumberFormat="1" applyFont="1" applyFill="1">
      <alignment vertical="center"/>
    </xf>
    <xf numFmtId="0" fontId="22" fillId="3" borderId="0" xfId="0" applyFont="1" applyFill="1" applyAlignment="1">
      <alignment horizontal="left" vertical="center"/>
    </xf>
    <xf numFmtId="49" fontId="22" fillId="5" borderId="0" xfId="0" applyNumberFormat="1" applyFont="1" applyFill="1" applyAlignment="1">
      <alignment horizontal="left" vertical="center"/>
    </xf>
    <xf numFmtId="49" fontId="20" fillId="3" borderId="0" xfId="0" applyNumberFormat="1" applyFont="1" applyFill="1">
      <alignment vertical="center"/>
    </xf>
    <xf numFmtId="49" fontId="33" fillId="3" borderId="0" xfId="0" applyNumberFormat="1" applyFont="1" applyFill="1" applyAlignment="1">
      <alignment horizontal="left" vertical="center"/>
    </xf>
    <xf numFmtId="0" fontId="33" fillId="3" borderId="0" xfId="0" applyFont="1" applyFill="1">
      <alignment vertical="center"/>
    </xf>
    <xf numFmtId="49" fontId="45" fillId="3" borderId="0" xfId="0" applyNumberFormat="1" applyFont="1" applyFill="1" applyAlignment="1">
      <alignment horizontal="right"/>
    </xf>
    <xf numFmtId="0" fontId="51" fillId="3" borderId="0" xfId="0" applyFont="1" applyFill="1">
      <alignment vertical="center"/>
    </xf>
    <xf numFmtId="0" fontId="45" fillId="3" borderId="0" xfId="0" applyFont="1" applyFill="1" applyAlignment="1">
      <alignment horizontal="center"/>
    </xf>
    <xf numFmtId="0" fontId="51" fillId="3" borderId="22" xfId="0" applyFont="1" applyFill="1" applyBorder="1" applyAlignment="1">
      <alignment horizontal="left"/>
    </xf>
    <xf numFmtId="49" fontId="45" fillId="3" borderId="22" xfId="0" applyNumberFormat="1" applyFont="1" applyFill="1" applyBorder="1" applyAlignment="1">
      <alignment horizontal="right"/>
    </xf>
    <xf numFmtId="0" fontId="45" fillId="0" borderId="0" xfId="0" applyFont="1">
      <alignment vertical="center"/>
    </xf>
    <xf numFmtId="0" fontId="45" fillId="0" borderId="0" xfId="0" applyFont="1" applyAlignment="1">
      <alignment horizontal="center"/>
    </xf>
    <xf numFmtId="49" fontId="45" fillId="0" borderId="0" xfId="0" applyNumberFormat="1" applyFont="1" applyAlignment="1">
      <alignment horizontal="right"/>
    </xf>
    <xf numFmtId="49" fontId="45" fillId="0" borderId="0" xfId="0" applyNumberFormat="1" applyFont="1">
      <alignment vertical="center"/>
    </xf>
    <xf numFmtId="0" fontId="21" fillId="0" borderId="0" xfId="0" applyFont="1" applyAlignment="1">
      <alignment horizontal="center"/>
    </xf>
    <xf numFmtId="49" fontId="21" fillId="0" borderId="0" xfId="0" applyNumberFormat="1" applyFont="1">
      <alignment vertical="center"/>
    </xf>
    <xf numFmtId="0" fontId="20" fillId="0" borderId="0" xfId="0" applyFont="1" applyAlignment="1">
      <alignment vertical="center" shrinkToFit="1"/>
    </xf>
    <xf numFmtId="0" fontId="20" fillId="0" borderId="0" xfId="0" applyFont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52" fillId="0" borderId="0" xfId="1" applyNumberFormat="1" applyFont="1" applyFill="1" applyBorder="1" applyAlignment="1" applyProtection="1"/>
    <xf numFmtId="0" fontId="23" fillId="0" borderId="0" xfId="0" applyFont="1" applyAlignment="1">
      <alignment vertical="center" shrinkToFit="1"/>
    </xf>
    <xf numFmtId="49" fontId="20" fillId="5" borderId="0" xfId="0" applyNumberFormat="1" applyFont="1" applyFill="1" applyAlignment="1">
      <alignment horizontal="left" vertical="center"/>
    </xf>
    <xf numFmtId="0" fontId="20" fillId="5" borderId="0" xfId="0" applyFont="1" applyFill="1" applyAlignment="1">
      <alignment vertical="center" shrinkToFit="1"/>
    </xf>
    <xf numFmtId="49" fontId="20" fillId="0" borderId="0" xfId="0" applyNumberFormat="1" applyFont="1" applyAlignment="1">
      <alignment vertical="center" shrinkToFit="1"/>
    </xf>
    <xf numFmtId="0" fontId="33" fillId="0" borderId="0" xfId="0" applyFont="1" applyAlignment="1">
      <alignment vertical="center" shrinkToFit="1"/>
    </xf>
    <xf numFmtId="26" fontId="20" fillId="5" borderId="0" xfId="0" applyNumberFormat="1" applyFont="1" applyFill="1" applyAlignment="1">
      <alignment horizontal="left" vertical="center" shrinkToFit="1"/>
    </xf>
    <xf numFmtId="177" fontId="20" fillId="5" borderId="0" xfId="0" applyNumberFormat="1" applyFont="1" applyFill="1" applyAlignment="1">
      <alignment horizontal="left" vertical="center"/>
    </xf>
    <xf numFmtId="178" fontId="20" fillId="5" borderId="0" xfId="0" applyNumberFormat="1" applyFont="1" applyFill="1" applyAlignment="1">
      <alignment horizontal="left" vertical="center" shrinkToFit="1"/>
    </xf>
    <xf numFmtId="26" fontId="20" fillId="0" borderId="0" xfId="0" applyNumberFormat="1" applyFont="1" applyAlignment="1">
      <alignment horizontal="left" vertical="center" shrinkToFit="1"/>
    </xf>
    <xf numFmtId="0" fontId="20" fillId="4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vertical="center" shrinkToFit="1"/>
    </xf>
    <xf numFmtId="49" fontId="20" fillId="0" borderId="0" xfId="0" applyNumberFormat="1" applyFont="1" applyAlignment="1">
      <alignment horizontal="left" vertical="center" shrinkToFit="1"/>
    </xf>
    <xf numFmtId="49" fontId="20" fillId="3" borderId="6" xfId="0" applyNumberFormat="1" applyFont="1" applyFill="1" applyBorder="1" applyAlignment="1">
      <alignment horizontal="left" vertical="center"/>
    </xf>
    <xf numFmtId="0" fontId="20" fillId="3" borderId="6" xfId="0" applyFont="1" applyFill="1" applyBorder="1" applyAlignment="1">
      <alignment horizontal="left" vertical="center"/>
    </xf>
    <xf numFmtId="3" fontId="20" fillId="0" borderId="5" xfId="0" applyNumberFormat="1" applyFont="1" applyBorder="1" applyAlignment="1">
      <alignment horizontal="center" vertical="center"/>
    </xf>
    <xf numFmtId="177" fontId="20" fillId="0" borderId="5" xfId="0" applyNumberFormat="1" applyFont="1" applyBorder="1" applyAlignment="1">
      <alignment horizontal="center" vertical="center" shrinkToFit="1"/>
    </xf>
    <xf numFmtId="0" fontId="33" fillId="5" borderId="5" xfId="0" applyFont="1" applyFill="1" applyBorder="1" applyAlignment="1">
      <alignment horizontal="center" vertical="center"/>
    </xf>
    <xf numFmtId="49" fontId="33" fillId="5" borderId="5" xfId="0" applyNumberFormat="1" applyFont="1" applyFill="1" applyBorder="1" applyAlignment="1">
      <alignment horizontal="left" vertical="center"/>
    </xf>
    <xf numFmtId="177" fontId="20" fillId="0" borderId="5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49" fontId="22" fillId="3" borderId="43" xfId="0" applyNumberFormat="1" applyFont="1" applyFill="1" applyBorder="1" applyAlignment="1">
      <alignment horizontal="center" vertical="center"/>
    </xf>
    <xf numFmtId="49" fontId="22" fillId="3" borderId="15" xfId="0" applyNumberFormat="1" applyFont="1" applyFill="1" applyBorder="1" applyAlignment="1">
      <alignment horizontal="center" vertical="center"/>
    </xf>
    <xf numFmtId="49" fontId="22" fillId="3" borderId="16" xfId="0" applyNumberFormat="1" applyFont="1" applyFill="1" applyBorder="1" applyAlignment="1">
      <alignment horizontal="center" vertical="center"/>
    </xf>
    <xf numFmtId="49" fontId="22" fillId="3" borderId="32" xfId="0" applyNumberFormat="1" applyFont="1" applyFill="1" applyBorder="1" applyAlignment="1">
      <alignment horizontal="center" vertical="center"/>
    </xf>
    <xf numFmtId="49" fontId="22" fillId="3" borderId="33" xfId="0" applyNumberFormat="1" applyFont="1" applyFill="1" applyBorder="1" applyAlignment="1">
      <alignment horizontal="center" vertical="center"/>
    </xf>
    <xf numFmtId="49" fontId="22" fillId="3" borderId="35" xfId="0" applyNumberFormat="1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26" fontId="33" fillId="0" borderId="27" xfId="0" applyNumberFormat="1" applyFont="1" applyBorder="1" applyAlignment="1">
      <alignment horizontal="center" vertical="center"/>
    </xf>
    <xf numFmtId="26" fontId="33" fillId="0" borderId="26" xfId="0" applyNumberFormat="1" applyFont="1" applyBorder="1" applyAlignment="1">
      <alignment horizontal="center" vertical="center"/>
    </xf>
    <xf numFmtId="26" fontId="33" fillId="0" borderId="40" xfId="0" applyNumberFormat="1" applyFont="1" applyBorder="1" applyAlignment="1">
      <alignment horizontal="center" vertical="center"/>
    </xf>
    <xf numFmtId="49" fontId="20" fillId="3" borderId="0" xfId="0" applyNumberFormat="1" applyFont="1" applyFill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49" fontId="22" fillId="3" borderId="30" xfId="0" applyNumberFormat="1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49" fontId="20" fillId="0" borderId="41" xfId="0" applyNumberFormat="1" applyFont="1" applyBorder="1" applyAlignment="1">
      <alignment horizontal="center" vertical="center"/>
    </xf>
    <xf numFmtId="49" fontId="20" fillId="0" borderId="31" xfId="0" applyNumberFormat="1" applyFont="1" applyBorder="1" applyAlignment="1">
      <alignment horizontal="center" vertical="center"/>
    </xf>
    <xf numFmtId="49" fontId="20" fillId="0" borderId="11" xfId="0" applyNumberFormat="1" applyFont="1" applyBorder="1" applyAlignment="1">
      <alignment horizontal="center" vertical="center"/>
    </xf>
    <xf numFmtId="0" fontId="20" fillId="3" borderId="0" xfId="0" applyFont="1" applyFill="1" applyAlignment="1">
      <alignment horizontal="left" vertical="center"/>
    </xf>
    <xf numFmtId="0" fontId="41" fillId="3" borderId="0" xfId="0" applyFont="1" applyFill="1" applyAlignment="1">
      <alignment horizontal="center" vertical="center"/>
    </xf>
    <xf numFmtId="0" fontId="20" fillId="3" borderId="21" xfId="0" applyFont="1" applyFill="1" applyBorder="1" applyAlignment="1">
      <alignment horizontal="left" vertical="center"/>
    </xf>
    <xf numFmtId="0" fontId="20" fillId="3" borderId="22" xfId="0" applyFont="1" applyFill="1" applyBorder="1" applyAlignment="1">
      <alignment horizontal="left" vertical="center"/>
    </xf>
    <xf numFmtId="0" fontId="20" fillId="3" borderId="24" xfId="0" applyFont="1" applyFill="1" applyBorder="1" applyAlignment="1">
      <alignment horizontal="left" vertical="center"/>
    </xf>
    <xf numFmtId="0" fontId="20" fillId="3" borderId="21" xfId="0" applyFont="1" applyFill="1" applyBorder="1" applyAlignment="1">
      <alignment horizontal="center" vertical="center"/>
    </xf>
    <xf numFmtId="0" fontId="20" fillId="3" borderId="22" xfId="0" applyFont="1" applyFill="1" applyBorder="1" applyAlignment="1">
      <alignment horizontal="center" vertical="center"/>
    </xf>
    <xf numFmtId="0" fontId="20" fillId="3" borderId="24" xfId="0" applyFont="1" applyFill="1" applyBorder="1" applyAlignment="1">
      <alignment horizontal="center" vertical="center"/>
    </xf>
    <xf numFmtId="181" fontId="20" fillId="3" borderId="28" xfId="2" applyNumberFormat="1" applyFont="1" applyFill="1" applyBorder="1" applyAlignment="1">
      <alignment horizontal="center" vertical="center"/>
    </xf>
    <xf numFmtId="26" fontId="33" fillId="3" borderId="23" xfId="0" applyNumberFormat="1" applyFont="1" applyFill="1" applyBorder="1" applyAlignment="1">
      <alignment horizontal="center" vertical="center"/>
    </xf>
    <xf numFmtId="26" fontId="33" fillId="3" borderId="0" xfId="0" applyNumberFormat="1" applyFont="1" applyFill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49" fontId="22" fillId="3" borderId="9" xfId="0" applyNumberFormat="1" applyFont="1" applyFill="1" applyBorder="1" applyAlignment="1">
      <alignment horizontal="center" vertical="center"/>
    </xf>
    <xf numFmtId="49" fontId="20" fillId="3" borderId="9" xfId="0" applyNumberFormat="1" applyFont="1" applyFill="1" applyBorder="1" applyAlignment="1">
      <alignment horizontal="center" vertical="center"/>
    </xf>
    <xf numFmtId="49" fontId="25" fillId="3" borderId="9" xfId="0" applyNumberFormat="1" applyFont="1" applyFill="1" applyBorder="1" applyAlignment="1">
      <alignment horizontal="center" vertical="center"/>
    </xf>
    <xf numFmtId="0" fontId="32" fillId="0" borderId="6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49" fontId="22" fillId="0" borderId="9" xfId="0" applyNumberFormat="1" applyFont="1" applyBorder="1" applyAlignment="1">
      <alignment horizontal="left" vertical="center"/>
    </xf>
  </cellXfs>
  <cellStyles count="27">
    <cellStyle name="ハイパーリンク" xfId="1" builtinId="8"/>
    <cellStyle name="桁区切り" xfId="2" builtinId="6"/>
    <cellStyle name="桁区切り 2" xfId="3" xr:uid="{00000000-0005-0000-0000-000003000000}"/>
    <cellStyle name="桁区切り 2 2" xfId="17" xr:uid="{C48010A6-97FF-4094-B221-F360B1364A00}"/>
    <cellStyle name="桁区切り 3" xfId="16" xr:uid="{38FEB5A6-BE4D-4659-A9D8-AE348EE39CD6}"/>
    <cellStyle name="通貨" xfId="12" builtinId="7"/>
    <cellStyle name="通貨 2" xfId="23" xr:uid="{721138DF-E78A-4CDC-8B24-E0A16B3C1A9F}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8" xr:uid="{C85A73DC-9311-4595-A34D-F27B3BFB3CEC}"/>
    <cellStyle name="標準 4 2 2 2" xfId="9" xr:uid="{61A41DB0-3BE9-4094-A5C1-CF005F445984}"/>
    <cellStyle name="標準 4 2 2 2 2" xfId="11" xr:uid="{73C9D90A-4087-4C89-AF2C-7BEE2C949CD1}"/>
    <cellStyle name="標準 4 2 2 2 2 2" xfId="13" xr:uid="{3602255E-FDAE-4EBA-BE0C-A4E749982C91}"/>
    <cellStyle name="標準 4 2 2 2 2 2 2" xfId="14" xr:uid="{D71A3FD5-8B8D-4AD9-8726-1BFB16456FCC}"/>
    <cellStyle name="標準 4 2 2 2 2 2 2 2" xfId="25" xr:uid="{6EA2FDEF-FC41-4477-88FF-414DBBBA8251}"/>
    <cellStyle name="標準 4 2 2 2 2 2 3" xfId="15" xr:uid="{5A3D2828-E908-40AF-BDE7-7612E1C1EDE1}"/>
    <cellStyle name="標準 4 2 2 2 2 2 3 2" xfId="26" xr:uid="{BE720541-DAF4-411A-A135-EC44B27F6866}"/>
    <cellStyle name="標準 4 2 2 2 2 2 4" xfId="24" xr:uid="{C7A9D9AD-BF54-435D-9C3E-D30FA7F9A5F3}"/>
    <cellStyle name="標準 4 2 2 2 2 3" xfId="22" xr:uid="{9911C528-788B-4CA0-880F-2DFB77122AB0}"/>
    <cellStyle name="標準 4 2 2 2 3" xfId="21" xr:uid="{AEF8B82C-3359-4138-817C-B3C6B7E482B1}"/>
    <cellStyle name="標準 4 2 2 3" xfId="20" xr:uid="{BADE61D7-9E2F-4B9E-91F9-70A33086AC8C}"/>
    <cellStyle name="標準 4 2 3" xfId="19" xr:uid="{128F1958-61AA-47A4-AC30-B5B8BD51B699}"/>
    <cellStyle name="標準 4 3" xfId="18" xr:uid="{E5EA3C7F-2BB2-4D4B-85A2-189E81A2B7AE}"/>
    <cellStyle name="標準 5" xfId="10" xr:uid="{2B9876AE-5E37-473F-9835-F480CAEC33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284134</xdr:colOff>
      <xdr:row>36</xdr:row>
      <xdr:rowOff>48895</xdr:rowOff>
    </xdr:from>
    <xdr:to>
      <xdr:col>14</xdr:col>
      <xdr:colOff>691977</xdr:colOff>
      <xdr:row>44</xdr:row>
      <xdr:rowOff>86996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1F035-D532-48E0-AF4E-B54806D7D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3543" y="6987713"/>
          <a:ext cx="3184525" cy="14408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285751</xdr:colOff>
      <xdr:row>2</xdr:row>
      <xdr:rowOff>88337</xdr:rowOff>
    </xdr:from>
    <xdr:to>
      <xdr:col>6</xdr:col>
      <xdr:colOff>3600451</xdr:colOff>
      <xdr:row>2</xdr:row>
      <xdr:rowOff>1993053</xdr:rowOff>
    </xdr:to>
    <xdr:pic>
      <xdr:nvPicPr>
        <xdr:cNvPr id="8" name="画像 1">
          <a:extLst>
            <a:ext uri="{FF2B5EF4-FFF2-40B4-BE49-F238E27FC236}">
              <a16:creationId xmlns:a16="http://schemas.microsoft.com/office/drawing/2014/main" id="{BA5E1B4D-33AC-4207-8ADF-41DD1A4FD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1" y="1707587"/>
          <a:ext cx="3314700" cy="190471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214993</xdr:colOff>
      <xdr:row>3</xdr:row>
      <xdr:rowOff>128719</xdr:rowOff>
    </xdr:from>
    <xdr:to>
      <xdr:col>6</xdr:col>
      <xdr:colOff>3659580</xdr:colOff>
      <xdr:row>3</xdr:row>
      <xdr:rowOff>1817915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DB58A39E-2698-285C-72B2-80813B2D2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7050" y="3775433"/>
          <a:ext cx="3444587" cy="16891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\\10.251.98.9\fileshare\Users\19544\Downloads\SY-4T601005-VT-DD-01%20(4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HUNYA-SHARING\disk\&#32299;&#35069;&#20181;&#27096;&#26360;\&#22826;&#30000;\&#36664;&#20986;\SY-5800906-VT-DD-01%20.xlsx" TargetMode="External"/><Relationship Id="rId1" Type="http://schemas.openxmlformats.org/officeDocument/2006/relationships/externalLinkPath" Target="file:///C:\Users\19544\Downloads\SY-5800906-VT-DD-01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case mark "/>
      <sheetName val="invoice"/>
      <sheetName val="NARITA "/>
      <sheetName val="LABEL"/>
    </sheetNames>
    <sheetDataSet>
      <sheetData sheetId="0">
        <row r="2">
          <cell r="C2" t="str">
            <v xml:space="preserve"> SHUNYA CO., LTD.</v>
          </cell>
        </row>
        <row r="3">
          <cell r="C3" t="str">
            <v xml:space="preserve"> KENSHIN BLDG., 1F, 1-22-10 DOUGENZAKA,</v>
          </cell>
        </row>
        <row r="4">
          <cell r="C4" t="str">
            <v xml:space="preserve"> SHIBUYA-KU 150-0043</v>
          </cell>
        </row>
        <row r="5">
          <cell r="C5" t="str">
            <v xml:space="preserve"> TEL : +81(0)3-5459-1177</v>
          </cell>
        </row>
        <row r="9">
          <cell r="C9" t="str">
            <v>VIVAN GARMENTS VIET NAM COMPANY LIMITED</v>
          </cell>
        </row>
        <row r="10">
          <cell r="C10" t="str">
            <v>D17 Street , Sai Gon South Residential Area</v>
          </cell>
        </row>
        <row r="11">
          <cell r="C11" t="str">
            <v>Hamlet 3 , Long Hau Commune , Can Giuoc District,</v>
          </cell>
        </row>
        <row r="12">
          <cell r="C12" t="str">
            <v xml:space="preserve"> Long An Province , VietNam</v>
          </cell>
        </row>
        <row r="13">
          <cell r="C13" t="str">
            <v xml:space="preserve"> TEL : ( 084 ) 097 22 00 798  ATTN : MR. TUAN</v>
          </cell>
        </row>
        <row r="15">
          <cell r="C15" t="str">
            <v xml:space="preserve"> - SAME AS BUYER -</v>
          </cell>
        </row>
        <row r="21">
          <cell r="C21" t="str">
            <v xml:space="preserve"> NO COMMERCIAL</v>
          </cell>
        </row>
        <row r="24">
          <cell r="C24" t="str">
            <v xml:space="preserve"> AIRCRAFT</v>
          </cell>
        </row>
        <row r="32">
          <cell r="C32" t="str">
            <v xml:space="preserve"> TOKYO, JAPAN</v>
          </cell>
        </row>
        <row r="33">
          <cell r="C33" t="str">
            <v xml:space="preserve"> HOCHIMINH-CITY, VIETNAM</v>
          </cell>
        </row>
        <row r="36">
          <cell r="C36" t="str">
            <v>FABRIC &amp; PARTS FOR WEAR &amp; SAMPLE CLOTHES</v>
          </cell>
        </row>
        <row r="48">
          <cell r="C48" t="str">
            <v>F.O.B. TOKYO IN YEN</v>
          </cell>
        </row>
        <row r="63">
          <cell r="C63" t="str">
            <v>" THESE GOODS WILL BE RETURN TO JAPAN</v>
          </cell>
        </row>
        <row r="64">
          <cell r="C64" t="str">
            <v xml:space="preserve">  AFTER MANUFACTURED AT VIET NAM "</v>
          </cell>
        </row>
      </sheetData>
      <sheetData sheetId="1"/>
      <sheetData sheetId="2"/>
      <sheetData sheetId="3">
        <row r="28">
          <cell r="F28" t="str">
            <v>M.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9"/>
  <sheetViews>
    <sheetView topLeftCell="A64" workbookViewId="0">
      <selection activeCell="E52" sqref="E52"/>
    </sheetView>
  </sheetViews>
  <sheetFormatPr defaultColWidth="9" defaultRowHeight="15" x14ac:dyDescent="0.25"/>
  <cols>
    <col min="1" max="1" width="3.88671875" style="46" customWidth="1"/>
    <col min="2" max="2" width="21.33203125" style="144" customWidth="1"/>
    <col min="3" max="3" width="63.109375" style="284" customWidth="1"/>
    <col min="4" max="16384" width="9" style="55"/>
  </cols>
  <sheetData>
    <row r="1" spans="1:3" s="144" customFormat="1" ht="25.5" customHeight="1" x14ac:dyDescent="0.25">
      <c r="A1" s="46">
        <v>1</v>
      </c>
      <c r="B1" s="46" t="s">
        <v>1</v>
      </c>
      <c r="C1" s="284" t="s">
        <v>0</v>
      </c>
    </row>
    <row r="2" spans="1:3" s="144" customFormat="1" x14ac:dyDescent="0.25">
      <c r="A2" s="46">
        <f>A1+1</f>
        <v>2</v>
      </c>
      <c r="B2" s="285" t="s">
        <v>5</v>
      </c>
      <c r="C2" s="285" t="s">
        <v>65</v>
      </c>
    </row>
    <row r="3" spans="1:3" x14ac:dyDescent="0.25">
      <c r="A3" s="46">
        <f>A2+1</f>
        <v>3</v>
      </c>
      <c r="B3" s="285" t="s">
        <v>3</v>
      </c>
      <c r="C3" s="284" t="s">
        <v>66</v>
      </c>
    </row>
    <row r="4" spans="1:3" x14ac:dyDescent="0.25">
      <c r="A4" s="46">
        <f t="shared" ref="A4:A68" si="0">A3+1</f>
        <v>4</v>
      </c>
      <c r="B4" s="285" t="s">
        <v>2</v>
      </c>
      <c r="C4" s="284" t="s">
        <v>67</v>
      </c>
    </row>
    <row r="5" spans="1:3" s="144" customFormat="1" x14ac:dyDescent="0.25">
      <c r="A5" s="46">
        <f t="shared" si="0"/>
        <v>5</v>
      </c>
      <c r="B5" s="285" t="s">
        <v>4</v>
      </c>
      <c r="C5" s="285" t="s">
        <v>68</v>
      </c>
    </row>
    <row r="6" spans="1:3" s="144" customFormat="1" x14ac:dyDescent="0.25">
      <c r="A6" s="46">
        <f t="shared" si="0"/>
        <v>6</v>
      </c>
      <c r="B6" s="285" t="s">
        <v>6</v>
      </c>
    </row>
    <row r="7" spans="1:3" s="144" customFormat="1" x14ac:dyDescent="0.25">
      <c r="A7" s="46">
        <f t="shared" si="0"/>
        <v>7</v>
      </c>
      <c r="B7" s="285" t="s">
        <v>7</v>
      </c>
      <c r="C7" s="285"/>
    </row>
    <row r="8" spans="1:3" s="144" customFormat="1" x14ac:dyDescent="0.25">
      <c r="A8" s="46">
        <f t="shared" si="0"/>
        <v>8</v>
      </c>
      <c r="B8" s="285" t="s">
        <v>8</v>
      </c>
      <c r="C8" s="285"/>
    </row>
    <row r="9" spans="1:3" s="144" customFormat="1" x14ac:dyDescent="0.25">
      <c r="A9" s="46">
        <f t="shared" si="0"/>
        <v>9</v>
      </c>
      <c r="B9" s="286" t="s">
        <v>75</v>
      </c>
      <c r="C9" s="285" t="s">
        <v>156</v>
      </c>
    </row>
    <row r="10" spans="1:3" s="144" customFormat="1" x14ac:dyDescent="0.25">
      <c r="A10" s="46">
        <f t="shared" si="0"/>
        <v>10</v>
      </c>
      <c r="B10" s="286" t="s">
        <v>76</v>
      </c>
      <c r="C10" s="285" t="s">
        <v>157</v>
      </c>
    </row>
    <row r="11" spans="1:3" s="144" customFormat="1" x14ac:dyDescent="0.25">
      <c r="A11" s="46">
        <f t="shared" si="0"/>
        <v>11</v>
      </c>
      <c r="B11" s="286" t="s">
        <v>77</v>
      </c>
      <c r="C11" s="284" t="s">
        <v>158</v>
      </c>
    </row>
    <row r="12" spans="1:3" s="144" customFormat="1" x14ac:dyDescent="0.25">
      <c r="A12" s="46">
        <f t="shared" si="0"/>
        <v>12</v>
      </c>
      <c r="B12" s="286" t="s">
        <v>78</v>
      </c>
      <c r="C12" s="284" t="s">
        <v>92</v>
      </c>
    </row>
    <row r="13" spans="1:3" s="144" customFormat="1" x14ac:dyDescent="0.25">
      <c r="A13" s="46">
        <f t="shared" si="0"/>
        <v>13</v>
      </c>
      <c r="B13" s="286" t="s">
        <v>9</v>
      </c>
      <c r="C13" s="144" t="s">
        <v>95</v>
      </c>
    </row>
    <row r="14" spans="1:3" s="144" customFormat="1" x14ac:dyDescent="0.35">
      <c r="A14" s="46">
        <f t="shared" si="0"/>
        <v>14</v>
      </c>
      <c r="B14" s="286" t="s">
        <v>10</v>
      </c>
      <c r="C14" s="287"/>
    </row>
    <row r="15" spans="1:3" s="144" customFormat="1" x14ac:dyDescent="0.25">
      <c r="A15" s="46">
        <f t="shared" si="0"/>
        <v>15</v>
      </c>
      <c r="B15" s="285" t="s">
        <v>11</v>
      </c>
      <c r="C15" s="285" t="s">
        <v>69</v>
      </c>
    </row>
    <row r="16" spans="1:3" s="144" customFormat="1" x14ac:dyDescent="0.25">
      <c r="A16" s="46">
        <f t="shared" si="0"/>
        <v>16</v>
      </c>
      <c r="B16" s="285" t="s">
        <v>12</v>
      </c>
      <c r="C16" s="284"/>
    </row>
    <row r="17" spans="1:3" s="144" customFormat="1" x14ac:dyDescent="0.25">
      <c r="A17" s="46">
        <f t="shared" si="0"/>
        <v>17</v>
      </c>
      <c r="B17" s="285" t="s">
        <v>13</v>
      </c>
      <c r="C17" s="284"/>
    </row>
    <row r="18" spans="1:3" s="144" customFormat="1" x14ac:dyDescent="0.25">
      <c r="A18" s="46">
        <f t="shared" si="0"/>
        <v>18</v>
      </c>
      <c r="B18" s="285" t="s">
        <v>14</v>
      </c>
    </row>
    <row r="19" spans="1:3" s="144" customFormat="1" x14ac:dyDescent="0.25">
      <c r="A19" s="46">
        <f t="shared" si="0"/>
        <v>19</v>
      </c>
      <c r="B19" s="285" t="s">
        <v>15</v>
      </c>
      <c r="C19" s="285"/>
    </row>
    <row r="20" spans="1:3" s="144" customFormat="1" x14ac:dyDescent="0.25">
      <c r="A20" s="46">
        <f t="shared" si="0"/>
        <v>20</v>
      </c>
      <c r="B20" s="285" t="s">
        <v>16</v>
      </c>
      <c r="C20" s="285"/>
    </row>
    <row r="21" spans="1:3" s="144" customFormat="1" x14ac:dyDescent="0.25">
      <c r="A21" s="46">
        <f t="shared" si="0"/>
        <v>21</v>
      </c>
      <c r="B21" s="285" t="s">
        <v>10</v>
      </c>
      <c r="C21" s="288" t="s">
        <v>82</v>
      </c>
    </row>
    <row r="22" spans="1:3" s="144" customFormat="1" x14ac:dyDescent="0.25">
      <c r="A22" s="46">
        <f t="shared" si="0"/>
        <v>22</v>
      </c>
      <c r="B22" s="285" t="s">
        <v>17</v>
      </c>
      <c r="C22" s="288"/>
    </row>
    <row r="23" spans="1:3" s="144" customFormat="1" x14ac:dyDescent="0.25">
      <c r="A23" s="46">
        <f t="shared" si="0"/>
        <v>23</v>
      </c>
      <c r="B23" s="285" t="s">
        <v>18</v>
      </c>
      <c r="C23" s="288"/>
    </row>
    <row r="24" spans="1:3" s="144" customFormat="1" x14ac:dyDescent="0.25">
      <c r="A24" s="46">
        <f t="shared" si="0"/>
        <v>24</v>
      </c>
      <c r="B24" s="285" t="s">
        <v>19</v>
      </c>
      <c r="C24" s="285" t="s">
        <v>79</v>
      </c>
    </row>
    <row r="25" spans="1:3" s="144" customFormat="1" x14ac:dyDescent="0.25">
      <c r="A25" s="46">
        <f t="shared" si="0"/>
        <v>25</v>
      </c>
      <c r="B25" s="286" t="s">
        <v>20</v>
      </c>
      <c r="C25" s="289" t="s">
        <v>293</v>
      </c>
    </row>
    <row r="26" spans="1:3" x14ac:dyDescent="0.25">
      <c r="A26" s="46">
        <f t="shared" si="0"/>
        <v>26</v>
      </c>
      <c r="B26" s="286" t="s">
        <v>21</v>
      </c>
      <c r="C26" s="290" t="s">
        <v>295</v>
      </c>
    </row>
    <row r="27" spans="1:3" x14ac:dyDescent="0.25">
      <c r="A27" s="46">
        <f t="shared" si="0"/>
        <v>27</v>
      </c>
      <c r="B27" s="286" t="s">
        <v>22</v>
      </c>
      <c r="C27" s="290" t="str">
        <f>C26</f>
        <v xml:space="preserve"> SY-8100604VT-DD-01</v>
      </c>
    </row>
    <row r="28" spans="1:3" x14ac:dyDescent="0.25">
      <c r="A28" s="46">
        <f t="shared" si="0"/>
        <v>28</v>
      </c>
      <c r="B28" s="286" t="s">
        <v>23</v>
      </c>
      <c r="C28" s="291"/>
    </row>
    <row r="29" spans="1:3" x14ac:dyDescent="0.25">
      <c r="A29" s="46">
        <f t="shared" si="0"/>
        <v>29</v>
      </c>
      <c r="B29" s="286" t="s">
        <v>24</v>
      </c>
      <c r="C29" s="291"/>
    </row>
    <row r="30" spans="1:3" x14ac:dyDescent="0.25">
      <c r="A30" s="46">
        <f t="shared" si="0"/>
        <v>30</v>
      </c>
      <c r="B30" s="286" t="s">
        <v>25</v>
      </c>
    </row>
    <row r="31" spans="1:3" x14ac:dyDescent="0.25">
      <c r="A31" s="46">
        <f t="shared" si="0"/>
        <v>31</v>
      </c>
      <c r="B31" s="285" t="s">
        <v>26</v>
      </c>
    </row>
    <row r="32" spans="1:3" x14ac:dyDescent="0.25">
      <c r="A32" s="46">
        <f t="shared" si="0"/>
        <v>32</v>
      </c>
      <c r="B32" s="285" t="s">
        <v>27</v>
      </c>
      <c r="C32" s="284" t="s">
        <v>28</v>
      </c>
    </row>
    <row r="33" spans="1:3" x14ac:dyDescent="0.25">
      <c r="A33" s="46">
        <f t="shared" si="0"/>
        <v>33</v>
      </c>
      <c r="B33" s="286" t="s">
        <v>29</v>
      </c>
      <c r="C33" s="284" t="s">
        <v>70</v>
      </c>
    </row>
    <row r="34" spans="1:3" x14ac:dyDescent="0.25">
      <c r="A34" s="46">
        <f t="shared" si="0"/>
        <v>34</v>
      </c>
      <c r="B34" s="285" t="s">
        <v>30</v>
      </c>
    </row>
    <row r="35" spans="1:3" x14ac:dyDescent="0.25">
      <c r="A35" s="46">
        <f t="shared" si="0"/>
        <v>35</v>
      </c>
      <c r="B35" s="285" t="s">
        <v>31</v>
      </c>
      <c r="C35" s="284" t="s">
        <v>64</v>
      </c>
    </row>
    <row r="36" spans="1:3" x14ac:dyDescent="0.25">
      <c r="A36" s="46">
        <f t="shared" si="0"/>
        <v>36</v>
      </c>
      <c r="B36" s="286" t="s">
        <v>32</v>
      </c>
      <c r="C36" s="292" t="s">
        <v>94</v>
      </c>
    </row>
    <row r="37" spans="1:3" x14ac:dyDescent="0.25">
      <c r="A37" s="46">
        <f t="shared" si="0"/>
        <v>37</v>
      </c>
      <c r="B37" s="286" t="s">
        <v>33</v>
      </c>
    </row>
    <row r="38" spans="1:3" x14ac:dyDescent="0.25">
      <c r="A38" s="46">
        <f t="shared" si="0"/>
        <v>38</v>
      </c>
      <c r="B38" s="285" t="s">
        <v>34</v>
      </c>
      <c r="C38" s="291" t="s">
        <v>35</v>
      </c>
    </row>
    <row r="39" spans="1:3" x14ac:dyDescent="0.25">
      <c r="A39" s="46">
        <f t="shared" si="0"/>
        <v>39</v>
      </c>
      <c r="B39" s="285" t="s">
        <v>36</v>
      </c>
      <c r="C39" s="291"/>
    </row>
    <row r="40" spans="1:3" x14ac:dyDescent="0.25">
      <c r="A40" s="46">
        <f t="shared" si="0"/>
        <v>40</v>
      </c>
      <c r="B40" s="285" t="s">
        <v>37</v>
      </c>
    </row>
    <row r="41" spans="1:3" x14ac:dyDescent="0.25">
      <c r="A41" s="46">
        <f t="shared" si="0"/>
        <v>41</v>
      </c>
      <c r="B41" s="285" t="s">
        <v>38</v>
      </c>
    </row>
    <row r="42" spans="1:3" x14ac:dyDescent="0.25">
      <c r="A42" s="46">
        <f t="shared" si="0"/>
        <v>42</v>
      </c>
      <c r="B42" s="285" t="s">
        <v>39</v>
      </c>
    </row>
    <row r="43" spans="1:3" x14ac:dyDescent="0.25">
      <c r="A43" s="46">
        <f t="shared" si="0"/>
        <v>43</v>
      </c>
      <c r="B43" s="286" t="s">
        <v>40</v>
      </c>
      <c r="C43" s="290" t="s">
        <v>308</v>
      </c>
    </row>
    <row r="44" spans="1:3" x14ac:dyDescent="0.25">
      <c r="A44" s="46">
        <f t="shared" si="0"/>
        <v>44</v>
      </c>
      <c r="B44" s="285" t="s">
        <v>41</v>
      </c>
      <c r="C44" s="293"/>
    </row>
    <row r="45" spans="1:3" x14ac:dyDescent="0.25">
      <c r="A45" s="46">
        <f t="shared" si="0"/>
        <v>45</v>
      </c>
      <c r="B45" s="286" t="s">
        <v>42</v>
      </c>
      <c r="C45" s="294">
        <f>invoice!O31</f>
        <v>492959</v>
      </c>
    </row>
    <row r="46" spans="1:3" x14ac:dyDescent="0.25">
      <c r="A46" s="46">
        <f t="shared" si="0"/>
        <v>46</v>
      </c>
      <c r="B46" s="285" t="s">
        <v>43</v>
      </c>
      <c r="C46" s="295"/>
    </row>
    <row r="47" spans="1:3" x14ac:dyDescent="0.25">
      <c r="A47" s="46">
        <f t="shared" si="0"/>
        <v>47</v>
      </c>
      <c r="B47" s="285" t="s">
        <v>43</v>
      </c>
      <c r="C47" s="296"/>
    </row>
    <row r="48" spans="1:3" x14ac:dyDescent="0.25">
      <c r="A48" s="46">
        <f t="shared" si="0"/>
        <v>48</v>
      </c>
      <c r="B48" s="285" t="s">
        <v>31</v>
      </c>
      <c r="C48" s="292" t="s">
        <v>64</v>
      </c>
    </row>
    <row r="49" spans="1:3" x14ac:dyDescent="0.25">
      <c r="A49" s="46">
        <f t="shared" si="0"/>
        <v>49</v>
      </c>
      <c r="B49" s="286" t="s">
        <v>44</v>
      </c>
      <c r="C49" s="284" t="str">
        <f>C27</f>
        <v xml:space="preserve"> SY-8100604VT-DD-01</v>
      </c>
    </row>
    <row r="50" spans="1:3" x14ac:dyDescent="0.25">
      <c r="A50" s="46">
        <f t="shared" si="0"/>
        <v>50</v>
      </c>
      <c r="B50" s="286" t="s">
        <v>45</v>
      </c>
      <c r="C50" s="285" t="s">
        <v>156</v>
      </c>
    </row>
    <row r="51" spans="1:3" x14ac:dyDescent="0.25">
      <c r="A51" s="46">
        <f t="shared" si="0"/>
        <v>51</v>
      </c>
      <c r="B51" s="286" t="s">
        <v>46</v>
      </c>
      <c r="C51" s="285" t="s">
        <v>157</v>
      </c>
    </row>
    <row r="52" spans="1:3" x14ac:dyDescent="0.25">
      <c r="A52" s="46">
        <f t="shared" si="0"/>
        <v>52</v>
      </c>
      <c r="B52" s="286" t="s">
        <v>47</v>
      </c>
      <c r="C52" s="284" t="s">
        <v>158</v>
      </c>
    </row>
    <row r="53" spans="1:3" x14ac:dyDescent="0.25">
      <c r="A53" s="46">
        <f t="shared" si="0"/>
        <v>53</v>
      </c>
      <c r="B53" s="286" t="s">
        <v>48</v>
      </c>
      <c r="C53" s="284" t="s">
        <v>92</v>
      </c>
    </row>
    <row r="54" spans="1:3" x14ac:dyDescent="0.25">
      <c r="A54" s="46">
        <f t="shared" si="0"/>
        <v>54</v>
      </c>
      <c r="B54" s="286" t="s">
        <v>49</v>
      </c>
      <c r="C54" s="144" t="s">
        <v>93</v>
      </c>
    </row>
    <row r="55" spans="1:3" x14ac:dyDescent="0.25">
      <c r="A55" s="46">
        <f t="shared" si="0"/>
        <v>55</v>
      </c>
      <c r="B55" s="297" t="s">
        <v>50</v>
      </c>
      <c r="C55" s="290" t="s">
        <v>292</v>
      </c>
    </row>
    <row r="56" spans="1:3" x14ac:dyDescent="0.25">
      <c r="A56" s="46">
        <f t="shared" si="0"/>
        <v>56</v>
      </c>
      <c r="B56" s="285" t="s">
        <v>51</v>
      </c>
      <c r="C56" s="285"/>
    </row>
    <row r="57" spans="1:3" x14ac:dyDescent="0.25">
      <c r="A57" s="46">
        <f t="shared" si="0"/>
        <v>57</v>
      </c>
      <c r="B57" s="285"/>
    </row>
    <row r="58" spans="1:3" x14ac:dyDescent="0.25">
      <c r="A58" s="46">
        <f t="shared" si="0"/>
        <v>58</v>
      </c>
      <c r="B58" s="285"/>
    </row>
    <row r="59" spans="1:3" x14ac:dyDescent="0.25">
      <c r="A59" s="46">
        <f t="shared" si="0"/>
        <v>59</v>
      </c>
      <c r="B59" s="285"/>
    </row>
    <row r="60" spans="1:3" x14ac:dyDescent="0.25">
      <c r="A60" s="46">
        <f t="shared" si="0"/>
        <v>60</v>
      </c>
      <c r="B60" s="285" t="s">
        <v>52</v>
      </c>
      <c r="C60" s="284" t="s">
        <v>284</v>
      </c>
    </row>
    <row r="61" spans="1:3" x14ac:dyDescent="0.25">
      <c r="A61" s="46">
        <f t="shared" si="0"/>
        <v>61</v>
      </c>
      <c r="B61" s="285" t="s">
        <v>53</v>
      </c>
    </row>
    <row r="62" spans="1:3" x14ac:dyDescent="0.25">
      <c r="A62" s="46">
        <f t="shared" si="0"/>
        <v>62</v>
      </c>
      <c r="B62" s="285"/>
    </row>
    <row r="63" spans="1:3" x14ac:dyDescent="0.25">
      <c r="A63" s="46">
        <f t="shared" si="0"/>
        <v>63</v>
      </c>
      <c r="B63" s="298" t="s">
        <v>80</v>
      </c>
      <c r="C63" s="299" t="s">
        <v>294</v>
      </c>
    </row>
    <row r="64" spans="1:3" x14ac:dyDescent="0.25">
      <c r="A64" s="46">
        <f t="shared" si="0"/>
        <v>64</v>
      </c>
      <c r="B64" s="285"/>
      <c r="C64" s="299" t="s">
        <v>81</v>
      </c>
    </row>
    <row r="65" spans="1:3" x14ac:dyDescent="0.25">
      <c r="A65" s="46">
        <f t="shared" si="0"/>
        <v>65</v>
      </c>
      <c r="B65" s="285"/>
    </row>
    <row r="66" spans="1:3" x14ac:dyDescent="0.25">
      <c r="A66" s="46">
        <f t="shared" si="0"/>
        <v>66</v>
      </c>
      <c r="B66" s="285"/>
    </row>
    <row r="67" spans="1:3" x14ac:dyDescent="0.25">
      <c r="A67" s="46">
        <f t="shared" si="0"/>
        <v>67</v>
      </c>
      <c r="B67" s="285" t="s">
        <v>54</v>
      </c>
      <c r="C67" s="300"/>
    </row>
    <row r="68" spans="1:3" x14ac:dyDescent="0.25">
      <c r="A68" s="46">
        <f t="shared" si="0"/>
        <v>68</v>
      </c>
      <c r="B68" s="286" t="s">
        <v>55</v>
      </c>
      <c r="C68" s="284" t="s">
        <v>166</v>
      </c>
    </row>
    <row r="69" spans="1:3" x14ac:dyDescent="0.25">
      <c r="A69" s="46">
        <f t="shared" ref="A69:A86" si="1">A68+1</f>
        <v>69</v>
      </c>
      <c r="B69" s="285" t="s">
        <v>56</v>
      </c>
      <c r="C69" s="284" t="s">
        <v>73</v>
      </c>
    </row>
    <row r="70" spans="1:3" x14ac:dyDescent="0.25">
      <c r="A70" s="46">
        <f t="shared" si="1"/>
        <v>70</v>
      </c>
      <c r="B70" s="285" t="s">
        <v>57</v>
      </c>
    </row>
    <row r="71" spans="1:3" x14ac:dyDescent="0.25">
      <c r="A71" s="46">
        <f t="shared" si="1"/>
        <v>71</v>
      </c>
      <c r="B71" s="285"/>
    </row>
    <row r="72" spans="1:3" x14ac:dyDescent="0.25">
      <c r="A72" s="46">
        <f t="shared" si="1"/>
        <v>72</v>
      </c>
      <c r="B72" s="285"/>
    </row>
    <row r="73" spans="1:3" x14ac:dyDescent="0.25">
      <c r="A73" s="46">
        <f t="shared" si="1"/>
        <v>73</v>
      </c>
      <c r="B73" s="285"/>
    </row>
    <row r="74" spans="1:3" x14ac:dyDescent="0.25">
      <c r="A74" s="46">
        <f t="shared" si="1"/>
        <v>74</v>
      </c>
      <c r="B74" s="285"/>
    </row>
    <row r="75" spans="1:3" x14ac:dyDescent="0.25">
      <c r="A75" s="46">
        <f t="shared" si="1"/>
        <v>75</v>
      </c>
      <c r="B75" s="285" t="s">
        <v>58</v>
      </c>
      <c r="C75" s="284" t="s">
        <v>72</v>
      </c>
    </row>
    <row r="76" spans="1:3" x14ac:dyDescent="0.25">
      <c r="A76" s="46">
        <f t="shared" si="1"/>
        <v>76</v>
      </c>
      <c r="B76" s="285" t="s">
        <v>59</v>
      </c>
      <c r="C76" s="285"/>
    </row>
    <row r="77" spans="1:3" x14ac:dyDescent="0.25">
      <c r="A77" s="46">
        <f t="shared" si="1"/>
        <v>77</v>
      </c>
      <c r="B77" s="285"/>
    </row>
    <row r="78" spans="1:3" x14ac:dyDescent="0.25">
      <c r="A78" s="46">
        <f t="shared" si="1"/>
        <v>78</v>
      </c>
      <c r="B78" s="285" t="s">
        <v>60</v>
      </c>
      <c r="C78" s="284" t="s">
        <v>74</v>
      </c>
    </row>
    <row r="79" spans="1:3" x14ac:dyDescent="0.25">
      <c r="A79" s="46">
        <f t="shared" si="1"/>
        <v>79</v>
      </c>
      <c r="B79" s="285" t="s">
        <v>61</v>
      </c>
      <c r="C79" s="284" t="s">
        <v>74</v>
      </c>
    </row>
    <row r="80" spans="1:3" x14ac:dyDescent="0.25">
      <c r="A80" s="46">
        <f t="shared" si="1"/>
        <v>80</v>
      </c>
      <c r="B80" s="285"/>
    </row>
    <row r="81" spans="1:3" x14ac:dyDescent="0.25">
      <c r="A81" s="46">
        <f t="shared" si="1"/>
        <v>81</v>
      </c>
      <c r="B81" s="285" t="s">
        <v>62</v>
      </c>
      <c r="C81" s="289" t="str">
        <f>C25</f>
        <v xml:space="preserve"> JUN, 4 2026</v>
      </c>
    </row>
    <row r="82" spans="1:3" x14ac:dyDescent="0.25">
      <c r="A82" s="46">
        <f t="shared" si="1"/>
        <v>82</v>
      </c>
      <c r="B82" s="285"/>
    </row>
    <row r="83" spans="1:3" x14ac:dyDescent="0.25">
      <c r="A83" s="46">
        <f t="shared" si="1"/>
        <v>83</v>
      </c>
      <c r="B83" s="285" t="s">
        <v>63</v>
      </c>
      <c r="C83" s="284" t="s">
        <v>71</v>
      </c>
    </row>
    <row r="84" spans="1:3" x14ac:dyDescent="0.25">
      <c r="A84" s="46">
        <f t="shared" si="1"/>
        <v>84</v>
      </c>
      <c r="B84" s="285"/>
    </row>
    <row r="85" spans="1:3" x14ac:dyDescent="0.25">
      <c r="A85" s="46">
        <f t="shared" si="1"/>
        <v>85</v>
      </c>
      <c r="B85" s="285"/>
    </row>
    <row r="86" spans="1:3" x14ac:dyDescent="0.25">
      <c r="A86" s="46">
        <f t="shared" si="1"/>
        <v>86</v>
      </c>
      <c r="B86" s="285"/>
    </row>
    <row r="87" spans="1:3" x14ac:dyDescent="0.25">
      <c r="B87" s="285"/>
    </row>
    <row r="88" spans="1:3" x14ac:dyDescent="0.25">
      <c r="B88" s="285"/>
    </row>
    <row r="89" spans="1:3" x14ac:dyDescent="0.25">
      <c r="B89" s="285"/>
    </row>
    <row r="90" spans="1:3" x14ac:dyDescent="0.25">
      <c r="B90" s="285"/>
    </row>
    <row r="91" spans="1:3" x14ac:dyDescent="0.25">
      <c r="B91" s="285"/>
    </row>
    <row r="92" spans="1:3" x14ac:dyDescent="0.25">
      <c r="B92" s="285"/>
    </row>
    <row r="93" spans="1:3" x14ac:dyDescent="0.25">
      <c r="B93" s="285"/>
    </row>
    <row r="95" spans="1:3" x14ac:dyDescent="0.25">
      <c r="B95" s="285"/>
    </row>
    <row r="96" spans="1:3" x14ac:dyDescent="0.25">
      <c r="B96" s="285"/>
    </row>
    <row r="97" spans="2:2" x14ac:dyDescent="0.25">
      <c r="B97" s="285"/>
    </row>
    <row r="98" spans="2:2" x14ac:dyDescent="0.25">
      <c r="B98" s="285"/>
    </row>
    <row r="99" spans="2:2" x14ac:dyDescent="0.25">
      <c r="B99" s="285"/>
    </row>
    <row r="100" spans="2:2" x14ac:dyDescent="0.25">
      <c r="B100" s="285"/>
    </row>
    <row r="101" spans="2:2" x14ac:dyDescent="0.25">
      <c r="B101" s="285"/>
    </row>
    <row r="102" spans="2:2" x14ac:dyDescent="0.25">
      <c r="B102" s="285"/>
    </row>
    <row r="103" spans="2:2" x14ac:dyDescent="0.25">
      <c r="B103" s="285"/>
    </row>
    <row r="104" spans="2:2" x14ac:dyDescent="0.25">
      <c r="B104" s="285"/>
    </row>
    <row r="105" spans="2:2" x14ac:dyDescent="0.25">
      <c r="B105" s="285"/>
    </row>
    <row r="106" spans="2:2" x14ac:dyDescent="0.25">
      <c r="B106" s="285"/>
    </row>
    <row r="107" spans="2:2" x14ac:dyDescent="0.25">
      <c r="B107" s="285"/>
    </row>
    <row r="108" spans="2:2" x14ac:dyDescent="0.25">
      <c r="B108" s="285"/>
    </row>
    <row r="109" spans="2:2" x14ac:dyDescent="0.25">
      <c r="B109" s="285"/>
    </row>
    <row r="110" spans="2:2" x14ac:dyDescent="0.25">
      <c r="B110" s="285"/>
    </row>
    <row r="111" spans="2:2" x14ac:dyDescent="0.25">
      <c r="B111" s="285"/>
    </row>
    <row r="112" spans="2:2" x14ac:dyDescent="0.25">
      <c r="B112" s="285"/>
    </row>
    <row r="113" spans="2:2" x14ac:dyDescent="0.25">
      <c r="B113" s="285"/>
    </row>
    <row r="114" spans="2:2" x14ac:dyDescent="0.25">
      <c r="B114" s="285"/>
    </row>
    <row r="115" spans="2:2" x14ac:dyDescent="0.25">
      <c r="B115" s="285"/>
    </row>
    <row r="116" spans="2:2" x14ac:dyDescent="0.25">
      <c r="B116" s="285"/>
    </row>
    <row r="117" spans="2:2" x14ac:dyDescent="0.25">
      <c r="B117" s="285"/>
    </row>
    <row r="118" spans="2:2" x14ac:dyDescent="0.25">
      <c r="B118" s="285"/>
    </row>
    <row r="119" spans="2:2" x14ac:dyDescent="0.25">
      <c r="B119" s="285"/>
    </row>
    <row r="120" spans="2:2" x14ac:dyDescent="0.25">
      <c r="B120" s="285"/>
    </row>
    <row r="121" spans="2:2" x14ac:dyDescent="0.25">
      <c r="B121" s="285"/>
    </row>
    <row r="122" spans="2:2" x14ac:dyDescent="0.25">
      <c r="B122" s="285"/>
    </row>
    <row r="123" spans="2:2" x14ac:dyDescent="0.25">
      <c r="B123" s="285"/>
    </row>
    <row r="124" spans="2:2" x14ac:dyDescent="0.25">
      <c r="B124" s="285"/>
    </row>
    <row r="125" spans="2:2" x14ac:dyDescent="0.25">
      <c r="B125" s="285"/>
    </row>
    <row r="126" spans="2:2" x14ac:dyDescent="0.25">
      <c r="B126" s="285"/>
    </row>
    <row r="127" spans="2:2" x14ac:dyDescent="0.25">
      <c r="B127" s="285"/>
    </row>
    <row r="128" spans="2:2" x14ac:dyDescent="0.25">
      <c r="B128" s="285"/>
    </row>
    <row r="129" spans="2:2" x14ac:dyDescent="0.25">
      <c r="B129" s="285"/>
    </row>
    <row r="130" spans="2:2" x14ac:dyDescent="0.25">
      <c r="B130" s="285"/>
    </row>
    <row r="131" spans="2:2" x14ac:dyDescent="0.25">
      <c r="B131" s="285"/>
    </row>
    <row r="132" spans="2:2" x14ac:dyDescent="0.25">
      <c r="B132" s="285"/>
    </row>
    <row r="133" spans="2:2" x14ac:dyDescent="0.25">
      <c r="B133" s="285"/>
    </row>
    <row r="134" spans="2:2" x14ac:dyDescent="0.25">
      <c r="B134" s="285"/>
    </row>
    <row r="135" spans="2:2" x14ac:dyDescent="0.25">
      <c r="B135" s="285"/>
    </row>
    <row r="136" spans="2:2" x14ac:dyDescent="0.25">
      <c r="B136" s="285"/>
    </row>
    <row r="137" spans="2:2" x14ac:dyDescent="0.25">
      <c r="B137" s="285"/>
    </row>
    <row r="138" spans="2:2" x14ac:dyDescent="0.25">
      <c r="B138" s="285"/>
    </row>
    <row r="139" spans="2:2" x14ac:dyDescent="0.25">
      <c r="B139" s="285"/>
    </row>
    <row r="140" spans="2:2" x14ac:dyDescent="0.25">
      <c r="B140" s="285"/>
    </row>
    <row r="141" spans="2:2" x14ac:dyDescent="0.25">
      <c r="B141" s="285"/>
    </row>
    <row r="142" spans="2:2" x14ac:dyDescent="0.25">
      <c r="B142" s="285"/>
    </row>
    <row r="143" spans="2:2" x14ac:dyDescent="0.25">
      <c r="B143" s="285"/>
    </row>
    <row r="144" spans="2:2" x14ac:dyDescent="0.25">
      <c r="B144" s="285"/>
    </row>
    <row r="145" spans="2:2" x14ac:dyDescent="0.25">
      <c r="B145" s="285"/>
    </row>
    <row r="146" spans="2:2" x14ac:dyDescent="0.25">
      <c r="B146" s="285"/>
    </row>
    <row r="147" spans="2:2" x14ac:dyDescent="0.25">
      <c r="B147" s="285"/>
    </row>
    <row r="148" spans="2:2" x14ac:dyDescent="0.25">
      <c r="B148" s="285"/>
    </row>
    <row r="149" spans="2:2" x14ac:dyDescent="0.25">
      <c r="B149" s="285"/>
    </row>
  </sheetData>
  <phoneticPr fontId="14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585B-2836-4BDA-9250-F13773F4C007}">
  <dimension ref="A1:O34"/>
  <sheetViews>
    <sheetView zoomScale="50" zoomScaleNormal="50" workbookViewId="0">
      <selection activeCell="AB19" sqref="AB19"/>
    </sheetView>
  </sheetViews>
  <sheetFormatPr defaultRowHeight="15" x14ac:dyDescent="0.25"/>
  <cols>
    <col min="1" max="1" width="7.6640625" customWidth="1"/>
    <col min="7" max="7" width="18.109375" customWidth="1"/>
    <col min="8" max="8" width="3.88671875" customWidth="1"/>
  </cols>
  <sheetData>
    <row r="1" spans="1:15" s="1" customFormat="1" ht="32.25" customHeight="1" x14ac:dyDescent="0.25">
      <c r="H1" s="2"/>
    </row>
    <row r="2" spans="1:15" s="1" customFormat="1" ht="33" x14ac:dyDescent="0.25">
      <c r="A2" s="1" t="str">
        <f>'shipper master'!C26</f>
        <v xml:space="preserve"> SY-8100604VT-DD-01</v>
      </c>
      <c r="H2" s="2"/>
      <c r="I2" s="1" t="str">
        <f>'shipper master'!C26</f>
        <v xml:space="preserve"> SY-8100604VT-DD-01</v>
      </c>
    </row>
    <row r="3" spans="1:15" s="1" customFormat="1" ht="33" x14ac:dyDescent="0.25">
      <c r="A3" s="1" t="str">
        <f>'[2]shipper master'!C50</f>
        <v xml:space="preserve">VIVAN GARMENTS VIET NAM </v>
      </c>
      <c r="H3" s="2"/>
      <c r="I3" s="1" t="str">
        <f>'[2]shipper master'!C50</f>
        <v xml:space="preserve">VIVAN GARMENTS VIET NAM </v>
      </c>
    </row>
    <row r="4" spans="1:15" s="1" customFormat="1" ht="33" x14ac:dyDescent="0.25">
      <c r="A4" s="1" t="str">
        <f>'[2]shipper master'!C51</f>
        <v xml:space="preserve"> COMPANY LIMITED</v>
      </c>
      <c r="H4" s="2"/>
      <c r="I4" s="1" t="str">
        <f>'[2]shipper master'!C51</f>
        <v xml:space="preserve"> COMPANY LIMITED</v>
      </c>
    </row>
    <row r="5" spans="1:15" s="1" customFormat="1" ht="33" x14ac:dyDescent="0.25">
      <c r="A5" s="1" t="str">
        <f>'[2]shipper master'!C52</f>
        <v xml:space="preserve"> HOCHIMINH-CITY, VIETNAM</v>
      </c>
      <c r="H5" s="2"/>
      <c r="I5" s="1" t="str">
        <f>'[2]shipper master'!C52</f>
        <v xml:space="preserve"> HOCHIMINH-CITY, VIETNAM</v>
      </c>
    </row>
    <row r="6" spans="1:15" s="1" customFormat="1" ht="33" x14ac:dyDescent="0.25">
      <c r="A6" s="1" t="s">
        <v>96</v>
      </c>
      <c r="C6" s="1">
        <v>1</v>
      </c>
      <c r="D6" s="3"/>
      <c r="H6" s="2"/>
      <c r="I6" s="1" t="s">
        <v>96</v>
      </c>
      <c r="K6" s="1">
        <v>2</v>
      </c>
    </row>
    <row r="7" spans="1:15" s="1" customFormat="1" ht="32.25" customHeight="1" x14ac:dyDescent="0.25">
      <c r="A7" s="1" t="str">
        <f>'[2]shipper master'!C54</f>
        <v xml:space="preserve"> MADE IN JAPAN</v>
      </c>
      <c r="H7" s="2"/>
      <c r="I7" s="1" t="str">
        <f>'[2]shipper master'!C54</f>
        <v xml:space="preserve"> MADE IN JAPAN</v>
      </c>
    </row>
    <row r="8" spans="1:15" s="1" customFormat="1" ht="19.5" customHeight="1" x14ac:dyDescent="0.25">
      <c r="H8" s="2"/>
    </row>
    <row r="9" spans="1:15" s="1" customFormat="1" ht="19.5" customHeight="1" x14ac:dyDescent="0.25">
      <c r="H9" s="2"/>
    </row>
    <row r="10" spans="1:15" s="1" customFormat="1" ht="19.5" customHeight="1" x14ac:dyDescent="0.25">
      <c r="A10" s="4"/>
      <c r="B10" s="4"/>
      <c r="C10" s="4"/>
      <c r="D10" s="4"/>
      <c r="E10" s="4"/>
      <c r="F10" s="4"/>
      <c r="G10" s="4"/>
      <c r="H10" s="5"/>
      <c r="I10" s="4"/>
      <c r="J10" s="4"/>
      <c r="K10" s="4"/>
      <c r="L10" s="4"/>
      <c r="M10" s="4"/>
      <c r="N10" s="4"/>
      <c r="O10" s="4"/>
    </row>
    <row r="11" spans="1:15" s="1" customFormat="1" ht="19.5" customHeight="1" x14ac:dyDescent="0.25">
      <c r="H11" s="2"/>
    </row>
    <row r="12" spans="1:15" s="1" customFormat="1" ht="19.5" customHeight="1" x14ac:dyDescent="0.25">
      <c r="H12" s="2"/>
    </row>
    <row r="13" spans="1:15" s="1" customFormat="1" ht="33" x14ac:dyDescent="0.25">
      <c r="A13" s="1" t="str">
        <f>'shipper master'!C26</f>
        <v xml:space="preserve"> SY-8100604VT-DD-01</v>
      </c>
      <c r="H13" s="2"/>
      <c r="I13" s="1" t="str">
        <f>'shipper master'!C26</f>
        <v xml:space="preserve"> SY-8100604VT-DD-01</v>
      </c>
    </row>
    <row r="14" spans="1:15" s="1" customFormat="1" ht="33" x14ac:dyDescent="0.25">
      <c r="A14" s="1" t="str">
        <f>'[2]shipper master'!C50</f>
        <v xml:space="preserve">VIVAN GARMENTS VIET NAM </v>
      </c>
      <c r="H14" s="2"/>
      <c r="I14" s="1" t="str">
        <f>'[2]shipper master'!C50</f>
        <v xml:space="preserve">VIVAN GARMENTS VIET NAM </v>
      </c>
    </row>
    <row r="15" spans="1:15" s="1" customFormat="1" ht="33" x14ac:dyDescent="0.25">
      <c r="A15" s="1" t="str">
        <f>'[2]shipper master'!C51</f>
        <v xml:space="preserve"> COMPANY LIMITED</v>
      </c>
      <c r="H15" s="2"/>
      <c r="I15" s="1" t="str">
        <f>'[2]shipper master'!C51</f>
        <v xml:space="preserve"> COMPANY LIMITED</v>
      </c>
    </row>
    <row r="16" spans="1:15" s="1" customFormat="1" ht="33" x14ac:dyDescent="0.25">
      <c r="A16" s="1" t="str">
        <f>'[2]shipper master'!C52</f>
        <v xml:space="preserve"> HOCHIMINH-CITY, VIETNAM</v>
      </c>
      <c r="H16" s="2"/>
      <c r="I16" s="1" t="str">
        <f>'[2]shipper master'!C52</f>
        <v xml:space="preserve"> HOCHIMINH-CITY, VIETNAM</v>
      </c>
    </row>
    <row r="17" spans="1:11" s="1" customFormat="1" ht="33" x14ac:dyDescent="0.25">
      <c r="A17" s="1" t="s">
        <v>96</v>
      </c>
      <c r="C17" s="1">
        <v>3</v>
      </c>
      <c r="H17" s="2"/>
      <c r="I17" s="1" t="s">
        <v>96</v>
      </c>
      <c r="K17" s="1">
        <v>4</v>
      </c>
    </row>
    <row r="18" spans="1:11" s="1" customFormat="1" ht="33" x14ac:dyDescent="0.25">
      <c r="A18" s="1" t="str">
        <f>'[2]shipper master'!C54</f>
        <v xml:space="preserve"> MADE IN JAPAN</v>
      </c>
      <c r="H18" s="2"/>
      <c r="I18" s="1" t="str">
        <f>'[2]shipper master'!C54</f>
        <v xml:space="preserve"> MADE IN JAPAN</v>
      </c>
    </row>
    <row r="19" spans="1:11" s="6" customFormat="1" ht="34.200000000000003" x14ac:dyDescent="0.25">
      <c r="A19" s="1"/>
    </row>
    <row r="20" spans="1:11" s="6" customFormat="1" ht="34.200000000000003" x14ac:dyDescent="0.25"/>
    <row r="21" spans="1:11" s="6" customFormat="1" ht="34.200000000000003" x14ac:dyDescent="0.25"/>
    <row r="22" spans="1:11" s="6" customFormat="1" ht="34.200000000000003" x14ac:dyDescent="0.25"/>
    <row r="23" spans="1:11" s="6" customFormat="1" ht="34.200000000000003" x14ac:dyDescent="0.25"/>
    <row r="24" spans="1:11" s="6" customFormat="1" ht="34.200000000000003" x14ac:dyDescent="0.25"/>
    <row r="25" spans="1:11" s="6" customFormat="1" ht="34.200000000000003" x14ac:dyDescent="0.25"/>
    <row r="26" spans="1:11" s="1" customFormat="1" ht="33" x14ac:dyDescent="0.25"/>
    <row r="27" spans="1:11" s="1" customFormat="1" ht="33" x14ac:dyDescent="0.25"/>
    <row r="28" spans="1:11" s="1" customFormat="1" ht="33" x14ac:dyDescent="0.25"/>
    <row r="29" spans="1:11" s="1" customFormat="1" ht="33" x14ac:dyDescent="0.25"/>
    <row r="30" spans="1:11" s="1" customFormat="1" ht="33" x14ac:dyDescent="0.25"/>
    <row r="31" spans="1:11" s="1" customFormat="1" ht="33" x14ac:dyDescent="0.25"/>
    <row r="32" spans="1:11" s="1" customFormat="1" ht="33" x14ac:dyDescent="0.25"/>
    <row r="33" s="1" customFormat="1" ht="33" x14ac:dyDescent="0.25"/>
    <row r="34" s="1" customFormat="1" ht="33" x14ac:dyDescent="0.25"/>
  </sheetData>
  <phoneticPr fontId="14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566B-09EC-4DA3-BA5A-98BCA7A42B85}">
  <sheetPr>
    <tabColor rgb="FFFFFF00"/>
    <pageSetUpPr fitToPage="1"/>
  </sheetPr>
  <dimension ref="A1:O92"/>
  <sheetViews>
    <sheetView showZeros="0" view="pageBreakPreview" zoomScale="90" zoomScaleNormal="115" zoomScaleSheetLayoutView="90" workbookViewId="0">
      <selection activeCell="R22" sqref="R22"/>
    </sheetView>
  </sheetViews>
  <sheetFormatPr defaultColWidth="9" defaultRowHeight="19.2" x14ac:dyDescent="0.25"/>
  <cols>
    <col min="1" max="1" width="8.6640625" style="11" customWidth="1"/>
    <col min="2" max="2" width="11.6640625" style="11" customWidth="1"/>
    <col min="3" max="3" width="4.77734375" style="11" customWidth="1"/>
    <col min="4" max="4" width="19.21875" style="11" customWidth="1"/>
    <col min="5" max="5" width="6.109375" style="11" customWidth="1"/>
    <col min="6" max="7" width="3.109375" style="11" customWidth="1"/>
    <col min="8" max="8" width="2.88671875" style="11" customWidth="1"/>
    <col min="9" max="9" width="3.109375" style="11" hidden="1" customWidth="1"/>
    <col min="10" max="12" width="8.44140625" style="11" customWidth="1"/>
    <col min="13" max="13" width="9.88671875" style="11" customWidth="1"/>
    <col min="14" max="14" width="13" style="11" customWidth="1"/>
    <col min="15" max="15" width="13.88671875" style="11" customWidth="1"/>
    <col min="16" max="16384" width="9" style="11"/>
  </cols>
  <sheetData>
    <row r="1" spans="1:15" s="192" customFormat="1" ht="32.25" customHeight="1" x14ac:dyDescent="0.25">
      <c r="A1" s="334" t="s">
        <v>97</v>
      </c>
      <c r="B1" s="334"/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</row>
    <row r="2" spans="1:15" ht="23.25" customHeight="1" x14ac:dyDescent="0.25">
      <c r="A2" s="193" t="str">
        <f>'[3]shipper master'!C2</f>
        <v xml:space="preserve"> SHUNYA CO., LTD.</v>
      </c>
      <c r="B2" s="194"/>
      <c r="C2" s="194"/>
      <c r="D2" s="194"/>
      <c r="E2" s="194"/>
      <c r="F2" s="32"/>
      <c r="G2" s="32"/>
      <c r="H2" s="32"/>
      <c r="I2" s="32"/>
      <c r="J2" s="32"/>
      <c r="K2" s="32"/>
      <c r="L2" s="32"/>
      <c r="M2" s="32"/>
      <c r="N2" s="195"/>
      <c r="O2" s="32"/>
    </row>
    <row r="3" spans="1:15" ht="15.75" customHeight="1" x14ac:dyDescent="0.25">
      <c r="A3" s="69" t="str">
        <f>'[3]shipper master'!C3</f>
        <v xml:space="preserve"> KENSHIN BLDG., 1F, 1-22-10 DOUGENZAKA,</v>
      </c>
      <c r="B3" s="194"/>
      <c r="C3" s="194"/>
      <c r="D3" s="194"/>
      <c r="E3" s="194"/>
      <c r="F3" s="32"/>
      <c r="G3" s="32"/>
      <c r="H3" s="32"/>
      <c r="I3" s="32"/>
      <c r="J3" s="32"/>
      <c r="K3" s="32"/>
      <c r="L3" s="32"/>
      <c r="M3" s="32"/>
      <c r="N3" s="195"/>
      <c r="O3" s="32"/>
    </row>
    <row r="4" spans="1:15" ht="18" customHeight="1" x14ac:dyDescent="0.25">
      <c r="A4" s="69" t="str">
        <f>'[3]shipper master'!C4</f>
        <v xml:space="preserve"> SHIBUYA-KU 150-0043</v>
      </c>
      <c r="B4" s="194"/>
      <c r="C4" s="194"/>
      <c r="D4" s="194"/>
      <c r="E4" s="194"/>
      <c r="F4" s="196"/>
      <c r="G4" s="196"/>
      <c r="H4" s="196"/>
      <c r="I4" s="196"/>
      <c r="J4" s="196"/>
      <c r="K4" s="196"/>
      <c r="L4" s="196"/>
      <c r="M4" s="32"/>
      <c r="N4" s="69">
        <f>'[3]shipper master'!C6</f>
        <v>0</v>
      </c>
      <c r="O4" s="32"/>
    </row>
    <row r="5" spans="1:15" ht="19.8" thickBot="1" x14ac:dyDescent="0.3">
      <c r="A5" s="197" t="str">
        <f>'[3]shipper master'!C5</f>
        <v xml:space="preserve"> TEL : +81(0)3-5459-1177</v>
      </c>
      <c r="B5" s="194"/>
      <c r="C5" s="194"/>
      <c r="D5" s="194"/>
      <c r="E5" s="32"/>
      <c r="F5" s="32"/>
      <c r="G5" s="32"/>
      <c r="H5" s="32"/>
      <c r="I5" s="32"/>
      <c r="J5" s="32"/>
      <c r="K5" s="32"/>
      <c r="L5" s="32"/>
      <c r="M5" s="32"/>
      <c r="N5" s="69">
        <f>'[3]shipper master'!C7</f>
        <v>0</v>
      </c>
      <c r="O5" s="198"/>
    </row>
    <row r="6" spans="1:15" ht="13.35" customHeight="1" x14ac:dyDescent="0.25">
      <c r="A6" s="199" t="s">
        <v>98</v>
      </c>
      <c r="B6" s="200"/>
      <c r="C6" s="200"/>
      <c r="D6" s="200"/>
      <c r="E6" s="200"/>
      <c r="F6" s="201" t="s">
        <v>99</v>
      </c>
      <c r="G6" s="202"/>
      <c r="H6" s="202"/>
      <c r="I6" s="202"/>
      <c r="J6" s="200"/>
      <c r="K6" s="200"/>
      <c r="L6" s="200"/>
      <c r="M6" s="203"/>
      <c r="N6" s="201" t="s">
        <v>100</v>
      </c>
      <c r="O6" s="195"/>
    </row>
    <row r="7" spans="1:15" ht="13.35" customHeight="1" x14ac:dyDescent="0.25">
      <c r="A7" s="69" t="str">
        <f>'[3]shipper master'!C9</f>
        <v>VIVAN GARMENTS VIET NAM COMPANY LIMITED</v>
      </c>
      <c r="B7" s="195"/>
      <c r="C7" s="195"/>
      <c r="D7" s="195"/>
      <c r="E7" s="195"/>
      <c r="F7" s="204" t="str">
        <f>'shipper master'!C26</f>
        <v xml:space="preserve"> SY-8100604VT-DD-01</v>
      </c>
      <c r="G7" s="205"/>
      <c r="H7" s="205"/>
      <c r="I7" s="205"/>
      <c r="J7" s="205"/>
      <c r="K7" s="205"/>
      <c r="L7" s="205"/>
      <c r="M7" s="206"/>
      <c r="N7" s="207"/>
      <c r="O7" s="195"/>
    </row>
    <row r="8" spans="1:15" ht="13.35" customHeight="1" x14ac:dyDescent="0.25">
      <c r="A8" s="69" t="str">
        <f>'[3]shipper master'!C10</f>
        <v>D17 Street , Sai Gon South Residential Area</v>
      </c>
      <c r="B8" s="195"/>
      <c r="C8" s="195"/>
      <c r="D8" s="195"/>
      <c r="E8" s="195"/>
      <c r="F8" s="208" t="s">
        <v>101</v>
      </c>
      <c r="G8" s="199"/>
      <c r="H8" s="199"/>
      <c r="I8" s="199"/>
      <c r="J8" s="195"/>
      <c r="K8" s="195"/>
      <c r="L8" s="195"/>
      <c r="M8" s="209"/>
      <c r="N8" s="210" t="str">
        <f>F7</f>
        <v xml:space="preserve"> SY-8100604VT-DD-01</v>
      </c>
      <c r="O8" s="195"/>
    </row>
    <row r="9" spans="1:15" ht="13.35" customHeight="1" x14ac:dyDescent="0.25">
      <c r="A9" s="69" t="str">
        <f>'[3]shipper master'!C11</f>
        <v>Hamlet 3 , Long Hau Commune , Can Giuoc District,</v>
      </c>
      <c r="B9" s="195"/>
      <c r="C9" s="195"/>
      <c r="D9" s="195"/>
      <c r="E9" s="195"/>
      <c r="F9" s="211" t="str">
        <f>'shipper master'!C25</f>
        <v xml:space="preserve"> JUN, 4 2026</v>
      </c>
      <c r="G9" s="212"/>
      <c r="H9" s="212"/>
      <c r="I9" s="212"/>
      <c r="J9" s="212"/>
      <c r="K9" s="212"/>
      <c r="L9" s="212"/>
      <c r="M9" s="213"/>
      <c r="N9" s="210" t="s">
        <v>159</v>
      </c>
      <c r="O9" s="195"/>
    </row>
    <row r="10" spans="1:15" ht="13.35" customHeight="1" x14ac:dyDescent="0.25">
      <c r="A10" s="69" t="str">
        <f>'[3]shipper master'!C12</f>
        <v xml:space="preserve"> Long An Province , VietNam</v>
      </c>
      <c r="B10" s="195"/>
      <c r="C10" s="195"/>
      <c r="D10" s="195"/>
      <c r="E10" s="195"/>
      <c r="F10" s="208" t="s">
        <v>102</v>
      </c>
      <c r="G10" s="199"/>
      <c r="H10" s="199"/>
      <c r="I10" s="199"/>
      <c r="J10" s="195"/>
      <c r="K10" s="195"/>
      <c r="L10" s="195"/>
      <c r="M10" s="209"/>
      <c r="N10" s="210" t="s">
        <v>160</v>
      </c>
      <c r="O10" s="195"/>
    </row>
    <row r="11" spans="1:15" ht="13.35" customHeight="1" x14ac:dyDescent="0.25">
      <c r="A11" s="205" t="str">
        <f>'[3]shipper master'!C13</f>
        <v xml:space="preserve"> TEL : ( 084 ) 097 22 00 798  ATTN : MR. TUAN</v>
      </c>
      <c r="B11" s="195"/>
      <c r="C11" s="195"/>
      <c r="D11" s="195"/>
      <c r="E11" s="214"/>
      <c r="F11" s="335" t="str">
        <f>'shipper master'!C26</f>
        <v xml:space="preserve"> SY-8100604VT-DD-01</v>
      </c>
      <c r="G11" s="336"/>
      <c r="H11" s="336"/>
      <c r="I11" s="336"/>
      <c r="J11" s="336"/>
      <c r="K11" s="336"/>
      <c r="L11" s="336"/>
      <c r="M11" s="337"/>
      <c r="N11" s="210" t="str">
        <f>'[2]shipper master'!C52</f>
        <v xml:space="preserve"> HOCHIMINH-CITY, VIETNAM</v>
      </c>
      <c r="O11" s="195"/>
    </row>
    <row r="12" spans="1:15" ht="13.35" customHeight="1" x14ac:dyDescent="0.25">
      <c r="A12" s="199" t="s">
        <v>103</v>
      </c>
      <c r="B12" s="215"/>
      <c r="C12" s="215"/>
      <c r="D12" s="215"/>
      <c r="E12" s="195"/>
      <c r="F12" s="208" t="s">
        <v>104</v>
      </c>
      <c r="G12" s="199"/>
      <c r="H12" s="199"/>
      <c r="I12" s="199"/>
      <c r="J12" s="195"/>
      <c r="K12" s="195"/>
      <c r="L12" s="195"/>
      <c r="M12" s="195"/>
      <c r="N12" s="216" t="s">
        <v>291</v>
      </c>
      <c r="O12" s="195"/>
    </row>
    <row r="13" spans="1:15" ht="13.35" customHeight="1" x14ac:dyDescent="0.25">
      <c r="A13" s="69" t="str">
        <f>'[3]shipper master'!C15</f>
        <v xml:space="preserve"> - SAME AS BUYER -</v>
      </c>
      <c r="B13" s="195"/>
      <c r="C13" s="195"/>
      <c r="D13" s="195"/>
      <c r="E13" s="195"/>
      <c r="F13" s="335">
        <f>'[3]shipper master'!C30</f>
        <v>0</v>
      </c>
      <c r="G13" s="336"/>
      <c r="H13" s="336"/>
      <c r="I13" s="336"/>
      <c r="J13" s="336"/>
      <c r="K13" s="336"/>
      <c r="L13" s="336"/>
      <c r="M13" s="337"/>
      <c r="N13" s="210" t="s">
        <v>155</v>
      </c>
      <c r="O13" s="195"/>
    </row>
    <row r="14" spans="1:15" ht="13.35" customHeight="1" x14ac:dyDescent="0.25">
      <c r="A14" s="69">
        <f>'[3]shipper master'!C16</f>
        <v>0</v>
      </c>
      <c r="B14" s="195"/>
      <c r="C14" s="195"/>
      <c r="D14" s="195"/>
      <c r="E14" s="195"/>
      <c r="F14" s="217" t="s">
        <v>24</v>
      </c>
      <c r="G14" s="69"/>
      <c r="H14" s="69"/>
      <c r="I14" s="69"/>
      <c r="J14" s="69"/>
      <c r="K14" s="69"/>
      <c r="L14" s="69"/>
      <c r="M14" s="218"/>
      <c r="N14" s="210"/>
      <c r="O14" s="195"/>
    </row>
    <row r="15" spans="1:15" ht="13.35" customHeight="1" x14ac:dyDescent="0.25">
      <c r="A15" s="69">
        <f>'[3]shipper master'!C17</f>
        <v>0</v>
      </c>
      <c r="B15" s="195"/>
      <c r="C15" s="195"/>
      <c r="D15" s="195"/>
      <c r="E15" s="195"/>
      <c r="F15" s="335">
        <f>'[3]shipper master'!C29</f>
        <v>0</v>
      </c>
      <c r="G15" s="336"/>
      <c r="H15" s="336"/>
      <c r="I15" s="336"/>
      <c r="J15" s="336"/>
      <c r="K15" s="336"/>
      <c r="L15" s="336"/>
      <c r="M15" s="337"/>
      <c r="N15" s="210"/>
      <c r="O15" s="195"/>
    </row>
    <row r="16" spans="1:15" ht="13.35" customHeight="1" x14ac:dyDescent="0.25">
      <c r="A16" s="69">
        <f>'[3]shipper master'!C18</f>
        <v>0</v>
      </c>
      <c r="B16" s="195"/>
      <c r="C16" s="195"/>
      <c r="D16" s="195"/>
      <c r="E16" s="195"/>
      <c r="F16" s="208" t="s">
        <v>105</v>
      </c>
      <c r="G16" s="199"/>
      <c r="H16" s="199"/>
      <c r="I16" s="199"/>
      <c r="J16" s="195"/>
      <c r="K16" s="195"/>
      <c r="L16" s="195"/>
      <c r="M16" s="195"/>
      <c r="N16" s="207"/>
      <c r="O16" s="195"/>
    </row>
    <row r="17" spans="1:15" ht="13.35" customHeight="1" x14ac:dyDescent="0.25">
      <c r="A17" s="205">
        <f>'[3]shipper master'!C19</f>
        <v>0</v>
      </c>
      <c r="B17" s="214"/>
      <c r="C17" s="214"/>
      <c r="D17" s="214"/>
      <c r="E17" s="214"/>
      <c r="F17" s="338"/>
      <c r="G17" s="339"/>
      <c r="H17" s="339"/>
      <c r="I17" s="339"/>
      <c r="J17" s="339"/>
      <c r="K17" s="339"/>
      <c r="L17" s="339"/>
      <c r="M17" s="340"/>
      <c r="N17" s="207"/>
      <c r="O17" s="195"/>
    </row>
    <row r="18" spans="1:15" ht="13.35" customHeight="1" x14ac:dyDescent="0.25">
      <c r="A18" s="199" t="s">
        <v>106</v>
      </c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207"/>
      <c r="O18" s="195"/>
    </row>
    <row r="19" spans="1:15" ht="13.35" customHeight="1" x14ac:dyDescent="0.25">
      <c r="A19" s="205" t="str">
        <f>'[3]shipper master'!C21</f>
        <v xml:space="preserve"> NO COMMERCIAL</v>
      </c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9"/>
      <c r="O19" s="214"/>
    </row>
    <row r="20" spans="1:15" ht="13.35" customHeight="1" x14ac:dyDescent="0.3">
      <c r="A20" s="199" t="s">
        <v>107</v>
      </c>
      <c r="B20" s="195"/>
      <c r="C20" s="195"/>
      <c r="D20" s="220" t="s">
        <v>108</v>
      </c>
      <c r="E20" s="221"/>
      <c r="F20" s="199" t="s">
        <v>109</v>
      </c>
      <c r="G20" s="199"/>
      <c r="H20" s="199"/>
      <c r="I20" s="199"/>
      <c r="J20" s="222" t="s">
        <v>110</v>
      </c>
      <c r="K20" s="222" t="s">
        <v>110</v>
      </c>
      <c r="L20" s="222" t="s">
        <v>110</v>
      </c>
      <c r="M20" s="223"/>
      <c r="N20" s="199" t="s">
        <v>111</v>
      </c>
      <c r="O20" s="195"/>
    </row>
    <row r="21" spans="1:15" s="55" customFormat="1" ht="13.35" customHeight="1" thickBot="1" x14ac:dyDescent="0.3">
      <c r="A21" s="69" t="str">
        <f>'[3]shipper master'!C24</f>
        <v xml:space="preserve"> AIRCRAFT</v>
      </c>
      <c r="B21" s="197"/>
      <c r="C21" s="69"/>
      <c r="D21" s="224" t="str">
        <f>'[3]shipper master'!C32</f>
        <v xml:space="preserve"> TOKYO, JAPAN</v>
      </c>
      <c r="E21" s="225"/>
      <c r="F21" s="225"/>
      <c r="G21" s="225" t="str">
        <f>'[3]shipper master'!C33</f>
        <v xml:space="preserve"> HOCHIMINH-CITY, VIETNAM</v>
      </c>
      <c r="H21" s="69"/>
      <c r="I21" s="69"/>
      <c r="J21" s="197"/>
      <c r="K21" s="197"/>
      <c r="L21" s="197"/>
      <c r="M21" s="197"/>
      <c r="N21" s="225"/>
      <c r="O21" s="197"/>
    </row>
    <row r="22" spans="1:15" s="230" customFormat="1" ht="16.350000000000001" customHeight="1" x14ac:dyDescent="0.25">
      <c r="A22" s="226" t="s">
        <v>112</v>
      </c>
      <c r="B22" s="226" t="s">
        <v>113</v>
      </c>
      <c r="C22" s="226"/>
      <c r="D22" s="227" t="s">
        <v>114</v>
      </c>
      <c r="E22" s="226" t="s">
        <v>115</v>
      </c>
      <c r="F22" s="227"/>
      <c r="G22" s="227"/>
      <c r="H22" s="227" t="s">
        <v>116</v>
      </c>
      <c r="I22" s="227"/>
      <c r="J22" s="227"/>
      <c r="K22" s="227"/>
      <c r="L22" s="227"/>
      <c r="M22" s="228" t="s">
        <v>117</v>
      </c>
      <c r="N22" s="226" t="s">
        <v>118</v>
      </c>
      <c r="O22" s="229" t="s">
        <v>119</v>
      </c>
    </row>
    <row r="23" spans="1:15" ht="13.35" customHeight="1" x14ac:dyDescent="0.25">
      <c r="A23" s="231"/>
      <c r="B23" s="232"/>
      <c r="C23" s="232"/>
      <c r="D23" s="195"/>
      <c r="E23" s="232"/>
      <c r="F23" s="195"/>
      <c r="G23" s="195"/>
      <c r="H23" s="195"/>
      <c r="I23" s="195"/>
      <c r="J23" s="195"/>
      <c r="K23" s="195"/>
      <c r="L23" s="195"/>
      <c r="M23" s="233"/>
      <c r="N23" s="195"/>
      <c r="O23" s="207"/>
    </row>
    <row r="24" spans="1:15" s="55" customFormat="1" ht="13.35" customHeight="1" x14ac:dyDescent="0.35">
      <c r="A24" s="234"/>
      <c r="B24" s="235" t="str">
        <f>'[3]shipper master'!C36</f>
        <v>FABRIC &amp; PARTS FOR WEAR &amp; SAMPLE CLOTHES</v>
      </c>
      <c r="C24" s="235"/>
      <c r="D24" s="225"/>
      <c r="E24" s="225"/>
      <c r="F24" s="225"/>
      <c r="G24" s="225"/>
      <c r="H24" s="225"/>
      <c r="I24" s="225"/>
      <c r="J24" s="225"/>
      <c r="K24" s="225"/>
      <c r="L24" s="225"/>
      <c r="M24" s="236"/>
      <c r="N24" s="342" t="str">
        <f>'[3]shipper master'!C48</f>
        <v>F.O.B. TOKYO IN YEN</v>
      </c>
      <c r="O24" s="343"/>
    </row>
    <row r="25" spans="1:15" s="55" customFormat="1" ht="13.35" customHeight="1" x14ac:dyDescent="0.35">
      <c r="A25" s="234"/>
      <c r="B25" s="235"/>
      <c r="C25" s="235"/>
      <c r="D25" s="225"/>
      <c r="E25" s="225"/>
      <c r="F25" s="225"/>
      <c r="G25" s="225"/>
      <c r="H25" s="225"/>
      <c r="I25" s="225"/>
      <c r="J25" s="225"/>
      <c r="K25" s="225"/>
      <c r="L25" s="225"/>
      <c r="M25" s="236"/>
      <c r="N25" s="237"/>
      <c r="O25" s="238"/>
    </row>
    <row r="26" spans="1:15" s="55" customFormat="1" ht="13.35" customHeight="1" x14ac:dyDescent="0.25">
      <c r="A26" s="239"/>
      <c r="B26" s="67" t="s">
        <v>35</v>
      </c>
      <c r="C26" s="235"/>
      <c r="D26" s="225"/>
      <c r="E26" s="225"/>
      <c r="F26" s="69"/>
      <c r="G26" s="69"/>
      <c r="H26" s="69"/>
      <c r="I26" s="69"/>
      <c r="J26" s="69"/>
      <c r="K26" s="69"/>
      <c r="L26" s="69"/>
      <c r="M26" s="240">
        <f>SUM(ATTACHED!E116)</f>
        <v>296.5</v>
      </c>
      <c r="N26" s="241" t="s">
        <v>132</v>
      </c>
      <c r="O26" s="242">
        <f>SUM(ATTACHED!H116)</f>
        <v>120205</v>
      </c>
    </row>
    <row r="27" spans="1:15" s="55" customFormat="1" ht="13.35" customHeight="1" x14ac:dyDescent="0.25">
      <c r="A27" s="50"/>
      <c r="C27" s="225"/>
      <c r="D27" s="69"/>
      <c r="E27" s="225"/>
      <c r="F27" s="225"/>
      <c r="G27" s="225"/>
      <c r="H27" s="225"/>
      <c r="I27" s="225"/>
      <c r="J27" s="225"/>
      <c r="K27" s="225"/>
      <c r="L27" s="225"/>
      <c r="M27" s="243">
        <f>SUM(ATTACHED!E117)</f>
        <v>3426</v>
      </c>
      <c r="N27" s="241" t="s">
        <v>130</v>
      </c>
      <c r="O27" s="242">
        <f>SUM(ATTACHED!H117)</f>
        <v>372754</v>
      </c>
    </row>
    <row r="28" spans="1:15" s="55" customFormat="1" ht="13.95" customHeight="1" x14ac:dyDescent="0.25">
      <c r="A28" s="50"/>
      <c r="B28" s="225"/>
      <c r="C28" s="225"/>
      <c r="D28" s="69"/>
      <c r="E28" s="225"/>
      <c r="F28" s="225"/>
      <c r="G28" s="225"/>
      <c r="H28" s="225"/>
      <c r="I28" s="225"/>
      <c r="J28" s="225"/>
      <c r="K28" s="225"/>
      <c r="L28" s="225"/>
      <c r="M28" s="244">
        <f>ATTACHED!E118</f>
        <v>0</v>
      </c>
      <c r="N28" s="245"/>
      <c r="O28" s="246">
        <f>ATTACHED!H118</f>
        <v>0</v>
      </c>
    </row>
    <row r="29" spans="1:15" s="55" customFormat="1" ht="13.35" customHeight="1" x14ac:dyDescent="0.35">
      <c r="A29" s="247"/>
      <c r="C29" s="67"/>
      <c r="D29" s="69"/>
      <c r="E29" s="225"/>
      <c r="F29" s="69"/>
      <c r="G29" s="69"/>
      <c r="H29" s="69"/>
      <c r="I29" s="69"/>
      <c r="J29" s="69"/>
      <c r="K29" s="69"/>
      <c r="L29" s="69"/>
      <c r="M29" s="248"/>
      <c r="N29" s="249"/>
      <c r="O29" s="246"/>
    </row>
    <row r="30" spans="1:15" s="55" customFormat="1" ht="13.35" customHeight="1" x14ac:dyDescent="0.35">
      <c r="A30" s="247"/>
      <c r="B30" s="67"/>
      <c r="C30" s="67"/>
      <c r="D30" s="69"/>
      <c r="E30" s="225"/>
      <c r="F30" s="69"/>
      <c r="G30" s="69"/>
      <c r="H30" s="69"/>
      <c r="I30" s="69"/>
      <c r="J30" s="69"/>
      <c r="K30" s="69"/>
      <c r="L30" s="69"/>
      <c r="M30" s="248"/>
      <c r="N30" s="249"/>
      <c r="O30" s="246"/>
    </row>
    <row r="31" spans="1:15" s="55" customFormat="1" ht="17.25" customHeight="1" thickBot="1" x14ac:dyDescent="0.3">
      <c r="A31" s="250"/>
      <c r="B31" s="251" t="s">
        <v>129</v>
      </c>
      <c r="C31" s="252"/>
      <c r="D31" s="253"/>
      <c r="E31" s="341">
        <f>M26</f>
        <v>296.5</v>
      </c>
      <c r="F31" s="341"/>
      <c r="G31" s="341"/>
      <c r="H31" s="341"/>
      <c r="I31" s="254"/>
      <c r="J31" s="254" t="s">
        <v>131</v>
      </c>
      <c r="K31" s="255">
        <f>K29</f>
        <v>0</v>
      </c>
      <c r="L31" s="256">
        <f>M27</f>
        <v>3426</v>
      </c>
      <c r="M31" s="257" t="s">
        <v>83</v>
      </c>
      <c r="N31" s="258"/>
      <c r="O31" s="259">
        <f>SUM(O26:O30)</f>
        <v>492959</v>
      </c>
    </row>
    <row r="32" spans="1:15" s="55" customFormat="1" ht="13.35" customHeight="1" thickTop="1" x14ac:dyDescent="0.35">
      <c r="A32" s="260"/>
      <c r="B32" s="261"/>
      <c r="C32" s="261"/>
      <c r="D32" s="69"/>
      <c r="E32" s="262"/>
      <c r="F32" s="69"/>
      <c r="G32" s="262"/>
      <c r="H32" s="69"/>
      <c r="I32" s="69"/>
      <c r="J32" s="69"/>
      <c r="K32" s="69"/>
      <c r="L32" s="69"/>
      <c r="M32" s="247"/>
      <c r="N32" s="263"/>
      <c r="O32" s="260"/>
    </row>
    <row r="33" spans="1:15" s="55" customFormat="1" ht="13.35" customHeight="1" x14ac:dyDescent="0.35">
      <c r="A33" s="69"/>
      <c r="B33" s="225"/>
      <c r="C33" s="225"/>
      <c r="D33" s="69"/>
      <c r="E33" s="69"/>
      <c r="F33" s="69"/>
      <c r="G33" s="69"/>
      <c r="H33" s="69"/>
      <c r="I33" s="69"/>
      <c r="J33" s="69"/>
      <c r="K33" s="69"/>
      <c r="L33" s="69"/>
      <c r="M33" s="264"/>
      <c r="N33" s="263"/>
      <c r="O33" s="265"/>
    </row>
    <row r="34" spans="1:15" s="55" customFormat="1" ht="13.35" customHeight="1" x14ac:dyDescent="0.35">
      <c r="A34" s="69" t="str">
        <f>'[3]shipper master'!C63</f>
        <v>" THESE GOODS WILL BE RETURN TO JAPAN</v>
      </c>
      <c r="B34" s="266"/>
      <c r="C34" s="266"/>
      <c r="D34" s="266"/>
      <c r="E34" s="266"/>
      <c r="F34" s="266"/>
      <c r="G34" s="69"/>
      <c r="H34" s="69"/>
      <c r="I34" s="69" t="s">
        <v>120</v>
      </c>
      <c r="J34" s="69"/>
      <c r="K34" s="69"/>
      <c r="L34" s="69"/>
      <c r="M34" s="264" t="s">
        <v>121</v>
      </c>
      <c r="N34" s="263"/>
      <c r="O34" s="69"/>
    </row>
    <row r="35" spans="1:15" s="55" customFormat="1" ht="13.35" customHeight="1" x14ac:dyDescent="0.35">
      <c r="A35" s="333" t="str">
        <f>'[3]shipper master'!C64</f>
        <v xml:space="preserve">  AFTER MANUFACTURED AT VIET NAM "</v>
      </c>
      <c r="B35" s="333"/>
      <c r="C35" s="333"/>
      <c r="D35" s="333"/>
      <c r="E35" s="225"/>
      <c r="F35" s="69"/>
      <c r="G35" s="69"/>
      <c r="H35" s="69"/>
      <c r="I35" s="69" t="s">
        <v>122</v>
      </c>
      <c r="J35" s="69"/>
      <c r="K35" s="69"/>
      <c r="L35" s="69"/>
      <c r="M35" s="264" t="s">
        <v>123</v>
      </c>
      <c r="N35" s="263"/>
      <c r="O35" s="265"/>
    </row>
    <row r="36" spans="1:15" s="55" customFormat="1" ht="13.35" customHeight="1" x14ac:dyDescent="0.35">
      <c r="A36" s="69"/>
      <c r="B36" s="225"/>
      <c r="C36" s="225"/>
      <c r="D36" s="225">
        <f>'[3]shipper master'!C58</f>
        <v>0</v>
      </c>
      <c r="E36" s="225"/>
      <c r="F36" s="69"/>
      <c r="G36" s="69"/>
      <c r="H36" s="69"/>
      <c r="I36" s="69"/>
      <c r="J36" s="69"/>
      <c r="K36" s="69"/>
      <c r="L36" s="69"/>
      <c r="M36" s="247"/>
      <c r="N36" s="263"/>
      <c r="O36" s="69"/>
    </row>
    <row r="37" spans="1:15" s="55" customFormat="1" ht="13.35" customHeight="1" x14ac:dyDescent="0.35">
      <c r="A37" s="225" t="str">
        <f>'shipper master'!C60</f>
        <v>COUNTRY OF ORIGIN : JAPAN</v>
      </c>
      <c r="B37" s="225"/>
      <c r="C37" s="225"/>
      <c r="D37" s="225"/>
      <c r="E37" s="225"/>
      <c r="F37" s="69"/>
      <c r="G37" s="69"/>
      <c r="H37" s="69"/>
      <c r="I37" s="69"/>
      <c r="J37" s="69"/>
      <c r="K37" s="69"/>
      <c r="L37" s="69"/>
      <c r="M37" s="247"/>
      <c r="N37" s="263"/>
      <c r="O37" s="69"/>
    </row>
    <row r="38" spans="1:15" s="55" customFormat="1" ht="13.35" customHeight="1" x14ac:dyDescent="0.35">
      <c r="A38" s="225"/>
      <c r="B38" s="225"/>
      <c r="C38" s="225"/>
      <c r="D38" s="225"/>
      <c r="E38" s="225"/>
      <c r="F38" s="69"/>
      <c r="G38" s="69"/>
      <c r="H38" s="69"/>
      <c r="I38" s="69"/>
      <c r="J38" s="69"/>
      <c r="K38" s="69"/>
      <c r="L38" s="69"/>
      <c r="M38" s="247"/>
      <c r="N38" s="263"/>
      <c r="O38" s="69"/>
    </row>
    <row r="39" spans="1:15" s="55" customFormat="1" ht="13.35" customHeight="1" x14ac:dyDescent="0.35">
      <c r="A39" s="267" t="s">
        <v>124</v>
      </c>
      <c r="B39" s="268"/>
      <c r="C39" s="268"/>
      <c r="D39" s="269" t="s">
        <v>290</v>
      </c>
      <c r="E39" s="225"/>
      <c r="F39" s="69"/>
      <c r="G39" s="69"/>
      <c r="H39" s="69"/>
      <c r="I39" s="69"/>
      <c r="J39" s="69"/>
      <c r="K39" s="69"/>
      <c r="L39" s="69"/>
      <c r="M39" s="247"/>
      <c r="N39" s="263"/>
      <c r="O39" s="69"/>
    </row>
    <row r="40" spans="1:15" s="55" customFormat="1" ht="13.35" customHeight="1" x14ac:dyDescent="0.35">
      <c r="A40" s="267" t="s">
        <v>125</v>
      </c>
      <c r="B40" s="268"/>
      <c r="C40" s="268"/>
      <c r="D40" s="269" t="s">
        <v>126</v>
      </c>
      <c r="E40" s="225"/>
      <c r="F40" s="69"/>
      <c r="G40" s="69"/>
      <c r="H40" s="69"/>
      <c r="I40" s="69"/>
      <c r="J40" s="69"/>
      <c r="K40" s="69"/>
      <c r="L40" s="69"/>
      <c r="M40" s="247"/>
      <c r="N40" s="263"/>
      <c r="O40" s="69"/>
    </row>
    <row r="41" spans="1:15" s="55" customFormat="1" ht="13.35" customHeight="1" x14ac:dyDescent="0.35">
      <c r="A41" s="270"/>
      <c r="B41" s="235"/>
      <c r="C41" s="235"/>
      <c r="D41" s="271"/>
      <c r="E41" s="235"/>
      <c r="F41" s="272"/>
      <c r="G41" s="272"/>
      <c r="H41" s="272"/>
      <c r="I41" s="69"/>
      <c r="J41" s="69"/>
      <c r="K41" s="69"/>
      <c r="L41" s="69"/>
      <c r="M41" s="247"/>
      <c r="N41" s="263"/>
      <c r="O41" s="69"/>
    </row>
    <row r="42" spans="1:15" ht="18" customHeight="1" x14ac:dyDescent="0.4">
      <c r="A42" s="270"/>
      <c r="B42" s="195"/>
      <c r="C42" s="195"/>
      <c r="D42" s="195"/>
      <c r="E42" s="195"/>
      <c r="F42" s="195"/>
      <c r="G42" s="195"/>
      <c r="H42" s="232"/>
      <c r="I42" s="195"/>
      <c r="J42" s="195"/>
      <c r="K42" s="195"/>
      <c r="L42" s="195"/>
      <c r="M42" s="232"/>
      <c r="N42" s="273"/>
      <c r="O42" s="195"/>
    </row>
    <row r="43" spans="1:15" ht="13.35" customHeight="1" x14ac:dyDescent="0.4">
      <c r="A43" s="195"/>
      <c r="B43" s="274"/>
      <c r="C43" s="274"/>
      <c r="D43" s="195"/>
      <c r="E43" s="195"/>
      <c r="F43" s="195"/>
      <c r="G43" s="195"/>
      <c r="H43" s="195"/>
      <c r="I43" s="195"/>
      <c r="J43" s="195"/>
      <c r="K43" s="195"/>
      <c r="L43" s="195"/>
      <c r="M43" s="275"/>
      <c r="N43" s="273"/>
      <c r="O43" s="195"/>
    </row>
    <row r="44" spans="1:15" ht="13.35" customHeight="1" x14ac:dyDescent="0.4">
      <c r="A44" s="195"/>
      <c r="B44" s="274"/>
      <c r="C44" s="274"/>
      <c r="D44" s="195"/>
      <c r="E44" s="195"/>
      <c r="F44" s="195"/>
      <c r="G44" s="195"/>
      <c r="H44" s="195"/>
      <c r="I44" s="195"/>
      <c r="J44" s="195"/>
      <c r="K44" s="195"/>
      <c r="L44" s="195"/>
      <c r="M44" s="275"/>
      <c r="N44" s="273"/>
      <c r="O44" s="195"/>
    </row>
    <row r="45" spans="1:15" ht="13.35" customHeight="1" x14ac:dyDescent="0.4">
      <c r="A45" s="195"/>
      <c r="B45" s="195"/>
      <c r="C45" s="195"/>
      <c r="D45" s="195"/>
      <c r="E45" s="195"/>
      <c r="F45" s="195"/>
      <c r="G45" s="195"/>
      <c r="H45" s="214"/>
      <c r="I45" s="214"/>
      <c r="J45" s="214"/>
      <c r="K45" s="214"/>
      <c r="L45" s="214"/>
      <c r="M45" s="276"/>
      <c r="N45" s="277"/>
      <c r="O45" s="214"/>
    </row>
    <row r="46" spans="1:15" ht="13.35" customHeight="1" x14ac:dyDescent="0.4">
      <c r="A46" s="278"/>
      <c r="B46" s="278"/>
      <c r="C46" s="278"/>
      <c r="D46" s="278"/>
      <c r="E46" s="278"/>
      <c r="F46" s="278"/>
      <c r="G46" s="278"/>
      <c r="H46" s="278"/>
      <c r="I46" s="278"/>
      <c r="J46" s="278"/>
      <c r="K46" s="278"/>
      <c r="L46" s="278"/>
      <c r="M46" s="279"/>
      <c r="N46" s="280"/>
      <c r="O46" s="278"/>
    </row>
    <row r="47" spans="1:15" ht="13.35" customHeight="1" x14ac:dyDescent="0.4">
      <c r="A47" s="278"/>
      <c r="B47" s="278"/>
      <c r="C47" s="278"/>
      <c r="D47" s="278"/>
      <c r="E47" s="278"/>
      <c r="F47" s="278"/>
      <c r="G47" s="278"/>
      <c r="H47" s="278"/>
      <c r="I47" s="278"/>
      <c r="J47" s="278"/>
      <c r="K47" s="278"/>
      <c r="L47" s="278"/>
      <c r="M47" s="279"/>
      <c r="N47" s="280"/>
      <c r="O47" s="278"/>
    </row>
    <row r="48" spans="1:15" ht="13.35" customHeight="1" x14ac:dyDescent="0.4">
      <c r="A48" s="278"/>
      <c r="B48" s="278"/>
      <c r="C48" s="278"/>
      <c r="D48" s="278"/>
      <c r="E48" s="278"/>
      <c r="F48" s="278"/>
      <c r="G48" s="278"/>
      <c r="H48" s="278"/>
      <c r="I48" s="278"/>
      <c r="J48" s="278"/>
      <c r="K48" s="278"/>
      <c r="L48" s="278"/>
      <c r="M48" s="279"/>
      <c r="N48" s="280"/>
      <c r="O48" s="278"/>
    </row>
    <row r="49" spans="1:15" x14ac:dyDescent="0.4">
      <c r="A49" s="278"/>
      <c r="B49" s="278"/>
      <c r="C49" s="278"/>
      <c r="D49" s="278"/>
      <c r="E49" s="278"/>
      <c r="F49" s="278"/>
      <c r="G49" s="278"/>
      <c r="H49" s="278"/>
      <c r="I49" s="278"/>
      <c r="J49" s="278"/>
      <c r="K49" s="278"/>
      <c r="L49" s="278"/>
      <c r="M49" s="279"/>
      <c r="N49" s="280"/>
      <c r="O49" s="278"/>
    </row>
    <row r="50" spans="1:15" x14ac:dyDescent="0.4">
      <c r="A50" s="278"/>
      <c r="B50" s="278"/>
      <c r="C50" s="278"/>
      <c r="D50" s="278"/>
      <c r="E50" s="278"/>
      <c r="F50" s="278"/>
      <c r="G50" s="278"/>
      <c r="H50" s="278"/>
      <c r="I50" s="278"/>
      <c r="J50" s="278"/>
      <c r="K50" s="278"/>
      <c r="L50" s="278"/>
      <c r="M50" s="279"/>
      <c r="N50" s="281"/>
      <c r="O50" s="278"/>
    </row>
    <row r="51" spans="1:15" x14ac:dyDescent="0.4">
      <c r="A51" s="278"/>
      <c r="B51" s="278"/>
      <c r="C51" s="278"/>
      <c r="D51" s="278"/>
      <c r="E51" s="278"/>
      <c r="F51" s="278"/>
      <c r="G51" s="278"/>
      <c r="H51" s="278"/>
      <c r="I51" s="278"/>
      <c r="J51" s="278"/>
      <c r="K51" s="278"/>
      <c r="L51" s="278"/>
      <c r="M51" s="279"/>
      <c r="N51" s="281"/>
      <c r="O51" s="278"/>
    </row>
    <row r="52" spans="1:15" x14ac:dyDescent="0.4">
      <c r="A52" s="278"/>
      <c r="B52" s="278"/>
      <c r="C52" s="278"/>
      <c r="D52" s="278"/>
      <c r="E52" s="278"/>
      <c r="F52" s="278"/>
      <c r="G52" s="278"/>
      <c r="H52" s="278"/>
      <c r="I52" s="278"/>
      <c r="J52" s="278"/>
      <c r="K52" s="278"/>
      <c r="L52" s="278"/>
      <c r="M52" s="279"/>
      <c r="N52" s="281"/>
      <c r="O52" s="278"/>
    </row>
    <row r="53" spans="1:15" x14ac:dyDescent="0.4">
      <c r="A53" s="278"/>
      <c r="B53" s="278"/>
      <c r="C53" s="278"/>
      <c r="D53" s="278"/>
      <c r="E53" s="278"/>
      <c r="F53" s="278"/>
      <c r="G53" s="278"/>
      <c r="H53" s="278"/>
      <c r="I53" s="278"/>
      <c r="J53" s="278"/>
      <c r="K53" s="278"/>
      <c r="L53" s="278"/>
      <c r="M53" s="279"/>
      <c r="N53" s="281"/>
      <c r="O53" s="278"/>
    </row>
    <row r="54" spans="1:15" x14ac:dyDescent="0.4">
      <c r="A54" s="278"/>
      <c r="B54" s="278"/>
      <c r="C54" s="278"/>
      <c r="D54" s="278"/>
      <c r="E54" s="278"/>
      <c r="F54" s="278"/>
      <c r="G54" s="278"/>
      <c r="H54" s="278"/>
      <c r="I54" s="278"/>
      <c r="J54" s="278"/>
      <c r="K54" s="278"/>
      <c r="L54" s="278"/>
      <c r="M54" s="279"/>
      <c r="N54" s="281"/>
      <c r="O54" s="278"/>
    </row>
    <row r="55" spans="1:15" x14ac:dyDescent="0.4">
      <c r="A55" s="278"/>
      <c r="B55" s="278"/>
      <c r="C55" s="278"/>
      <c r="D55" s="278"/>
      <c r="E55" s="278"/>
      <c r="F55" s="278"/>
      <c r="G55" s="278"/>
      <c r="H55" s="278"/>
      <c r="I55" s="278"/>
      <c r="J55" s="278"/>
      <c r="K55" s="278"/>
      <c r="L55" s="278"/>
      <c r="M55" s="279"/>
      <c r="N55" s="281"/>
      <c r="O55" s="278"/>
    </row>
    <row r="56" spans="1:15" x14ac:dyDescent="0.4">
      <c r="A56" s="278"/>
      <c r="B56" s="278"/>
      <c r="C56" s="278"/>
      <c r="D56" s="278"/>
      <c r="E56" s="278"/>
      <c r="F56" s="278"/>
      <c r="G56" s="278"/>
      <c r="H56" s="278"/>
      <c r="I56" s="278"/>
      <c r="J56" s="278"/>
      <c r="K56" s="278"/>
      <c r="L56" s="278"/>
      <c r="M56" s="279"/>
      <c r="N56" s="281"/>
      <c r="O56" s="278"/>
    </row>
    <row r="57" spans="1:15" x14ac:dyDescent="0.4">
      <c r="A57" s="278"/>
      <c r="B57" s="278"/>
      <c r="C57" s="278"/>
      <c r="D57" s="278"/>
      <c r="E57" s="278"/>
      <c r="F57" s="278"/>
      <c r="G57" s="278"/>
      <c r="H57" s="278"/>
      <c r="I57" s="278"/>
      <c r="J57" s="278"/>
      <c r="K57" s="278"/>
      <c r="L57" s="278"/>
      <c r="M57" s="279"/>
      <c r="N57" s="281"/>
      <c r="O57" s="278"/>
    </row>
    <row r="58" spans="1:15" x14ac:dyDescent="0.4">
      <c r="A58" s="278"/>
      <c r="B58" s="278"/>
      <c r="C58" s="278"/>
      <c r="D58" s="278"/>
      <c r="E58" s="278"/>
      <c r="F58" s="278"/>
      <c r="G58" s="278"/>
      <c r="H58" s="278"/>
      <c r="I58" s="278"/>
      <c r="J58" s="278"/>
      <c r="K58" s="278"/>
      <c r="L58" s="278"/>
      <c r="M58" s="279"/>
      <c r="N58" s="281"/>
      <c r="O58" s="278"/>
    </row>
    <row r="59" spans="1:15" x14ac:dyDescent="0.4">
      <c r="A59" s="278"/>
      <c r="B59" s="278"/>
      <c r="C59" s="278"/>
      <c r="D59" s="278"/>
      <c r="E59" s="278"/>
      <c r="F59" s="278"/>
      <c r="G59" s="278"/>
      <c r="H59" s="278"/>
      <c r="I59" s="278"/>
      <c r="J59" s="278"/>
      <c r="K59" s="278"/>
      <c r="L59" s="278"/>
      <c r="M59" s="279"/>
      <c r="N59" s="281"/>
      <c r="O59" s="278"/>
    </row>
    <row r="60" spans="1:15" x14ac:dyDescent="0.4">
      <c r="A60" s="278"/>
      <c r="B60" s="278"/>
      <c r="C60" s="278"/>
      <c r="D60" s="278"/>
      <c r="E60" s="278"/>
      <c r="F60" s="278"/>
      <c r="G60" s="278"/>
      <c r="H60" s="278"/>
      <c r="I60" s="278"/>
      <c r="J60" s="278"/>
      <c r="K60" s="278"/>
      <c r="L60" s="278"/>
      <c r="M60" s="279"/>
      <c r="N60" s="281"/>
      <c r="O60" s="278"/>
    </row>
    <row r="61" spans="1:15" x14ac:dyDescent="0.4">
      <c r="A61" s="278"/>
      <c r="B61" s="278"/>
      <c r="C61" s="278"/>
      <c r="D61" s="278"/>
      <c r="E61" s="278"/>
      <c r="F61" s="278"/>
      <c r="G61" s="278"/>
      <c r="H61" s="278"/>
      <c r="I61" s="278"/>
      <c r="J61" s="278"/>
      <c r="K61" s="278"/>
      <c r="L61" s="278"/>
      <c r="M61" s="279"/>
      <c r="N61" s="281"/>
      <c r="O61" s="278"/>
    </row>
    <row r="62" spans="1:15" x14ac:dyDescent="0.4">
      <c r="A62" s="278"/>
      <c r="B62" s="278"/>
      <c r="C62" s="278"/>
      <c r="D62" s="278"/>
      <c r="E62" s="278"/>
      <c r="F62" s="278"/>
      <c r="G62" s="278"/>
      <c r="H62" s="278"/>
      <c r="I62" s="278"/>
      <c r="J62" s="278"/>
      <c r="K62" s="278"/>
      <c r="L62" s="278"/>
      <c r="M62" s="279"/>
      <c r="N62" s="281"/>
      <c r="O62" s="278"/>
    </row>
    <row r="63" spans="1:15" x14ac:dyDescent="0.4">
      <c r="A63" s="278"/>
      <c r="B63" s="278"/>
      <c r="C63" s="278"/>
      <c r="D63" s="278"/>
      <c r="E63" s="278"/>
      <c r="F63" s="278"/>
      <c r="G63" s="278"/>
      <c r="H63" s="278"/>
      <c r="I63" s="278"/>
      <c r="J63" s="278"/>
      <c r="K63" s="278"/>
      <c r="L63" s="278"/>
      <c r="M63" s="279"/>
      <c r="N63" s="281"/>
      <c r="O63" s="278"/>
    </row>
    <row r="64" spans="1:15" x14ac:dyDescent="0.4">
      <c r="A64" s="278"/>
      <c r="B64" s="278"/>
      <c r="C64" s="278"/>
      <c r="D64" s="278"/>
      <c r="E64" s="278"/>
      <c r="F64" s="278"/>
      <c r="G64" s="278"/>
      <c r="H64" s="278"/>
      <c r="I64" s="278"/>
      <c r="J64" s="278"/>
      <c r="K64" s="278"/>
      <c r="L64" s="278"/>
      <c r="M64" s="279"/>
      <c r="N64" s="281"/>
      <c r="O64" s="278"/>
    </row>
    <row r="65" spans="1:15" x14ac:dyDescent="0.4">
      <c r="A65" s="278"/>
      <c r="B65" s="278"/>
      <c r="C65" s="278"/>
      <c r="D65" s="278"/>
      <c r="E65" s="278"/>
      <c r="F65" s="278"/>
      <c r="G65" s="278"/>
      <c r="H65" s="278"/>
      <c r="I65" s="278"/>
      <c r="J65" s="278"/>
      <c r="K65" s="278"/>
      <c r="L65" s="278"/>
      <c r="M65" s="279"/>
      <c r="N65" s="281"/>
      <c r="O65" s="278"/>
    </row>
    <row r="66" spans="1:15" x14ac:dyDescent="0.4">
      <c r="A66" s="278"/>
      <c r="B66" s="278"/>
      <c r="C66" s="278"/>
      <c r="D66" s="278"/>
      <c r="E66" s="278"/>
      <c r="F66" s="278"/>
      <c r="G66" s="278"/>
      <c r="H66" s="278"/>
      <c r="I66" s="278"/>
      <c r="J66" s="278"/>
      <c r="K66" s="278"/>
      <c r="L66" s="278"/>
      <c r="M66" s="279"/>
      <c r="N66" s="281"/>
      <c r="O66" s="278"/>
    </row>
    <row r="67" spans="1:15" x14ac:dyDescent="0.4">
      <c r="A67" s="278"/>
      <c r="B67" s="278"/>
      <c r="C67" s="278"/>
      <c r="D67" s="278"/>
      <c r="E67" s="278"/>
      <c r="F67" s="278"/>
      <c r="G67" s="278"/>
      <c r="H67" s="278"/>
      <c r="I67" s="278"/>
      <c r="J67" s="278"/>
      <c r="K67" s="278"/>
      <c r="L67" s="278"/>
      <c r="M67" s="279"/>
      <c r="N67" s="281"/>
      <c r="O67" s="278"/>
    </row>
    <row r="68" spans="1:15" x14ac:dyDescent="0.4">
      <c r="A68" s="278"/>
      <c r="B68" s="278"/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9"/>
      <c r="N68" s="281"/>
      <c r="O68" s="278"/>
    </row>
    <row r="69" spans="1:15" x14ac:dyDescent="0.4">
      <c r="A69" s="278"/>
      <c r="B69" s="278"/>
      <c r="C69" s="278"/>
      <c r="D69" s="278"/>
      <c r="E69" s="278"/>
      <c r="F69" s="278"/>
      <c r="G69" s="278"/>
      <c r="H69" s="278"/>
      <c r="I69" s="278"/>
      <c r="J69" s="278"/>
      <c r="K69" s="278"/>
      <c r="L69" s="278"/>
      <c r="M69" s="279"/>
      <c r="N69" s="281"/>
      <c r="O69" s="278"/>
    </row>
    <row r="70" spans="1:15" x14ac:dyDescent="0.4">
      <c r="A70" s="278"/>
      <c r="B70" s="278"/>
      <c r="C70" s="278"/>
      <c r="D70" s="278"/>
      <c r="E70" s="278"/>
      <c r="F70" s="278"/>
      <c r="G70" s="278"/>
      <c r="H70" s="278"/>
      <c r="I70" s="278"/>
      <c r="J70" s="278"/>
      <c r="K70" s="278"/>
      <c r="L70" s="278"/>
      <c r="M70" s="279"/>
      <c r="N70" s="281"/>
      <c r="O70" s="278"/>
    </row>
    <row r="71" spans="1:15" x14ac:dyDescent="0.4">
      <c r="A71" s="278"/>
      <c r="B71" s="278"/>
      <c r="C71" s="278"/>
      <c r="D71" s="278"/>
      <c r="E71" s="278"/>
      <c r="F71" s="278"/>
      <c r="G71" s="278"/>
      <c r="H71" s="278"/>
      <c r="I71" s="278"/>
      <c r="J71" s="278"/>
      <c r="K71" s="278"/>
      <c r="L71" s="278"/>
      <c r="M71" s="279"/>
      <c r="N71" s="281"/>
      <c r="O71" s="278"/>
    </row>
    <row r="72" spans="1:15" x14ac:dyDescent="0.4">
      <c r="A72" s="278"/>
      <c r="B72" s="278"/>
      <c r="C72" s="278"/>
      <c r="D72" s="278"/>
      <c r="E72" s="278"/>
      <c r="F72" s="278"/>
      <c r="G72" s="278"/>
      <c r="H72" s="278"/>
      <c r="I72" s="278"/>
      <c r="J72" s="278"/>
      <c r="K72" s="278"/>
      <c r="L72" s="278"/>
      <c r="M72" s="279"/>
      <c r="N72" s="281"/>
      <c r="O72" s="278"/>
    </row>
    <row r="73" spans="1:15" x14ac:dyDescent="0.45">
      <c r="M73" s="282"/>
      <c r="N73" s="283"/>
    </row>
    <row r="74" spans="1:15" x14ac:dyDescent="0.45">
      <c r="M74" s="282"/>
      <c r="N74" s="283"/>
    </row>
    <row r="75" spans="1:15" x14ac:dyDescent="0.25">
      <c r="N75" s="283"/>
    </row>
    <row r="76" spans="1:15" x14ac:dyDescent="0.25">
      <c r="N76" s="283"/>
    </row>
    <row r="77" spans="1:15" x14ac:dyDescent="0.25">
      <c r="N77" s="283"/>
    </row>
    <row r="78" spans="1:15" x14ac:dyDescent="0.25">
      <c r="N78" s="283"/>
    </row>
    <row r="79" spans="1:15" x14ac:dyDescent="0.25">
      <c r="N79" s="283"/>
    </row>
    <row r="80" spans="1:15" x14ac:dyDescent="0.25">
      <c r="N80" s="283"/>
    </row>
    <row r="81" spans="14:14" x14ac:dyDescent="0.25">
      <c r="N81" s="283"/>
    </row>
    <row r="82" spans="14:14" x14ac:dyDescent="0.25">
      <c r="N82" s="283"/>
    </row>
    <row r="83" spans="14:14" x14ac:dyDescent="0.25">
      <c r="N83" s="283"/>
    </row>
    <row r="84" spans="14:14" x14ac:dyDescent="0.25">
      <c r="N84" s="283"/>
    </row>
    <row r="85" spans="14:14" x14ac:dyDescent="0.25">
      <c r="N85" s="283"/>
    </row>
    <row r="86" spans="14:14" x14ac:dyDescent="0.25">
      <c r="N86" s="283"/>
    </row>
    <row r="87" spans="14:14" x14ac:dyDescent="0.25">
      <c r="N87" s="283"/>
    </row>
    <row r="88" spans="14:14" x14ac:dyDescent="0.25">
      <c r="N88" s="283"/>
    </row>
    <row r="89" spans="14:14" x14ac:dyDescent="0.25">
      <c r="N89" s="283"/>
    </row>
    <row r="90" spans="14:14" x14ac:dyDescent="0.25">
      <c r="N90" s="283"/>
    </row>
    <row r="91" spans="14:14" x14ac:dyDescent="0.25">
      <c r="N91" s="283"/>
    </row>
    <row r="92" spans="14:14" x14ac:dyDescent="0.25">
      <c r="N92" s="283"/>
    </row>
  </sheetData>
  <mergeCells count="8">
    <mergeCell ref="A35:D35"/>
    <mergeCell ref="A1:O1"/>
    <mergeCell ref="F11:M11"/>
    <mergeCell ref="F13:M13"/>
    <mergeCell ref="F15:M15"/>
    <mergeCell ref="F17:M17"/>
    <mergeCell ref="E31:H31"/>
    <mergeCell ref="N24:O24"/>
  </mergeCells>
  <phoneticPr fontId="14"/>
  <pageMargins left="0.39370078740157483" right="0.19685039370078741" top="0.59055118110236227" bottom="0.39370078740157483" header="0.51181102362204722" footer="0.51181102362204722"/>
  <pageSetup paperSize="9" scale="8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dimension ref="A1:N124"/>
  <sheetViews>
    <sheetView tabSelected="1" view="pageBreakPreview" topLeftCell="A88" zoomScale="70" zoomScaleNormal="90" zoomScaleSheetLayoutView="70" workbookViewId="0">
      <selection activeCell="J57" sqref="J57"/>
    </sheetView>
  </sheetViews>
  <sheetFormatPr defaultColWidth="8.88671875" defaultRowHeight="15" x14ac:dyDescent="0.25"/>
  <cols>
    <col min="1" max="1" width="7.88671875" style="46" customWidth="1"/>
    <col min="2" max="2" width="36.88671875" style="143" bestFit="1" customWidth="1"/>
    <col min="3" max="3" width="16.44140625" style="46" bestFit="1" customWidth="1"/>
    <col min="4" max="4" width="76.21875" style="144" customWidth="1"/>
    <col min="5" max="5" width="10.109375" style="46" customWidth="1"/>
    <col min="6" max="6" width="5.6640625" style="46" customWidth="1"/>
    <col min="7" max="7" width="13.44140625" style="46" customWidth="1"/>
    <col min="8" max="8" width="13.88671875" style="46" customWidth="1"/>
    <col min="9" max="9" width="27.5546875" style="46" bestFit="1" customWidth="1"/>
    <col min="10" max="10" width="7.21875" style="46" bestFit="1" customWidth="1"/>
    <col min="11" max="14" width="7.88671875" style="46" customWidth="1"/>
    <col min="15" max="16384" width="8.88671875" style="144"/>
  </cols>
  <sheetData>
    <row r="1" spans="1:14" x14ac:dyDescent="0.25">
      <c r="A1" s="50"/>
      <c r="B1" s="67"/>
      <c r="C1" s="68"/>
      <c r="D1" s="69"/>
      <c r="E1" s="68"/>
      <c r="F1" s="68"/>
      <c r="G1" s="68"/>
      <c r="H1" s="68"/>
      <c r="I1" s="50"/>
      <c r="J1" s="50"/>
      <c r="K1" s="50"/>
      <c r="L1" s="50"/>
      <c r="M1" s="50"/>
      <c r="N1" s="50"/>
    </row>
    <row r="2" spans="1:14" ht="15.6" thickBot="1" x14ac:dyDescent="0.3">
      <c r="A2" s="326" t="s">
        <v>91</v>
      </c>
      <c r="B2" s="326"/>
      <c r="C2" s="326"/>
      <c r="D2" s="326"/>
      <c r="E2" s="326"/>
      <c r="F2" s="326"/>
      <c r="G2" s="326"/>
      <c r="H2" s="326"/>
      <c r="I2" s="70"/>
      <c r="J2" s="68"/>
      <c r="K2" s="68"/>
      <c r="L2" s="71"/>
      <c r="M2" s="71"/>
      <c r="N2" s="71"/>
    </row>
    <row r="3" spans="1:14" ht="15.6" thickBot="1" x14ac:dyDescent="0.3">
      <c r="A3" s="50"/>
      <c r="B3" s="67"/>
      <c r="C3" s="50"/>
      <c r="D3" s="50"/>
      <c r="E3" s="50"/>
      <c r="F3" s="50"/>
      <c r="G3" s="50"/>
      <c r="H3" s="50"/>
      <c r="I3" s="70"/>
      <c r="J3" s="68"/>
      <c r="K3" s="68"/>
      <c r="L3" s="68"/>
      <c r="M3" s="68"/>
      <c r="N3" s="68"/>
    </row>
    <row r="4" spans="1:14" ht="21.75" customHeight="1" thickBot="1" x14ac:dyDescent="0.3">
      <c r="A4" s="64" t="s">
        <v>36</v>
      </c>
      <c r="B4" s="65" t="s">
        <v>89</v>
      </c>
      <c r="C4" s="72" t="s">
        <v>84</v>
      </c>
      <c r="D4" s="72" t="s">
        <v>85</v>
      </c>
      <c r="E4" s="72" t="s">
        <v>86</v>
      </c>
      <c r="F4" s="327" t="s">
        <v>87</v>
      </c>
      <c r="G4" s="327"/>
      <c r="H4" s="72" t="s">
        <v>88</v>
      </c>
      <c r="I4" s="73" t="s">
        <v>148</v>
      </c>
      <c r="J4" s="72" t="s">
        <v>149</v>
      </c>
      <c r="K4" s="72" t="s">
        <v>150</v>
      </c>
      <c r="L4" s="72" t="s">
        <v>147</v>
      </c>
      <c r="M4" s="72" t="s">
        <v>151</v>
      </c>
      <c r="N4" s="66" t="s">
        <v>152</v>
      </c>
    </row>
    <row r="5" spans="1:14" ht="19.2" customHeight="1" x14ac:dyDescent="0.35">
      <c r="A5" s="74"/>
      <c r="B5" s="75" t="s">
        <v>90</v>
      </c>
      <c r="C5" s="76"/>
      <c r="D5" s="77" t="str">
        <f>[1]invoice!B24</f>
        <v>FABRIC &amp; PARTS FOR WEAR &amp; SAMPLE CLOTHES</v>
      </c>
      <c r="E5" s="57"/>
      <c r="F5" s="323" t="str">
        <f>'[2]shipper master'!C48</f>
        <v>F.O.B. TOKYO IN YEN</v>
      </c>
      <c r="G5" s="324"/>
      <c r="H5" s="325"/>
      <c r="I5" s="57"/>
      <c r="J5" s="57"/>
      <c r="K5" s="57"/>
      <c r="L5" s="57"/>
      <c r="M5" s="57"/>
      <c r="N5" s="57"/>
    </row>
    <row r="6" spans="1:14" ht="19.2" customHeight="1" thickBot="1" x14ac:dyDescent="0.4">
      <c r="A6" s="78"/>
      <c r="B6" s="49"/>
      <c r="C6" s="79"/>
      <c r="D6" s="80" t="s">
        <v>135</v>
      </c>
      <c r="E6" s="79"/>
      <c r="F6" s="79"/>
      <c r="G6" s="81"/>
      <c r="H6" s="48"/>
      <c r="I6" s="48"/>
      <c r="J6" s="48"/>
      <c r="K6" s="48"/>
      <c r="L6" s="48"/>
      <c r="M6" s="48"/>
      <c r="N6" s="48"/>
    </row>
    <row r="7" spans="1:14" ht="19.2" customHeight="1" x14ac:dyDescent="0.25">
      <c r="A7" s="317" t="s">
        <v>167</v>
      </c>
      <c r="B7" s="181"/>
      <c r="C7" s="181"/>
      <c r="D7" s="12" t="s">
        <v>178</v>
      </c>
      <c r="E7" s="41"/>
      <c r="F7" s="41"/>
      <c r="G7" s="82"/>
      <c r="H7" s="42"/>
      <c r="I7" s="42"/>
      <c r="J7" s="83"/>
      <c r="K7" s="42"/>
      <c r="L7" s="42"/>
      <c r="M7" s="42"/>
      <c r="N7" s="320">
        <v>3</v>
      </c>
    </row>
    <row r="8" spans="1:14" ht="19.2" customHeight="1" x14ac:dyDescent="0.25">
      <c r="A8" s="318"/>
      <c r="B8" s="47" t="s">
        <v>168</v>
      </c>
      <c r="C8" s="84" t="s">
        <v>169</v>
      </c>
      <c r="D8" s="14" t="s">
        <v>145</v>
      </c>
      <c r="E8" s="85">
        <v>52</v>
      </c>
      <c r="F8" s="9" t="s">
        <v>131</v>
      </c>
      <c r="G8" s="86">
        <v>390</v>
      </c>
      <c r="H8" s="87">
        <f>E8*G8</f>
        <v>20280</v>
      </c>
      <c r="I8" s="43" t="s">
        <v>175</v>
      </c>
      <c r="J8" s="53" t="s">
        <v>176</v>
      </c>
      <c r="K8" s="43"/>
      <c r="L8" s="43"/>
      <c r="M8" s="43"/>
      <c r="N8" s="321"/>
    </row>
    <row r="9" spans="1:14" ht="19.2" customHeight="1" x14ac:dyDescent="0.25">
      <c r="A9" s="318"/>
      <c r="B9" s="14" t="s">
        <v>145</v>
      </c>
      <c r="C9" s="84" t="s">
        <v>170</v>
      </c>
      <c r="D9" s="15" t="s">
        <v>154</v>
      </c>
      <c r="E9" s="85">
        <v>52</v>
      </c>
      <c r="F9" s="9" t="s">
        <v>131</v>
      </c>
      <c r="G9" s="86">
        <v>390</v>
      </c>
      <c r="H9" s="87">
        <f>E9*G9</f>
        <v>20280</v>
      </c>
      <c r="I9" s="43"/>
      <c r="J9" s="53"/>
      <c r="K9" s="43"/>
      <c r="L9" s="43"/>
      <c r="M9" s="43"/>
      <c r="N9" s="321"/>
    </row>
    <row r="10" spans="1:14" ht="19.2" customHeight="1" x14ac:dyDescent="0.25">
      <c r="A10" s="318"/>
      <c r="B10" s="56" t="s">
        <v>177</v>
      </c>
      <c r="C10" s="84" t="s">
        <v>171</v>
      </c>
      <c r="D10" s="16" t="s">
        <v>172</v>
      </c>
      <c r="E10" s="85">
        <v>53</v>
      </c>
      <c r="F10" s="9" t="s">
        <v>131</v>
      </c>
      <c r="G10" s="86">
        <v>390</v>
      </c>
      <c r="H10" s="87">
        <f>E10*G10</f>
        <v>20670</v>
      </c>
      <c r="I10" s="43"/>
      <c r="J10" s="53"/>
      <c r="K10" s="43"/>
      <c r="L10" s="43"/>
      <c r="M10" s="43"/>
      <c r="N10" s="321"/>
    </row>
    <row r="11" spans="1:14" ht="19.2" customHeight="1" thickBot="1" x14ac:dyDescent="0.3">
      <c r="A11" s="328"/>
      <c r="B11" s="17" t="s">
        <v>146</v>
      </c>
      <c r="C11" s="88"/>
      <c r="D11" s="18"/>
      <c r="E11" s="89"/>
      <c r="F11" s="90"/>
      <c r="G11" s="91"/>
      <c r="H11" s="92"/>
      <c r="I11" s="93"/>
      <c r="J11" s="94"/>
      <c r="K11" s="93"/>
      <c r="L11" s="93"/>
      <c r="M11" s="93"/>
      <c r="N11" s="329"/>
    </row>
    <row r="12" spans="1:14" ht="19.2" customHeight="1" thickBot="1" x14ac:dyDescent="0.3">
      <c r="A12" s="95"/>
      <c r="B12" s="62"/>
      <c r="C12" s="96"/>
      <c r="D12" s="63"/>
      <c r="E12" s="38"/>
      <c r="F12" s="39"/>
      <c r="G12" s="7"/>
      <c r="H12" s="8"/>
      <c r="I12" s="40"/>
      <c r="J12" s="51"/>
      <c r="K12" s="40"/>
      <c r="L12" s="40"/>
      <c r="M12" s="40"/>
      <c r="N12" s="40"/>
    </row>
    <row r="13" spans="1:14" ht="19.2" customHeight="1" x14ac:dyDescent="0.25">
      <c r="A13" s="317" t="s">
        <v>185</v>
      </c>
      <c r="B13" s="181"/>
      <c r="C13" s="182"/>
      <c r="D13" s="12" t="s">
        <v>184</v>
      </c>
      <c r="E13" s="41"/>
      <c r="F13" s="41"/>
      <c r="G13" s="82"/>
      <c r="H13" s="42"/>
      <c r="I13" s="42"/>
      <c r="J13" s="83"/>
      <c r="K13" s="42"/>
      <c r="L13" s="42"/>
      <c r="M13" s="42"/>
      <c r="N13" s="320">
        <v>2</v>
      </c>
    </row>
    <row r="14" spans="1:14" ht="19.2" customHeight="1" x14ac:dyDescent="0.25">
      <c r="A14" s="318"/>
      <c r="B14" s="47" t="s">
        <v>179</v>
      </c>
      <c r="C14" s="97" t="s">
        <v>182</v>
      </c>
      <c r="D14" s="15" t="s">
        <v>133</v>
      </c>
      <c r="E14" s="85">
        <v>44</v>
      </c>
      <c r="F14" s="9" t="s">
        <v>130</v>
      </c>
      <c r="G14" s="86">
        <v>672</v>
      </c>
      <c r="H14" s="87">
        <f>E14*G14</f>
        <v>29568</v>
      </c>
      <c r="I14" s="43" t="s">
        <v>174</v>
      </c>
      <c r="J14" s="53" t="s">
        <v>173</v>
      </c>
      <c r="K14" s="43"/>
      <c r="L14" s="43"/>
      <c r="M14" s="43"/>
      <c r="N14" s="321"/>
    </row>
    <row r="15" spans="1:14" ht="19.2" customHeight="1" x14ac:dyDescent="0.25">
      <c r="A15" s="318"/>
      <c r="B15" s="14" t="s">
        <v>180</v>
      </c>
      <c r="C15" s="97" t="s">
        <v>296</v>
      </c>
      <c r="D15" s="15" t="s">
        <v>154</v>
      </c>
      <c r="E15" s="85">
        <v>32</v>
      </c>
      <c r="F15" s="9" t="s">
        <v>83</v>
      </c>
      <c r="G15" s="86">
        <v>747</v>
      </c>
      <c r="H15" s="87">
        <f>E15*G15</f>
        <v>23904</v>
      </c>
      <c r="I15" s="43"/>
      <c r="J15" s="53"/>
      <c r="K15" s="43"/>
      <c r="L15" s="43"/>
      <c r="M15" s="43"/>
      <c r="N15" s="321"/>
    </row>
    <row r="16" spans="1:14" ht="19.2" customHeight="1" x14ac:dyDescent="0.25">
      <c r="A16" s="318"/>
      <c r="B16" s="56" t="s">
        <v>133</v>
      </c>
      <c r="C16" s="97" t="s">
        <v>183</v>
      </c>
      <c r="D16" s="16" t="s">
        <v>214</v>
      </c>
      <c r="E16" s="85">
        <v>29</v>
      </c>
      <c r="F16" s="9" t="s">
        <v>83</v>
      </c>
      <c r="G16" s="86">
        <v>747</v>
      </c>
      <c r="H16" s="87">
        <f>E16*G16</f>
        <v>21663</v>
      </c>
      <c r="I16" s="43"/>
      <c r="J16" s="53"/>
      <c r="K16" s="43"/>
      <c r="L16" s="43"/>
      <c r="M16" s="43"/>
      <c r="N16" s="321"/>
    </row>
    <row r="17" spans="1:14" ht="19.2" customHeight="1" thickBot="1" x14ac:dyDescent="0.3">
      <c r="A17" s="328"/>
      <c r="B17" s="17" t="s">
        <v>181</v>
      </c>
      <c r="C17" s="88"/>
      <c r="D17" s="18"/>
      <c r="E17" s="89"/>
      <c r="F17" s="89"/>
      <c r="G17" s="91"/>
      <c r="H17" s="92"/>
      <c r="I17" s="93"/>
      <c r="J17" s="94"/>
      <c r="K17" s="93"/>
      <c r="L17" s="93"/>
      <c r="M17" s="93"/>
      <c r="N17" s="329"/>
    </row>
    <row r="18" spans="1:14" ht="19.2" customHeight="1" thickBot="1" x14ac:dyDescent="0.3">
      <c r="A18" s="95"/>
      <c r="B18" s="98"/>
      <c r="C18" s="96"/>
      <c r="D18" s="99"/>
      <c r="E18" s="38"/>
      <c r="F18" s="39"/>
      <c r="G18" s="7"/>
      <c r="H18" s="8"/>
      <c r="I18" s="40"/>
      <c r="J18" s="51"/>
      <c r="K18" s="40"/>
      <c r="L18" s="40"/>
      <c r="M18" s="40"/>
      <c r="N18" s="40"/>
    </row>
    <row r="19" spans="1:14" ht="19.2" customHeight="1" x14ac:dyDescent="0.25">
      <c r="A19" s="317" t="s">
        <v>186</v>
      </c>
      <c r="B19" s="181"/>
      <c r="C19" s="182"/>
      <c r="D19" s="12" t="s">
        <v>189</v>
      </c>
      <c r="E19" s="41"/>
      <c r="F19" s="41"/>
      <c r="G19" s="82"/>
      <c r="H19" s="42"/>
      <c r="I19" s="42"/>
      <c r="J19" s="83"/>
      <c r="K19" s="42"/>
      <c r="L19" s="42"/>
      <c r="M19" s="42"/>
      <c r="N19" s="320">
        <v>2</v>
      </c>
    </row>
    <row r="20" spans="1:14" ht="19.2" customHeight="1" x14ac:dyDescent="0.25">
      <c r="A20" s="318"/>
      <c r="B20" s="47" t="s">
        <v>187</v>
      </c>
      <c r="C20" s="97" t="s">
        <v>153</v>
      </c>
      <c r="D20" s="15" t="s">
        <v>133</v>
      </c>
      <c r="E20" s="85">
        <v>35</v>
      </c>
      <c r="F20" s="9" t="s">
        <v>130</v>
      </c>
      <c r="G20" s="86">
        <v>1867</v>
      </c>
      <c r="H20" s="87">
        <f>E20*G20</f>
        <v>65345</v>
      </c>
      <c r="I20" s="43" t="s">
        <v>174</v>
      </c>
      <c r="J20" s="53" t="s">
        <v>173</v>
      </c>
      <c r="K20" s="43"/>
      <c r="L20" s="43"/>
      <c r="M20" s="43"/>
      <c r="N20" s="321"/>
    </row>
    <row r="21" spans="1:14" ht="19.2" customHeight="1" x14ac:dyDescent="0.25">
      <c r="A21" s="318"/>
      <c r="B21" s="14" t="s">
        <v>188</v>
      </c>
      <c r="C21" s="97" t="s">
        <v>190</v>
      </c>
      <c r="D21" s="15" t="s">
        <v>154</v>
      </c>
      <c r="E21" s="85">
        <v>32</v>
      </c>
      <c r="F21" s="9" t="s">
        <v>83</v>
      </c>
      <c r="G21" s="86">
        <v>1867</v>
      </c>
      <c r="H21" s="87">
        <f>E21*G21</f>
        <v>59744</v>
      </c>
      <c r="I21" s="43"/>
      <c r="J21" s="53"/>
      <c r="K21" s="43"/>
      <c r="L21" s="43"/>
      <c r="M21" s="43"/>
      <c r="N21" s="321"/>
    </row>
    <row r="22" spans="1:14" ht="19.2" customHeight="1" x14ac:dyDescent="0.25">
      <c r="A22" s="318"/>
      <c r="B22" s="56" t="s">
        <v>133</v>
      </c>
      <c r="C22" s="97" t="s">
        <v>183</v>
      </c>
      <c r="D22" s="16" t="s">
        <v>214</v>
      </c>
      <c r="E22" s="85">
        <v>20</v>
      </c>
      <c r="F22" s="9" t="s">
        <v>83</v>
      </c>
      <c r="G22" s="86">
        <v>1867</v>
      </c>
      <c r="H22" s="87">
        <f>E22*G22</f>
        <v>37340</v>
      </c>
      <c r="I22" s="43"/>
      <c r="J22" s="53"/>
      <c r="K22" s="43"/>
      <c r="L22" s="43"/>
      <c r="M22" s="43"/>
      <c r="N22" s="321"/>
    </row>
    <row r="23" spans="1:14" ht="19.2" customHeight="1" thickBot="1" x14ac:dyDescent="0.3">
      <c r="A23" s="319"/>
      <c r="B23" s="100" t="s">
        <v>181</v>
      </c>
      <c r="C23" s="101"/>
      <c r="D23" s="102"/>
      <c r="E23" s="103"/>
      <c r="F23" s="103"/>
      <c r="G23" s="104"/>
      <c r="H23" s="105"/>
      <c r="I23" s="48"/>
      <c r="J23" s="106"/>
      <c r="K23" s="48"/>
      <c r="L23" s="48"/>
      <c r="M23" s="48"/>
      <c r="N23" s="322"/>
    </row>
    <row r="24" spans="1:14" ht="19.2" customHeight="1" thickBot="1" x14ac:dyDescent="0.3">
      <c r="A24" s="107"/>
      <c r="B24" s="108"/>
      <c r="C24" s="109"/>
      <c r="D24" s="110"/>
      <c r="E24" s="111"/>
      <c r="F24" s="111"/>
      <c r="G24" s="112"/>
      <c r="H24" s="113"/>
      <c r="I24" s="72"/>
      <c r="J24" s="114"/>
      <c r="K24" s="72"/>
      <c r="L24" s="72"/>
      <c r="M24" s="72"/>
      <c r="N24" s="66"/>
    </row>
    <row r="25" spans="1:14" ht="19.2" customHeight="1" x14ac:dyDescent="0.25">
      <c r="A25" s="314" t="s">
        <v>191</v>
      </c>
      <c r="B25" s="183"/>
      <c r="C25" s="184"/>
      <c r="D25" s="35" t="s">
        <v>196</v>
      </c>
      <c r="E25" s="152"/>
      <c r="F25" s="152"/>
      <c r="G25" s="7"/>
      <c r="H25" s="8"/>
      <c r="I25" s="308" t="s">
        <v>288</v>
      </c>
      <c r="J25" s="330" t="s">
        <v>195</v>
      </c>
      <c r="K25" s="40"/>
      <c r="L25" s="40"/>
      <c r="M25" s="40"/>
      <c r="N25" s="311">
        <v>1</v>
      </c>
    </row>
    <row r="26" spans="1:14" ht="19.2" customHeight="1" x14ac:dyDescent="0.25">
      <c r="A26" s="315"/>
      <c r="B26" s="47" t="s">
        <v>197</v>
      </c>
      <c r="C26" s="97" t="s">
        <v>198</v>
      </c>
      <c r="D26" s="14" t="s">
        <v>133</v>
      </c>
      <c r="E26" s="85">
        <v>1</v>
      </c>
      <c r="F26" s="9" t="s">
        <v>131</v>
      </c>
      <c r="G26" s="86">
        <v>1210</v>
      </c>
      <c r="H26" s="87">
        <f>E26*G26</f>
        <v>1210</v>
      </c>
      <c r="I26" s="309"/>
      <c r="J26" s="331"/>
      <c r="K26" s="43"/>
      <c r="L26" s="43"/>
      <c r="M26" s="43"/>
      <c r="N26" s="312"/>
    </row>
    <row r="27" spans="1:14" ht="19.2" customHeight="1" x14ac:dyDescent="0.25">
      <c r="A27" s="315"/>
      <c r="B27" s="14" t="s">
        <v>133</v>
      </c>
      <c r="C27" s="97"/>
      <c r="D27" s="15" t="s">
        <v>154</v>
      </c>
      <c r="E27" s="85"/>
      <c r="F27" s="9"/>
      <c r="G27" s="86"/>
      <c r="H27" s="87"/>
      <c r="I27" s="309"/>
      <c r="J27" s="331"/>
      <c r="K27" s="43"/>
      <c r="L27" s="43"/>
      <c r="M27" s="43"/>
      <c r="N27" s="312"/>
    </row>
    <row r="28" spans="1:14" ht="19.2" customHeight="1" x14ac:dyDescent="0.25">
      <c r="A28" s="315"/>
      <c r="B28" s="56" t="s">
        <v>205</v>
      </c>
      <c r="C28" s="97"/>
      <c r="D28" s="16" t="s">
        <v>206</v>
      </c>
      <c r="E28" s="85"/>
      <c r="F28" s="9"/>
      <c r="G28" s="86"/>
      <c r="H28" s="87"/>
      <c r="I28" s="309"/>
      <c r="J28" s="331"/>
      <c r="K28" s="43"/>
      <c r="L28" s="43"/>
      <c r="M28" s="43"/>
      <c r="N28" s="312"/>
    </row>
    <row r="29" spans="1:14" ht="19.2" customHeight="1" x14ac:dyDescent="0.25">
      <c r="A29" s="315"/>
      <c r="B29" s="56" t="s">
        <v>210</v>
      </c>
      <c r="C29" s="97"/>
      <c r="D29" s="134"/>
      <c r="E29" s="85"/>
      <c r="F29" s="9"/>
      <c r="G29" s="86"/>
      <c r="H29" s="87"/>
      <c r="I29" s="309"/>
      <c r="J29" s="331"/>
      <c r="K29" s="43"/>
      <c r="L29" s="43"/>
      <c r="M29" s="43"/>
      <c r="N29" s="312"/>
    </row>
    <row r="30" spans="1:14" ht="19.2" customHeight="1" x14ac:dyDescent="0.25">
      <c r="A30" s="315"/>
      <c r="B30" s="185"/>
      <c r="C30" s="186"/>
      <c r="D30" s="35" t="s">
        <v>196</v>
      </c>
      <c r="E30" s="85"/>
      <c r="F30" s="9"/>
      <c r="G30" s="86"/>
      <c r="H30" s="87"/>
      <c r="I30" s="309"/>
      <c r="J30" s="331"/>
      <c r="K30" s="43"/>
      <c r="L30" s="43"/>
      <c r="M30" s="43"/>
      <c r="N30" s="312"/>
    </row>
    <row r="31" spans="1:14" ht="19.2" customHeight="1" x14ac:dyDescent="0.25">
      <c r="A31" s="315"/>
      <c r="B31" s="47" t="s">
        <v>199</v>
      </c>
      <c r="C31" s="97" t="s">
        <v>198</v>
      </c>
      <c r="D31" s="14" t="s">
        <v>133</v>
      </c>
      <c r="E31" s="85">
        <v>0.5</v>
      </c>
      <c r="F31" s="9" t="s">
        <v>131</v>
      </c>
      <c r="G31" s="86">
        <v>990</v>
      </c>
      <c r="H31" s="87">
        <f>E31*G31</f>
        <v>495</v>
      </c>
      <c r="I31" s="309"/>
      <c r="J31" s="331"/>
      <c r="K31" s="43"/>
      <c r="L31" s="43"/>
      <c r="M31" s="43"/>
      <c r="N31" s="312"/>
    </row>
    <row r="32" spans="1:14" ht="19.2" customHeight="1" x14ac:dyDescent="0.25">
      <c r="A32" s="315"/>
      <c r="B32" s="14" t="s">
        <v>133</v>
      </c>
      <c r="C32" s="97"/>
      <c r="D32" s="15" t="s">
        <v>208</v>
      </c>
      <c r="E32" s="85"/>
      <c r="F32" s="9"/>
      <c r="G32" s="86"/>
      <c r="H32" s="87"/>
      <c r="I32" s="309"/>
      <c r="J32" s="331"/>
      <c r="K32" s="43"/>
      <c r="L32" s="43"/>
      <c r="M32" s="43"/>
      <c r="N32" s="312"/>
    </row>
    <row r="33" spans="1:14" ht="19.2" customHeight="1" x14ac:dyDescent="0.25">
      <c r="A33" s="315"/>
      <c r="B33" s="56" t="s">
        <v>209</v>
      </c>
      <c r="C33" s="97"/>
      <c r="D33" s="16" t="s">
        <v>207</v>
      </c>
      <c r="E33" s="85"/>
      <c r="F33" s="9"/>
      <c r="G33" s="86"/>
      <c r="H33" s="87"/>
      <c r="I33" s="309"/>
      <c r="J33" s="331"/>
      <c r="K33" s="43"/>
      <c r="L33" s="43"/>
      <c r="M33" s="43"/>
      <c r="N33" s="312"/>
    </row>
    <row r="34" spans="1:14" ht="19.2" customHeight="1" x14ac:dyDescent="0.25">
      <c r="A34" s="315"/>
      <c r="B34" s="56" t="s">
        <v>210</v>
      </c>
      <c r="C34" s="97"/>
      <c r="E34" s="85"/>
      <c r="F34" s="9"/>
      <c r="G34" s="86"/>
      <c r="H34" s="87"/>
      <c r="I34" s="309"/>
      <c r="J34" s="331"/>
      <c r="K34" s="43"/>
      <c r="L34" s="43"/>
      <c r="M34" s="43"/>
      <c r="N34" s="312"/>
    </row>
    <row r="35" spans="1:14" ht="19.2" customHeight="1" x14ac:dyDescent="0.25">
      <c r="A35" s="315"/>
      <c r="B35" s="187"/>
      <c r="C35" s="188"/>
      <c r="D35" s="35" t="s">
        <v>200</v>
      </c>
      <c r="E35" s="116"/>
      <c r="F35" s="116"/>
      <c r="G35" s="86"/>
      <c r="H35" s="43"/>
      <c r="I35" s="309"/>
      <c r="J35" s="331"/>
      <c r="K35" s="43"/>
      <c r="L35" s="43"/>
      <c r="M35" s="43"/>
      <c r="N35" s="312"/>
    </row>
    <row r="36" spans="1:14" ht="19.2" customHeight="1" x14ac:dyDescent="0.25">
      <c r="A36" s="315"/>
      <c r="B36" s="117" t="s">
        <v>201</v>
      </c>
      <c r="C36" s="14" t="s">
        <v>266</v>
      </c>
      <c r="D36" s="58" t="s">
        <v>211</v>
      </c>
      <c r="E36" s="118">
        <v>100</v>
      </c>
      <c r="F36" s="10" t="s">
        <v>83</v>
      </c>
      <c r="G36" s="86">
        <v>170</v>
      </c>
      <c r="H36" s="87">
        <f>E36*G36</f>
        <v>17000</v>
      </c>
      <c r="I36" s="309"/>
      <c r="J36" s="331"/>
      <c r="K36" s="43"/>
      <c r="L36" s="43"/>
      <c r="M36" s="43"/>
      <c r="N36" s="312"/>
    </row>
    <row r="37" spans="1:14" ht="19.2" customHeight="1" x14ac:dyDescent="0.25">
      <c r="A37" s="315"/>
      <c r="B37" s="37" t="s">
        <v>163</v>
      </c>
      <c r="C37" s="84"/>
      <c r="D37" s="58" t="s">
        <v>212</v>
      </c>
      <c r="E37" s="118"/>
      <c r="F37" s="10"/>
      <c r="G37" s="86"/>
      <c r="H37" s="87"/>
      <c r="I37" s="309"/>
      <c r="J37" s="331"/>
      <c r="K37" s="43"/>
      <c r="L37" s="43"/>
      <c r="M37" s="43"/>
      <c r="N37" s="312"/>
    </row>
    <row r="38" spans="1:14" ht="19.2" customHeight="1" x14ac:dyDescent="0.25">
      <c r="A38" s="315"/>
      <c r="B38" s="56"/>
      <c r="C38" s="97"/>
      <c r="D38" s="134"/>
      <c r="E38" s="119"/>
      <c r="F38" s="119"/>
      <c r="G38" s="86"/>
      <c r="H38" s="87"/>
      <c r="I38" s="309"/>
      <c r="J38" s="331"/>
      <c r="K38" s="43"/>
      <c r="L38" s="43"/>
      <c r="M38" s="43"/>
      <c r="N38" s="312"/>
    </row>
    <row r="39" spans="1:14" ht="19.2" customHeight="1" x14ac:dyDescent="0.25">
      <c r="A39" s="315"/>
      <c r="B39" s="187"/>
      <c r="C39" s="187"/>
      <c r="D39" s="35" t="s">
        <v>194</v>
      </c>
      <c r="E39" s="43"/>
      <c r="F39" s="43"/>
      <c r="G39" s="43"/>
      <c r="H39" s="43"/>
      <c r="I39" s="309"/>
      <c r="J39" s="331"/>
      <c r="K39" s="43"/>
      <c r="L39" s="43"/>
      <c r="M39" s="43"/>
      <c r="N39" s="312"/>
    </row>
    <row r="40" spans="1:14" ht="19.2" customHeight="1" x14ac:dyDescent="0.25">
      <c r="A40" s="315"/>
      <c r="B40" s="47" t="s">
        <v>192</v>
      </c>
      <c r="C40" s="97" t="s">
        <v>162</v>
      </c>
      <c r="D40" s="47" t="s">
        <v>297</v>
      </c>
      <c r="E40" s="85">
        <v>399</v>
      </c>
      <c r="F40" s="9" t="s">
        <v>130</v>
      </c>
      <c r="G40" s="86">
        <v>100</v>
      </c>
      <c r="H40" s="87">
        <f>E40*G40</f>
        <v>39900</v>
      </c>
      <c r="I40" s="309"/>
      <c r="J40" s="331"/>
      <c r="K40" s="43"/>
      <c r="L40" s="43"/>
      <c r="M40" s="43"/>
      <c r="N40" s="312"/>
    </row>
    <row r="41" spans="1:14" ht="19.2" customHeight="1" x14ac:dyDescent="0.25">
      <c r="A41" s="315"/>
      <c r="B41" s="355" t="s">
        <v>298</v>
      </c>
      <c r="C41" s="97"/>
      <c r="D41" s="47"/>
      <c r="E41" s="85"/>
      <c r="F41" s="9"/>
      <c r="G41" s="86"/>
      <c r="H41" s="87"/>
      <c r="I41" s="309"/>
      <c r="J41" s="331"/>
      <c r="K41" s="43"/>
      <c r="L41" s="43"/>
      <c r="M41" s="43"/>
      <c r="N41" s="312"/>
    </row>
    <row r="42" spans="1:14" ht="19.2" customHeight="1" x14ac:dyDescent="0.25">
      <c r="A42" s="315"/>
      <c r="B42" s="14" t="s">
        <v>193</v>
      </c>
      <c r="C42" s="97"/>
      <c r="D42" s="14" t="s">
        <v>193</v>
      </c>
      <c r="E42" s="85">
        <v>399</v>
      </c>
      <c r="F42" s="9" t="s">
        <v>130</v>
      </c>
      <c r="G42" s="86">
        <v>50</v>
      </c>
      <c r="H42" s="87">
        <f>E42*G42</f>
        <v>19950</v>
      </c>
      <c r="I42" s="309"/>
      <c r="J42" s="331"/>
      <c r="K42" s="43"/>
      <c r="L42" s="43"/>
      <c r="M42" s="43"/>
      <c r="N42" s="312"/>
    </row>
    <row r="43" spans="1:14" ht="19.2" customHeight="1" x14ac:dyDescent="0.25">
      <c r="A43" s="315"/>
      <c r="B43" s="47"/>
      <c r="C43" s="97"/>
      <c r="D43" s="14"/>
      <c r="E43" s="85"/>
      <c r="F43" s="9"/>
      <c r="G43" s="86"/>
      <c r="H43" s="87"/>
      <c r="I43" s="309"/>
      <c r="J43" s="331"/>
      <c r="K43" s="43"/>
      <c r="L43" s="43"/>
      <c r="M43" s="43"/>
      <c r="N43" s="312"/>
    </row>
    <row r="44" spans="1:14" ht="19.2" customHeight="1" x14ac:dyDescent="0.25">
      <c r="A44" s="315"/>
      <c r="B44" s="120" t="s">
        <v>202</v>
      </c>
      <c r="C44" s="36"/>
      <c r="D44" s="121" t="s">
        <v>203</v>
      </c>
      <c r="E44" s="43">
        <v>1</v>
      </c>
      <c r="F44" s="9" t="s">
        <v>83</v>
      </c>
      <c r="G44" s="87">
        <v>2000</v>
      </c>
      <c r="H44" s="87">
        <f t="shared" ref="H44:H45" si="0">E44*G44</f>
        <v>2000</v>
      </c>
      <c r="I44" s="309"/>
      <c r="J44" s="331"/>
      <c r="K44" s="43"/>
      <c r="L44" s="43"/>
      <c r="M44" s="43"/>
      <c r="N44" s="312"/>
    </row>
    <row r="45" spans="1:14" ht="19.2" customHeight="1" thickBot="1" x14ac:dyDescent="0.3">
      <c r="A45" s="316"/>
      <c r="B45" s="122" t="s">
        <v>204</v>
      </c>
      <c r="C45" s="123"/>
      <c r="D45" s="124" t="s">
        <v>213</v>
      </c>
      <c r="E45" s="93">
        <v>1</v>
      </c>
      <c r="F45" s="90" t="s">
        <v>83</v>
      </c>
      <c r="G45" s="92">
        <v>2000</v>
      </c>
      <c r="H45" s="92">
        <f t="shared" si="0"/>
        <v>2000</v>
      </c>
      <c r="I45" s="310"/>
      <c r="J45" s="332"/>
      <c r="K45" s="93"/>
      <c r="L45" s="93"/>
      <c r="M45" s="93"/>
      <c r="N45" s="313"/>
    </row>
    <row r="46" spans="1:14" ht="19.2" customHeight="1" thickBot="1" x14ac:dyDescent="0.3">
      <c r="A46" s="125"/>
      <c r="B46" s="126"/>
      <c r="C46" s="127"/>
      <c r="D46" s="128"/>
      <c r="E46" s="45"/>
      <c r="F46" s="44"/>
      <c r="G46" s="129"/>
      <c r="H46" s="129"/>
      <c r="I46" s="45"/>
      <c r="J46" s="54"/>
      <c r="K46" s="45"/>
      <c r="L46" s="45"/>
      <c r="M46" s="45"/>
      <c r="N46" s="130"/>
    </row>
    <row r="47" spans="1:14" ht="19.2" customHeight="1" x14ac:dyDescent="0.25">
      <c r="A47" s="314" t="s">
        <v>283</v>
      </c>
      <c r="B47" s="305"/>
      <c r="C47" s="306"/>
      <c r="D47" s="12" t="s">
        <v>217</v>
      </c>
      <c r="E47" s="303"/>
      <c r="F47" s="42"/>
      <c r="G47" s="304"/>
      <c r="H47" s="307"/>
      <c r="I47" s="308" t="s">
        <v>289</v>
      </c>
      <c r="J47" s="83"/>
      <c r="K47" s="42"/>
      <c r="L47" s="42"/>
      <c r="M47" s="42"/>
      <c r="N47" s="311">
        <v>2</v>
      </c>
    </row>
    <row r="48" spans="1:14" ht="19.2" customHeight="1" x14ac:dyDescent="0.25">
      <c r="A48" s="315"/>
      <c r="B48" s="36" t="s">
        <v>218</v>
      </c>
      <c r="C48" s="14" t="s">
        <v>250</v>
      </c>
      <c r="D48" s="171" t="s">
        <v>219</v>
      </c>
      <c r="E48" s="168">
        <v>246</v>
      </c>
      <c r="F48" s="9" t="s">
        <v>83</v>
      </c>
      <c r="G48" s="169">
        <v>18</v>
      </c>
      <c r="H48" s="170">
        <f t="shared" ref="H48:H99" si="1">E48*G48</f>
        <v>4428</v>
      </c>
      <c r="I48" s="309"/>
      <c r="J48" s="53"/>
      <c r="K48" s="43"/>
      <c r="L48" s="43"/>
      <c r="M48" s="43"/>
      <c r="N48" s="312"/>
    </row>
    <row r="49" spans="1:14" ht="19.2" customHeight="1" x14ac:dyDescent="0.25">
      <c r="A49" s="315"/>
      <c r="B49" s="58" t="s">
        <v>262</v>
      </c>
      <c r="C49" s="14"/>
      <c r="D49" s="171" t="s">
        <v>220</v>
      </c>
      <c r="E49" s="168">
        <v>71</v>
      </c>
      <c r="F49" s="9" t="s">
        <v>83</v>
      </c>
      <c r="G49" s="169">
        <v>10</v>
      </c>
      <c r="H49" s="170">
        <f t="shared" si="1"/>
        <v>710</v>
      </c>
      <c r="I49" s="309"/>
      <c r="J49" s="53"/>
      <c r="K49" s="43"/>
      <c r="L49" s="43"/>
      <c r="M49" s="43"/>
      <c r="N49" s="312"/>
    </row>
    <row r="50" spans="1:14" ht="19.2" customHeight="1" x14ac:dyDescent="0.25">
      <c r="A50" s="315"/>
      <c r="B50" s="189" t="s">
        <v>263</v>
      </c>
      <c r="C50" s="14"/>
      <c r="D50" s="171"/>
      <c r="E50" s="168"/>
      <c r="F50" s="9"/>
      <c r="G50" s="169"/>
      <c r="H50" s="170"/>
      <c r="I50" s="309"/>
      <c r="J50" s="53"/>
      <c r="K50" s="43"/>
      <c r="L50" s="43"/>
      <c r="M50" s="43"/>
      <c r="N50" s="312"/>
    </row>
    <row r="51" spans="1:14" ht="19.2" customHeight="1" x14ac:dyDescent="0.25">
      <c r="A51" s="315"/>
      <c r="B51" s="189"/>
      <c r="C51" s="14"/>
      <c r="D51" s="171"/>
      <c r="E51" s="168"/>
      <c r="F51" s="9"/>
      <c r="G51" s="169"/>
      <c r="H51" s="170"/>
      <c r="I51" s="309"/>
      <c r="J51" s="53"/>
      <c r="K51" s="43"/>
      <c r="L51" s="43"/>
      <c r="M51" s="43"/>
      <c r="N51" s="312"/>
    </row>
    <row r="52" spans="1:14" ht="19.2" customHeight="1" x14ac:dyDescent="0.25">
      <c r="A52" s="315"/>
      <c r="B52" s="190" t="s">
        <v>221</v>
      </c>
      <c r="C52" s="14" t="s">
        <v>266</v>
      </c>
      <c r="D52" s="171" t="s">
        <v>222</v>
      </c>
      <c r="E52" s="168">
        <v>1000</v>
      </c>
      <c r="F52" s="9" t="s">
        <v>83</v>
      </c>
      <c r="G52" s="169">
        <v>12</v>
      </c>
      <c r="H52" s="170">
        <f t="shared" si="1"/>
        <v>12000</v>
      </c>
      <c r="I52" s="309"/>
      <c r="J52" s="53"/>
      <c r="K52" s="43"/>
      <c r="L52" s="43"/>
      <c r="M52" s="43"/>
      <c r="N52" s="312"/>
    </row>
    <row r="53" spans="1:14" ht="19.2" customHeight="1" x14ac:dyDescent="0.25">
      <c r="A53" s="315"/>
      <c r="B53" s="37" t="s">
        <v>260</v>
      </c>
      <c r="C53" s="14"/>
      <c r="D53" s="133" t="s">
        <v>304</v>
      </c>
      <c r="E53" s="168"/>
      <c r="F53" s="9"/>
      <c r="G53" s="169"/>
      <c r="H53" s="170"/>
      <c r="I53" s="309"/>
      <c r="J53" s="53"/>
      <c r="K53" s="43"/>
      <c r="L53" s="43"/>
      <c r="M53" s="43"/>
      <c r="N53" s="312"/>
    </row>
    <row r="54" spans="1:14" ht="19.2" customHeight="1" x14ac:dyDescent="0.25">
      <c r="A54" s="315"/>
      <c r="B54" s="37"/>
      <c r="C54" s="14"/>
      <c r="D54" s="133" t="s">
        <v>305</v>
      </c>
      <c r="E54" s="168"/>
      <c r="F54" s="9"/>
      <c r="G54" s="169"/>
      <c r="H54" s="170"/>
      <c r="I54" s="309"/>
      <c r="J54" s="53"/>
      <c r="K54" s="43"/>
      <c r="L54" s="43"/>
      <c r="M54" s="43"/>
      <c r="N54" s="312"/>
    </row>
    <row r="55" spans="1:14" ht="19.2" customHeight="1" x14ac:dyDescent="0.25">
      <c r="A55" s="315"/>
      <c r="B55" s="37"/>
      <c r="C55" s="14"/>
      <c r="D55" s="133"/>
      <c r="E55" s="168"/>
      <c r="F55" s="9"/>
      <c r="G55" s="169"/>
      <c r="H55" s="170"/>
      <c r="I55" s="309"/>
      <c r="J55" s="53"/>
      <c r="K55" s="43"/>
      <c r="L55" s="43"/>
      <c r="M55" s="43"/>
      <c r="N55" s="312"/>
    </row>
    <row r="56" spans="1:14" ht="19.2" customHeight="1" x14ac:dyDescent="0.25">
      <c r="A56" s="315"/>
      <c r="B56" s="36">
        <v>3450</v>
      </c>
      <c r="C56" s="14" t="s">
        <v>250</v>
      </c>
      <c r="D56" s="171" t="s">
        <v>223</v>
      </c>
      <c r="E56" s="168">
        <v>39</v>
      </c>
      <c r="F56" s="9" t="s">
        <v>131</v>
      </c>
      <c r="G56" s="169">
        <v>80</v>
      </c>
      <c r="H56" s="170">
        <f t="shared" si="1"/>
        <v>3120</v>
      </c>
      <c r="I56" s="309"/>
      <c r="J56" s="53"/>
      <c r="K56" s="43"/>
      <c r="L56" s="43"/>
      <c r="M56" s="43"/>
      <c r="N56" s="312"/>
    </row>
    <row r="57" spans="1:14" ht="19.2" customHeight="1" x14ac:dyDescent="0.25">
      <c r="A57" s="315"/>
      <c r="B57" s="37" t="s">
        <v>261</v>
      </c>
      <c r="C57" s="14"/>
      <c r="D57" s="171"/>
      <c r="E57" s="168"/>
      <c r="F57" s="9"/>
      <c r="G57" s="169"/>
      <c r="H57" s="170"/>
      <c r="I57" s="309"/>
      <c r="J57" s="53"/>
      <c r="K57" s="43"/>
      <c r="L57" s="43"/>
      <c r="M57" s="43"/>
      <c r="N57" s="312"/>
    </row>
    <row r="58" spans="1:14" ht="19.2" customHeight="1" x14ac:dyDescent="0.25">
      <c r="A58" s="315"/>
      <c r="B58" s="36" t="s">
        <v>225</v>
      </c>
      <c r="C58" s="14" t="s">
        <v>250</v>
      </c>
      <c r="D58" s="171" t="s">
        <v>226</v>
      </c>
      <c r="E58" s="168">
        <v>100</v>
      </c>
      <c r="F58" s="9" t="s">
        <v>83</v>
      </c>
      <c r="G58" s="169">
        <v>10</v>
      </c>
      <c r="H58" s="170">
        <f t="shared" si="1"/>
        <v>1000</v>
      </c>
      <c r="I58" s="309"/>
      <c r="J58" s="53"/>
      <c r="K58" s="43"/>
      <c r="L58" s="43"/>
      <c r="M58" s="43"/>
      <c r="N58" s="312"/>
    </row>
    <row r="59" spans="1:14" ht="19.2" customHeight="1" x14ac:dyDescent="0.25">
      <c r="A59" s="315"/>
      <c r="B59" s="37" t="s">
        <v>260</v>
      </c>
      <c r="C59" s="14"/>
      <c r="D59" s="171"/>
      <c r="E59" s="168"/>
      <c r="F59" s="9"/>
      <c r="G59" s="169"/>
      <c r="H59" s="170"/>
      <c r="I59" s="309"/>
      <c r="J59" s="53"/>
      <c r="K59" s="43"/>
      <c r="L59" s="43"/>
      <c r="M59" s="43"/>
      <c r="N59" s="312"/>
    </row>
    <row r="60" spans="1:14" ht="19.2" customHeight="1" x14ac:dyDescent="0.25">
      <c r="A60" s="315"/>
      <c r="B60" s="36" t="s">
        <v>227</v>
      </c>
      <c r="C60" s="14" t="s">
        <v>250</v>
      </c>
      <c r="D60" s="171" t="s">
        <v>228</v>
      </c>
      <c r="E60" s="168">
        <v>200</v>
      </c>
      <c r="F60" s="9" t="s">
        <v>83</v>
      </c>
      <c r="G60" s="169">
        <v>5</v>
      </c>
      <c r="H60" s="87">
        <f t="shared" si="1"/>
        <v>1000</v>
      </c>
      <c r="I60" s="309"/>
      <c r="J60" s="53"/>
      <c r="K60" s="43"/>
      <c r="L60" s="43"/>
      <c r="M60" s="43"/>
      <c r="N60" s="312"/>
    </row>
    <row r="61" spans="1:14" ht="19.2" customHeight="1" x14ac:dyDescent="0.25">
      <c r="A61" s="315"/>
      <c r="B61" s="37" t="s">
        <v>261</v>
      </c>
      <c r="C61" s="14"/>
      <c r="D61" s="171"/>
      <c r="E61" s="168"/>
      <c r="F61" s="9"/>
      <c r="G61" s="169"/>
      <c r="H61" s="87"/>
      <c r="I61" s="309"/>
      <c r="J61" s="53"/>
      <c r="K61" s="43"/>
      <c r="L61" s="43"/>
      <c r="M61" s="43"/>
      <c r="N61" s="312"/>
    </row>
    <row r="62" spans="1:14" ht="19.2" customHeight="1" x14ac:dyDescent="0.25">
      <c r="A62" s="315"/>
      <c r="B62" s="36" t="s">
        <v>229</v>
      </c>
      <c r="C62" s="14" t="s">
        <v>251</v>
      </c>
      <c r="D62" s="171" t="s">
        <v>275</v>
      </c>
      <c r="E62" s="168">
        <v>70</v>
      </c>
      <c r="F62" s="9" t="s">
        <v>83</v>
      </c>
      <c r="G62" s="169">
        <v>85</v>
      </c>
      <c r="H62" s="87">
        <f t="shared" si="1"/>
        <v>5950</v>
      </c>
      <c r="I62" s="309"/>
      <c r="J62" s="53"/>
      <c r="K62" s="43"/>
      <c r="L62" s="43"/>
      <c r="M62" s="43"/>
      <c r="N62" s="312"/>
    </row>
    <row r="63" spans="1:14" ht="19.2" customHeight="1" x14ac:dyDescent="0.25">
      <c r="A63" s="315"/>
      <c r="B63" s="37" t="s">
        <v>258</v>
      </c>
      <c r="C63" s="14"/>
      <c r="D63" s="171"/>
      <c r="E63" s="168"/>
      <c r="F63" s="43"/>
      <c r="G63" s="169"/>
      <c r="H63" s="170"/>
      <c r="I63" s="309"/>
      <c r="J63" s="53"/>
      <c r="K63" s="43"/>
      <c r="L63" s="43"/>
      <c r="M63" s="43"/>
      <c r="N63" s="312"/>
    </row>
    <row r="64" spans="1:14" ht="19.2" customHeight="1" x14ac:dyDescent="0.25">
      <c r="A64" s="315"/>
      <c r="B64" s="37"/>
      <c r="C64" s="14"/>
      <c r="D64" s="171"/>
      <c r="E64" s="168"/>
      <c r="F64" s="43"/>
      <c r="G64" s="169"/>
      <c r="H64" s="170"/>
      <c r="I64" s="309"/>
      <c r="J64" s="53"/>
      <c r="K64" s="43"/>
      <c r="L64" s="43"/>
      <c r="M64" s="43"/>
      <c r="N64" s="312"/>
    </row>
    <row r="65" spans="1:14" ht="19.2" customHeight="1" x14ac:dyDescent="0.25">
      <c r="A65" s="315"/>
      <c r="B65" s="178"/>
      <c r="C65" s="179"/>
      <c r="D65" s="35" t="s">
        <v>230</v>
      </c>
      <c r="E65" s="168"/>
      <c r="F65" s="43"/>
      <c r="G65" s="87"/>
      <c r="H65" s="87"/>
      <c r="I65" s="309"/>
      <c r="J65" s="53"/>
      <c r="K65" s="43"/>
      <c r="L65" s="43"/>
      <c r="M65" s="43"/>
      <c r="N65" s="312"/>
    </row>
    <row r="66" spans="1:14" ht="19.2" customHeight="1" x14ac:dyDescent="0.25">
      <c r="A66" s="315"/>
      <c r="B66" s="171" t="s">
        <v>231</v>
      </c>
      <c r="C66" s="14" t="s">
        <v>251</v>
      </c>
      <c r="D66" s="171" t="s">
        <v>232</v>
      </c>
      <c r="E66" s="172"/>
      <c r="F66" s="173"/>
      <c r="G66" s="174"/>
      <c r="H66" s="170"/>
      <c r="I66" s="309"/>
      <c r="J66" s="53"/>
      <c r="K66" s="43"/>
      <c r="L66" s="43"/>
      <c r="M66" s="43"/>
      <c r="N66" s="312"/>
    </row>
    <row r="67" spans="1:14" ht="19.2" customHeight="1" x14ac:dyDescent="0.25">
      <c r="A67" s="315"/>
      <c r="B67" s="37" t="s">
        <v>258</v>
      </c>
      <c r="C67" s="58"/>
      <c r="D67" s="171" t="s">
        <v>264</v>
      </c>
      <c r="E67" s="172">
        <v>80</v>
      </c>
      <c r="F67" s="9" t="s">
        <v>83</v>
      </c>
      <c r="G67" s="174">
        <v>170</v>
      </c>
      <c r="H67" s="170">
        <f t="shared" si="1"/>
        <v>13600</v>
      </c>
      <c r="I67" s="309"/>
      <c r="J67" s="53"/>
      <c r="K67" s="43"/>
      <c r="L67" s="43"/>
      <c r="M67" s="43"/>
      <c r="N67" s="312"/>
    </row>
    <row r="68" spans="1:14" ht="19.2" customHeight="1" x14ac:dyDescent="0.25">
      <c r="A68" s="315"/>
      <c r="B68" s="37"/>
      <c r="C68" s="58"/>
      <c r="D68" s="171"/>
      <c r="E68" s="172"/>
      <c r="F68" s="9"/>
      <c r="G68" s="174"/>
      <c r="H68" s="170"/>
      <c r="I68" s="309"/>
      <c r="J68" s="53"/>
      <c r="K68" s="43"/>
      <c r="L68" s="43"/>
      <c r="M68" s="43"/>
      <c r="N68" s="312"/>
    </row>
    <row r="69" spans="1:14" ht="19.2" customHeight="1" x14ac:dyDescent="0.25">
      <c r="A69" s="315"/>
      <c r="B69" s="171" t="s">
        <v>233</v>
      </c>
      <c r="C69" s="14" t="s">
        <v>251</v>
      </c>
      <c r="D69" s="171" t="s">
        <v>265</v>
      </c>
      <c r="E69" s="172">
        <v>40</v>
      </c>
      <c r="F69" s="9" t="s">
        <v>83</v>
      </c>
      <c r="G69" s="174">
        <v>86</v>
      </c>
      <c r="H69" s="170">
        <f t="shared" si="1"/>
        <v>3440</v>
      </c>
      <c r="I69" s="309"/>
      <c r="J69" s="53"/>
      <c r="K69" s="43"/>
      <c r="L69" s="43"/>
      <c r="M69" s="43"/>
      <c r="N69" s="312"/>
    </row>
    <row r="70" spans="1:14" ht="19.2" customHeight="1" x14ac:dyDescent="0.25">
      <c r="A70" s="315"/>
      <c r="B70" s="37" t="s">
        <v>258</v>
      </c>
      <c r="C70" s="58" t="s">
        <v>252</v>
      </c>
      <c r="D70" s="171" t="s">
        <v>234</v>
      </c>
      <c r="E70" s="172">
        <v>20</v>
      </c>
      <c r="F70" s="173" t="s">
        <v>224</v>
      </c>
      <c r="G70" s="174">
        <v>650</v>
      </c>
      <c r="H70" s="170">
        <f t="shared" si="1"/>
        <v>13000</v>
      </c>
      <c r="I70" s="309"/>
      <c r="J70" s="53"/>
      <c r="K70" s="43"/>
      <c r="L70" s="43"/>
      <c r="M70" s="43"/>
      <c r="N70" s="312"/>
    </row>
    <row r="71" spans="1:14" ht="19.2" customHeight="1" x14ac:dyDescent="0.25">
      <c r="A71" s="315"/>
      <c r="B71" s="133" t="s">
        <v>303</v>
      </c>
      <c r="C71" s="58"/>
      <c r="D71" s="133"/>
      <c r="E71" s="172"/>
      <c r="F71" s="173"/>
      <c r="G71" s="174"/>
      <c r="H71" s="170"/>
      <c r="I71" s="309"/>
      <c r="J71" s="53"/>
      <c r="K71" s="43"/>
      <c r="L71" s="43"/>
      <c r="M71" s="43"/>
      <c r="N71" s="312"/>
    </row>
    <row r="72" spans="1:14" ht="19.2" customHeight="1" x14ac:dyDescent="0.25">
      <c r="A72" s="315"/>
      <c r="B72" s="178"/>
      <c r="C72" s="179"/>
      <c r="D72" s="35" t="s">
        <v>235</v>
      </c>
      <c r="E72" s="168"/>
      <c r="F72" s="43"/>
      <c r="G72" s="87"/>
      <c r="H72" s="87"/>
      <c r="I72" s="309"/>
      <c r="J72" s="53"/>
      <c r="K72" s="43"/>
      <c r="L72" s="43"/>
      <c r="M72" s="43"/>
      <c r="N72" s="312"/>
    </row>
    <row r="73" spans="1:14" ht="19.2" customHeight="1" x14ac:dyDescent="0.25">
      <c r="A73" s="315"/>
      <c r="B73" s="171">
        <v>7989</v>
      </c>
      <c r="C73" s="58" t="s">
        <v>253</v>
      </c>
      <c r="D73" s="171" t="s">
        <v>236</v>
      </c>
      <c r="E73" s="172">
        <v>29</v>
      </c>
      <c r="F73" s="9" t="s">
        <v>131</v>
      </c>
      <c r="G73" s="174">
        <v>600</v>
      </c>
      <c r="H73" s="170">
        <f t="shared" si="1"/>
        <v>17400</v>
      </c>
      <c r="I73" s="309"/>
      <c r="J73" s="53"/>
      <c r="K73" s="43"/>
      <c r="L73" s="43"/>
      <c r="M73" s="43"/>
      <c r="N73" s="312"/>
    </row>
    <row r="74" spans="1:14" ht="19.2" customHeight="1" x14ac:dyDescent="0.25">
      <c r="A74" s="315"/>
      <c r="B74" s="14" t="s">
        <v>133</v>
      </c>
      <c r="C74" s="58"/>
      <c r="D74" s="15" t="s">
        <v>276</v>
      </c>
      <c r="E74" s="172"/>
      <c r="F74" s="9"/>
      <c r="G74" s="174"/>
      <c r="H74" s="170"/>
      <c r="I74" s="309"/>
      <c r="J74" s="53"/>
      <c r="K74" s="43"/>
      <c r="L74" s="43"/>
      <c r="M74" s="43"/>
      <c r="N74" s="312"/>
    </row>
    <row r="75" spans="1:14" ht="19.2" customHeight="1" x14ac:dyDescent="0.25">
      <c r="A75" s="315"/>
      <c r="B75" s="56" t="s">
        <v>285</v>
      </c>
      <c r="C75" s="58"/>
      <c r="D75" s="16" t="s">
        <v>287</v>
      </c>
      <c r="E75" s="172"/>
      <c r="F75" s="9"/>
      <c r="G75" s="174"/>
      <c r="H75" s="170"/>
      <c r="I75" s="309"/>
      <c r="J75" s="53"/>
      <c r="K75" s="43"/>
      <c r="L75" s="43"/>
      <c r="M75" s="43"/>
      <c r="N75" s="312"/>
    </row>
    <row r="76" spans="1:14" ht="19.2" customHeight="1" x14ac:dyDescent="0.25">
      <c r="A76" s="315"/>
      <c r="B76" s="56" t="s">
        <v>286</v>
      </c>
      <c r="C76" s="58"/>
      <c r="D76" s="171"/>
      <c r="E76" s="172"/>
      <c r="F76" s="173"/>
      <c r="G76" s="174"/>
      <c r="H76" s="170"/>
      <c r="I76" s="309"/>
      <c r="J76" s="53"/>
      <c r="K76" s="43"/>
      <c r="L76" s="43"/>
      <c r="M76" s="43"/>
      <c r="N76" s="312"/>
    </row>
    <row r="77" spans="1:14" ht="19.2" customHeight="1" x14ac:dyDescent="0.25">
      <c r="A77" s="315"/>
      <c r="B77" s="56"/>
      <c r="C77" s="58"/>
      <c r="D77" s="171"/>
      <c r="E77" s="172"/>
      <c r="F77" s="173"/>
      <c r="G77" s="174"/>
      <c r="H77" s="170"/>
      <c r="I77" s="309"/>
      <c r="J77" s="53"/>
      <c r="K77" s="43"/>
      <c r="L77" s="43"/>
      <c r="M77" s="43"/>
      <c r="N77" s="312"/>
    </row>
    <row r="78" spans="1:14" ht="19.2" customHeight="1" x14ac:dyDescent="0.25">
      <c r="A78" s="315"/>
      <c r="B78" s="178"/>
      <c r="C78" s="179"/>
      <c r="D78" s="35" t="s">
        <v>237</v>
      </c>
      <c r="E78" s="168"/>
      <c r="F78" s="43"/>
      <c r="G78" s="87"/>
      <c r="H78" s="87"/>
      <c r="I78" s="309"/>
      <c r="J78" s="53"/>
      <c r="K78" s="43"/>
      <c r="L78" s="43"/>
      <c r="M78" s="43"/>
      <c r="N78" s="312"/>
    </row>
    <row r="79" spans="1:14" ht="19.2" customHeight="1" x14ac:dyDescent="0.25">
      <c r="A79" s="315"/>
      <c r="B79" s="171">
        <v>1000</v>
      </c>
      <c r="C79" s="58" t="s">
        <v>299</v>
      </c>
      <c r="D79" s="171" t="s">
        <v>234</v>
      </c>
      <c r="E79" s="172">
        <v>8</v>
      </c>
      <c r="F79" s="9" t="s">
        <v>131</v>
      </c>
      <c r="G79" s="174">
        <v>550</v>
      </c>
      <c r="H79" s="170">
        <f t="shared" si="1"/>
        <v>4400</v>
      </c>
      <c r="I79" s="309"/>
      <c r="J79" s="53"/>
      <c r="K79" s="43"/>
      <c r="L79" s="43"/>
      <c r="M79" s="43"/>
      <c r="N79" s="312"/>
    </row>
    <row r="80" spans="1:14" ht="19.2" customHeight="1" x14ac:dyDescent="0.25">
      <c r="A80" s="315"/>
      <c r="B80" s="37" t="s">
        <v>259</v>
      </c>
      <c r="C80" s="58" t="s">
        <v>300</v>
      </c>
      <c r="D80" s="302"/>
      <c r="E80" s="172">
        <v>5</v>
      </c>
      <c r="F80" s="9" t="s">
        <v>131</v>
      </c>
      <c r="G80" s="174">
        <v>550</v>
      </c>
      <c r="H80" s="170">
        <f t="shared" ref="H80:H81" si="2">E80*G80</f>
        <v>2750</v>
      </c>
      <c r="I80" s="309"/>
      <c r="J80" s="53"/>
      <c r="K80" s="43"/>
      <c r="L80" s="43"/>
      <c r="M80" s="43"/>
      <c r="N80" s="312"/>
    </row>
    <row r="81" spans="1:14" ht="19.2" customHeight="1" x14ac:dyDescent="0.25">
      <c r="A81" s="315"/>
      <c r="B81" s="100" t="s">
        <v>146</v>
      </c>
      <c r="C81" s="301" t="s">
        <v>301</v>
      </c>
      <c r="D81" s="134"/>
      <c r="E81" s="172">
        <v>3</v>
      </c>
      <c r="F81" s="9" t="s">
        <v>131</v>
      </c>
      <c r="G81" s="174">
        <v>550</v>
      </c>
      <c r="H81" s="170">
        <f t="shared" si="2"/>
        <v>1650</v>
      </c>
      <c r="I81" s="309"/>
      <c r="J81" s="53"/>
      <c r="K81" s="43"/>
      <c r="L81" s="43"/>
      <c r="M81" s="43"/>
      <c r="N81" s="312"/>
    </row>
    <row r="82" spans="1:14" ht="19.2" customHeight="1" x14ac:dyDescent="0.25">
      <c r="A82" s="315"/>
      <c r="B82" s="14"/>
      <c r="C82" s="301"/>
      <c r="D82" s="134"/>
      <c r="E82" s="172"/>
      <c r="F82" s="173"/>
      <c r="G82" s="174"/>
      <c r="H82" s="170"/>
      <c r="I82" s="309"/>
      <c r="J82" s="53"/>
      <c r="K82" s="43"/>
      <c r="L82" s="43"/>
      <c r="M82" s="43"/>
      <c r="N82" s="312"/>
    </row>
    <row r="83" spans="1:14" ht="19.2" customHeight="1" x14ac:dyDescent="0.25">
      <c r="A83" s="315"/>
      <c r="B83" s="171" t="s">
        <v>239</v>
      </c>
      <c r="C83" s="58"/>
      <c r="D83" s="171" t="s">
        <v>232</v>
      </c>
      <c r="E83" s="172"/>
      <c r="F83" s="173"/>
      <c r="G83" s="174"/>
      <c r="H83" s="170"/>
      <c r="I83" s="309"/>
      <c r="J83" s="53"/>
      <c r="K83" s="43"/>
      <c r="L83" s="43"/>
      <c r="M83" s="43"/>
      <c r="N83" s="312"/>
    </row>
    <row r="84" spans="1:14" ht="19.2" customHeight="1" x14ac:dyDescent="0.25">
      <c r="A84" s="315"/>
      <c r="B84" s="37" t="s">
        <v>258</v>
      </c>
      <c r="C84" s="58" t="s">
        <v>254</v>
      </c>
      <c r="D84" s="171" t="s">
        <v>267</v>
      </c>
      <c r="E84" s="172">
        <v>10</v>
      </c>
      <c r="F84" s="9" t="s">
        <v>83</v>
      </c>
      <c r="G84" s="174">
        <v>150</v>
      </c>
      <c r="H84" s="170">
        <f t="shared" si="1"/>
        <v>1500</v>
      </c>
      <c r="I84" s="309"/>
      <c r="J84" s="53"/>
      <c r="K84" s="43"/>
      <c r="L84" s="43"/>
      <c r="M84" s="43"/>
      <c r="N84" s="312"/>
    </row>
    <row r="85" spans="1:14" ht="19.2" customHeight="1" x14ac:dyDescent="0.25">
      <c r="A85" s="315"/>
      <c r="B85" s="171"/>
      <c r="C85" s="58" t="s">
        <v>255</v>
      </c>
      <c r="D85" s="171" t="s">
        <v>268</v>
      </c>
      <c r="E85" s="172">
        <v>6</v>
      </c>
      <c r="F85" s="9" t="s">
        <v>83</v>
      </c>
      <c r="G85" s="174">
        <v>150</v>
      </c>
      <c r="H85" s="170">
        <f t="shared" si="1"/>
        <v>900</v>
      </c>
      <c r="I85" s="309"/>
      <c r="J85" s="53"/>
      <c r="K85" s="43"/>
      <c r="L85" s="43"/>
      <c r="M85" s="43"/>
      <c r="N85" s="312"/>
    </row>
    <row r="86" spans="1:14" ht="19.2" customHeight="1" x14ac:dyDescent="0.25">
      <c r="A86" s="315"/>
      <c r="B86" s="171"/>
      <c r="C86" s="58" t="s">
        <v>251</v>
      </c>
      <c r="D86" s="171" t="s">
        <v>306</v>
      </c>
      <c r="E86" s="172">
        <v>4</v>
      </c>
      <c r="F86" s="9" t="s">
        <v>83</v>
      </c>
      <c r="G86" s="174">
        <v>150</v>
      </c>
      <c r="H86" s="170">
        <f t="shared" si="1"/>
        <v>600</v>
      </c>
      <c r="I86" s="309"/>
      <c r="J86" s="53"/>
      <c r="K86" s="43"/>
      <c r="L86" s="43"/>
      <c r="M86" s="43"/>
      <c r="N86" s="312"/>
    </row>
    <row r="87" spans="1:14" ht="19.2" customHeight="1" x14ac:dyDescent="0.25">
      <c r="A87" s="315"/>
      <c r="B87" s="171"/>
      <c r="C87" s="58"/>
      <c r="D87" s="171"/>
      <c r="E87" s="172"/>
      <c r="F87" s="9"/>
      <c r="G87" s="174"/>
      <c r="H87" s="170"/>
      <c r="I87" s="309"/>
      <c r="J87" s="53"/>
      <c r="K87" s="43"/>
      <c r="L87" s="43"/>
      <c r="M87" s="43"/>
      <c r="N87" s="312"/>
    </row>
    <row r="88" spans="1:14" ht="19.2" customHeight="1" x14ac:dyDescent="0.25">
      <c r="A88" s="315"/>
      <c r="B88" s="171">
        <v>9900</v>
      </c>
      <c r="C88" s="58" t="s">
        <v>307</v>
      </c>
      <c r="D88" s="171" t="s">
        <v>234</v>
      </c>
      <c r="E88" s="172">
        <v>20</v>
      </c>
      <c r="F88" s="9" t="s">
        <v>131</v>
      </c>
      <c r="G88" s="174">
        <v>650</v>
      </c>
      <c r="H88" s="170">
        <f t="shared" ref="H88" si="3">E88*G88</f>
        <v>13000</v>
      </c>
      <c r="I88" s="309"/>
      <c r="J88" s="53"/>
      <c r="K88" s="43"/>
      <c r="L88" s="43"/>
      <c r="M88" s="43"/>
      <c r="N88" s="312"/>
    </row>
    <row r="89" spans="1:14" ht="19.2" customHeight="1" x14ac:dyDescent="0.25">
      <c r="A89" s="315"/>
      <c r="B89" s="37" t="s">
        <v>259</v>
      </c>
      <c r="C89" s="58"/>
      <c r="D89" s="171"/>
      <c r="E89" s="172"/>
      <c r="F89" s="9"/>
      <c r="G89" s="174"/>
      <c r="H89" s="170"/>
      <c r="I89" s="309"/>
      <c r="J89" s="53"/>
      <c r="K89" s="43"/>
      <c r="L89" s="43"/>
      <c r="M89" s="43"/>
      <c r="N89" s="312"/>
    </row>
    <row r="90" spans="1:14" ht="19.2" customHeight="1" x14ac:dyDescent="0.25">
      <c r="A90" s="315"/>
      <c r="B90" s="56" t="s">
        <v>146</v>
      </c>
      <c r="C90" s="58"/>
      <c r="D90" s="171"/>
      <c r="E90" s="172"/>
      <c r="F90" s="9"/>
      <c r="G90" s="174"/>
      <c r="H90" s="170"/>
      <c r="I90" s="309"/>
      <c r="J90" s="53"/>
      <c r="K90" s="43"/>
      <c r="L90" s="43"/>
      <c r="M90" s="43"/>
      <c r="N90" s="312"/>
    </row>
    <row r="91" spans="1:14" ht="19.2" customHeight="1" x14ac:dyDescent="0.25">
      <c r="A91" s="315"/>
      <c r="B91" s="56"/>
      <c r="C91" s="58"/>
      <c r="D91" s="171"/>
      <c r="E91" s="172"/>
      <c r="F91" s="9"/>
      <c r="G91" s="174"/>
      <c r="H91" s="170"/>
      <c r="I91" s="309"/>
      <c r="J91" s="53"/>
      <c r="K91" s="43"/>
      <c r="L91" s="43"/>
      <c r="M91" s="43"/>
      <c r="N91" s="312"/>
    </row>
    <row r="92" spans="1:14" ht="19.2" customHeight="1" x14ac:dyDescent="0.25">
      <c r="A92" s="315"/>
      <c r="B92" s="171" t="s">
        <v>240</v>
      </c>
      <c r="C92" s="58"/>
      <c r="D92" s="171" t="s">
        <v>232</v>
      </c>
      <c r="E92" s="172"/>
      <c r="F92" s="173"/>
      <c r="G92" s="174"/>
      <c r="H92" s="170"/>
      <c r="I92" s="309"/>
      <c r="J92" s="53"/>
      <c r="K92" s="43"/>
      <c r="L92" s="43"/>
      <c r="M92" s="43"/>
      <c r="N92" s="312"/>
    </row>
    <row r="93" spans="1:14" ht="19.2" customHeight="1" x14ac:dyDescent="0.25">
      <c r="A93" s="315"/>
      <c r="B93" s="37" t="s">
        <v>258</v>
      </c>
      <c r="C93" s="58" t="s">
        <v>254</v>
      </c>
      <c r="D93" s="171" t="s">
        <v>270</v>
      </c>
      <c r="E93" s="172">
        <v>20</v>
      </c>
      <c r="F93" s="9" t="s">
        <v>83</v>
      </c>
      <c r="G93" s="174">
        <v>65</v>
      </c>
      <c r="H93" s="170">
        <f t="shared" si="1"/>
        <v>1300</v>
      </c>
      <c r="I93" s="309"/>
      <c r="J93" s="53"/>
      <c r="K93" s="43"/>
      <c r="L93" s="43"/>
      <c r="M93" s="43"/>
      <c r="N93" s="312"/>
    </row>
    <row r="94" spans="1:14" ht="19.2" customHeight="1" x14ac:dyDescent="0.25">
      <c r="A94" s="315"/>
      <c r="B94" s="171"/>
      <c r="C94" s="58" t="s">
        <v>255</v>
      </c>
      <c r="D94" s="171" t="s">
        <v>271</v>
      </c>
      <c r="E94" s="172">
        <v>12</v>
      </c>
      <c r="F94" s="9" t="s">
        <v>83</v>
      </c>
      <c r="G94" s="174">
        <v>65</v>
      </c>
      <c r="H94" s="170">
        <f t="shared" si="1"/>
        <v>780</v>
      </c>
      <c r="I94" s="309"/>
      <c r="J94" s="53"/>
      <c r="K94" s="43"/>
      <c r="L94" s="43"/>
      <c r="M94" s="43"/>
      <c r="N94" s="312"/>
    </row>
    <row r="95" spans="1:14" ht="19.2" customHeight="1" x14ac:dyDescent="0.25">
      <c r="A95" s="315"/>
      <c r="B95" s="171"/>
      <c r="C95" s="58" t="s">
        <v>251</v>
      </c>
      <c r="D95" s="171" t="s">
        <v>272</v>
      </c>
      <c r="E95" s="172">
        <v>8</v>
      </c>
      <c r="F95" s="9" t="s">
        <v>83</v>
      </c>
      <c r="G95" s="174">
        <v>65</v>
      </c>
      <c r="H95" s="170">
        <f t="shared" si="1"/>
        <v>520</v>
      </c>
      <c r="I95" s="309"/>
      <c r="J95" s="53"/>
      <c r="K95" s="43"/>
      <c r="L95" s="43"/>
      <c r="M95" s="43"/>
      <c r="N95" s="312"/>
    </row>
    <row r="96" spans="1:14" ht="19.2" customHeight="1" x14ac:dyDescent="0.25">
      <c r="A96" s="315"/>
      <c r="B96" s="171"/>
      <c r="C96" s="58"/>
      <c r="D96" s="171"/>
      <c r="E96" s="172"/>
      <c r="F96" s="9"/>
      <c r="G96" s="174"/>
      <c r="H96" s="170"/>
      <c r="I96" s="309"/>
      <c r="J96" s="53"/>
      <c r="K96" s="43"/>
      <c r="L96" s="43"/>
      <c r="M96" s="43"/>
      <c r="N96" s="312"/>
    </row>
    <row r="97" spans="1:14" ht="19.2" customHeight="1" x14ac:dyDescent="0.25">
      <c r="A97" s="315"/>
      <c r="B97" s="171" t="s">
        <v>241</v>
      </c>
      <c r="C97" s="58"/>
      <c r="D97" s="171" t="s">
        <v>242</v>
      </c>
      <c r="E97" s="172"/>
      <c r="F97" s="173"/>
      <c r="G97" s="174"/>
      <c r="H97" s="170"/>
      <c r="I97" s="309"/>
      <c r="J97" s="53"/>
      <c r="K97" s="43"/>
      <c r="L97" s="43"/>
      <c r="M97" s="43"/>
      <c r="N97" s="312"/>
    </row>
    <row r="98" spans="1:14" ht="19.2" customHeight="1" x14ac:dyDescent="0.25">
      <c r="A98" s="315"/>
      <c r="B98" s="37" t="s">
        <v>273</v>
      </c>
      <c r="C98" s="58"/>
      <c r="D98" s="171" t="s">
        <v>243</v>
      </c>
      <c r="E98" s="172">
        <v>13</v>
      </c>
      <c r="F98" s="9" t="s">
        <v>131</v>
      </c>
      <c r="G98" s="174">
        <v>350</v>
      </c>
      <c r="H98" s="170">
        <f t="shared" si="1"/>
        <v>4550</v>
      </c>
      <c r="I98" s="309"/>
      <c r="J98" s="53"/>
      <c r="K98" s="43"/>
      <c r="L98" s="43"/>
      <c r="M98" s="43"/>
      <c r="N98" s="312"/>
    </row>
    <row r="99" spans="1:14" ht="19.2" customHeight="1" x14ac:dyDescent="0.25">
      <c r="A99" s="315"/>
      <c r="B99" s="171"/>
      <c r="C99" s="58"/>
      <c r="D99" s="171" t="s">
        <v>244</v>
      </c>
      <c r="E99" s="172">
        <v>5</v>
      </c>
      <c r="F99" s="9" t="s">
        <v>131</v>
      </c>
      <c r="G99" s="174">
        <v>320</v>
      </c>
      <c r="H99" s="170">
        <f t="shared" si="1"/>
        <v>1600</v>
      </c>
      <c r="I99" s="309"/>
      <c r="J99" s="53"/>
      <c r="K99" s="43"/>
      <c r="L99" s="43"/>
      <c r="M99" s="43"/>
      <c r="N99" s="312"/>
    </row>
    <row r="100" spans="1:14" ht="19.2" customHeight="1" x14ac:dyDescent="0.25">
      <c r="A100" s="315"/>
      <c r="B100" s="171"/>
      <c r="C100" s="58"/>
      <c r="D100" s="171"/>
      <c r="E100" s="172"/>
      <c r="F100" s="173"/>
      <c r="G100" s="174"/>
      <c r="H100" s="170"/>
      <c r="I100" s="309"/>
      <c r="J100" s="53"/>
      <c r="K100" s="43"/>
      <c r="L100" s="43"/>
      <c r="M100" s="43"/>
      <c r="N100" s="312"/>
    </row>
    <row r="101" spans="1:14" ht="19.2" customHeight="1" x14ac:dyDescent="0.25">
      <c r="A101" s="315"/>
      <c r="B101" s="178"/>
      <c r="C101" s="179"/>
      <c r="D101" s="35" t="s">
        <v>245</v>
      </c>
      <c r="E101" s="168"/>
      <c r="F101" s="43"/>
      <c r="G101" s="87"/>
      <c r="H101" s="87"/>
      <c r="I101" s="309"/>
      <c r="J101" s="53"/>
      <c r="K101" s="43"/>
      <c r="L101" s="43"/>
      <c r="M101" s="43"/>
      <c r="N101" s="312"/>
    </row>
    <row r="102" spans="1:14" ht="19.2" customHeight="1" x14ac:dyDescent="0.25">
      <c r="A102" s="315"/>
      <c r="B102" s="47" t="s">
        <v>246</v>
      </c>
      <c r="C102" s="14" t="s">
        <v>256</v>
      </c>
      <c r="D102" s="171" t="s">
        <v>247</v>
      </c>
      <c r="E102" s="168">
        <v>442</v>
      </c>
      <c r="F102" s="9" t="s">
        <v>83</v>
      </c>
      <c r="G102" s="87">
        <v>11</v>
      </c>
      <c r="H102" s="170">
        <f>E102*G102</f>
        <v>4862</v>
      </c>
      <c r="I102" s="309"/>
      <c r="J102" s="53"/>
      <c r="K102" s="43"/>
      <c r="L102" s="43"/>
      <c r="M102" s="43"/>
      <c r="N102" s="312"/>
    </row>
    <row r="103" spans="1:14" ht="19.2" customHeight="1" x14ac:dyDescent="0.25">
      <c r="A103" s="315"/>
      <c r="B103" s="37" t="s">
        <v>274</v>
      </c>
      <c r="C103" s="14"/>
      <c r="D103" s="171"/>
      <c r="E103" s="168"/>
      <c r="F103" s="43"/>
      <c r="G103" s="87"/>
      <c r="H103" s="87"/>
      <c r="I103" s="309"/>
      <c r="J103" s="53"/>
      <c r="K103" s="43"/>
      <c r="L103" s="43"/>
      <c r="M103" s="43"/>
      <c r="N103" s="312"/>
    </row>
    <row r="104" spans="1:14" ht="19.2" customHeight="1" x14ac:dyDescent="0.25">
      <c r="A104" s="315"/>
      <c r="B104" s="37"/>
      <c r="C104" s="14"/>
      <c r="D104" s="171"/>
      <c r="E104" s="168"/>
      <c r="F104" s="43"/>
      <c r="G104" s="87"/>
      <c r="H104" s="87"/>
      <c r="I104" s="309"/>
      <c r="J104" s="53"/>
      <c r="K104" s="43"/>
      <c r="L104" s="43"/>
      <c r="M104" s="43"/>
      <c r="N104" s="312"/>
    </row>
    <row r="105" spans="1:14" ht="19.2" customHeight="1" x14ac:dyDescent="0.25">
      <c r="A105" s="315"/>
      <c r="B105" s="178"/>
      <c r="C105" s="179"/>
      <c r="D105" s="35" t="s">
        <v>248</v>
      </c>
      <c r="E105" s="168"/>
      <c r="F105" s="43"/>
      <c r="G105" s="87"/>
      <c r="H105" s="87"/>
      <c r="I105" s="309"/>
      <c r="J105" s="53"/>
      <c r="K105" s="43"/>
      <c r="L105" s="43"/>
      <c r="M105" s="43"/>
      <c r="N105" s="312"/>
    </row>
    <row r="106" spans="1:14" ht="19.2" customHeight="1" x14ac:dyDescent="0.25">
      <c r="A106" s="315"/>
      <c r="B106" s="117" t="s">
        <v>249</v>
      </c>
      <c r="C106" s="58" t="s">
        <v>302</v>
      </c>
      <c r="D106" s="171" t="s">
        <v>234</v>
      </c>
      <c r="E106" s="175">
        <v>16</v>
      </c>
      <c r="F106" s="9" t="s">
        <v>131</v>
      </c>
      <c r="G106" s="176">
        <v>550</v>
      </c>
      <c r="H106" s="170">
        <f t="shared" ref="H106:H112" si="4">E106*G106</f>
        <v>8800</v>
      </c>
      <c r="I106" s="309"/>
      <c r="J106" s="53"/>
      <c r="K106" s="43"/>
      <c r="L106" s="43"/>
      <c r="M106" s="43"/>
      <c r="N106" s="312"/>
    </row>
    <row r="107" spans="1:14" ht="19.2" customHeight="1" x14ac:dyDescent="0.25">
      <c r="A107" s="315"/>
      <c r="B107" s="37" t="s">
        <v>259</v>
      </c>
      <c r="C107" s="58"/>
      <c r="D107" s="171"/>
      <c r="E107" s="175"/>
      <c r="F107" s="9"/>
      <c r="G107" s="176"/>
      <c r="H107" s="170"/>
      <c r="I107" s="309"/>
      <c r="J107" s="53"/>
      <c r="K107" s="43"/>
      <c r="L107" s="43"/>
      <c r="M107" s="43"/>
      <c r="N107" s="312"/>
    </row>
    <row r="108" spans="1:14" ht="19.2" customHeight="1" x14ac:dyDescent="0.25">
      <c r="A108" s="315"/>
      <c r="B108" s="56" t="s">
        <v>146</v>
      </c>
      <c r="C108" s="58"/>
      <c r="D108" s="171"/>
      <c r="E108" s="175"/>
      <c r="F108" s="9"/>
      <c r="G108" s="176"/>
      <c r="H108" s="170"/>
      <c r="I108" s="309"/>
      <c r="J108" s="53"/>
      <c r="K108" s="43"/>
      <c r="L108" s="43"/>
      <c r="M108" s="43"/>
      <c r="N108" s="312"/>
    </row>
    <row r="109" spans="1:14" ht="19.2" customHeight="1" x14ac:dyDescent="0.25">
      <c r="A109" s="315"/>
      <c r="B109" s="191"/>
      <c r="C109" s="58"/>
      <c r="D109" s="171"/>
      <c r="E109" s="175"/>
      <c r="F109" s="9"/>
      <c r="G109" s="176"/>
      <c r="H109" s="170"/>
      <c r="I109" s="309"/>
      <c r="J109" s="53"/>
      <c r="K109" s="43"/>
      <c r="L109" s="43"/>
      <c r="M109" s="43"/>
      <c r="N109" s="312"/>
    </row>
    <row r="110" spans="1:14" ht="19.2" customHeight="1" x14ac:dyDescent="0.25">
      <c r="A110" s="315"/>
      <c r="B110" s="13" t="s">
        <v>278</v>
      </c>
      <c r="C110" s="14"/>
      <c r="D110" s="36" t="s">
        <v>232</v>
      </c>
      <c r="E110" s="168"/>
      <c r="F110" s="43"/>
      <c r="G110" s="87"/>
      <c r="H110" s="170"/>
      <c r="I110" s="309"/>
      <c r="J110" s="53"/>
      <c r="K110" s="43"/>
      <c r="L110" s="43"/>
      <c r="M110" s="43"/>
      <c r="N110" s="312"/>
    </row>
    <row r="111" spans="1:14" ht="19.2" customHeight="1" x14ac:dyDescent="0.25">
      <c r="A111" s="315"/>
      <c r="B111" s="37" t="s">
        <v>258</v>
      </c>
      <c r="C111" s="14" t="s">
        <v>257</v>
      </c>
      <c r="D111" s="36" t="s">
        <v>279</v>
      </c>
      <c r="E111" s="168">
        <v>8</v>
      </c>
      <c r="F111" s="9" t="s">
        <v>83</v>
      </c>
      <c r="G111" s="87">
        <v>70</v>
      </c>
      <c r="H111" s="170">
        <f t="shared" si="4"/>
        <v>560</v>
      </c>
      <c r="I111" s="309"/>
      <c r="J111" s="53"/>
      <c r="K111" s="43"/>
      <c r="L111" s="43"/>
      <c r="M111" s="43"/>
      <c r="N111" s="312"/>
    </row>
    <row r="112" spans="1:14" ht="19.2" customHeight="1" x14ac:dyDescent="0.25">
      <c r="A112" s="315"/>
      <c r="B112" s="177"/>
      <c r="C112" s="14" t="s">
        <v>251</v>
      </c>
      <c r="D112" s="36" t="s">
        <v>280</v>
      </c>
      <c r="E112" s="168">
        <v>17</v>
      </c>
      <c r="F112" s="9" t="s">
        <v>83</v>
      </c>
      <c r="G112" s="87">
        <v>70</v>
      </c>
      <c r="H112" s="170">
        <f t="shared" si="4"/>
        <v>1190</v>
      </c>
      <c r="I112" s="309"/>
      <c r="J112" s="53"/>
      <c r="K112" s="43"/>
      <c r="L112" s="43"/>
      <c r="M112" s="43"/>
      <c r="N112" s="312"/>
    </row>
    <row r="113" spans="1:14" ht="19.2" customHeight="1" thickBot="1" x14ac:dyDescent="0.3">
      <c r="A113" s="316"/>
      <c r="B113" s="122"/>
      <c r="C113" s="123"/>
      <c r="D113" s="124"/>
      <c r="E113" s="93"/>
      <c r="F113" s="90"/>
      <c r="G113" s="92"/>
      <c r="H113" s="92"/>
      <c r="I113" s="310"/>
      <c r="J113" s="94"/>
      <c r="K113" s="93"/>
      <c r="L113" s="93"/>
      <c r="M113" s="93"/>
      <c r="N113" s="313"/>
    </row>
    <row r="114" spans="1:14" ht="19.2" customHeight="1" thickBot="1" x14ac:dyDescent="0.3">
      <c r="A114" s="125"/>
      <c r="B114" s="126"/>
      <c r="C114" s="127"/>
      <c r="D114" s="128"/>
      <c r="E114" s="45"/>
      <c r="F114" s="44"/>
      <c r="G114" s="129"/>
      <c r="H114" s="129"/>
      <c r="I114" s="45"/>
      <c r="J114" s="54"/>
      <c r="K114" s="45"/>
      <c r="L114" s="45"/>
      <c r="M114" s="45"/>
      <c r="N114" s="130"/>
    </row>
    <row r="115" spans="1:14" x14ac:dyDescent="0.25">
      <c r="A115" s="19"/>
      <c r="B115" s="13"/>
      <c r="C115" s="131"/>
      <c r="D115" s="20"/>
      <c r="E115" s="38"/>
      <c r="F115" s="39"/>
      <c r="G115" s="7"/>
      <c r="H115" s="8"/>
      <c r="I115" s="40"/>
      <c r="J115" s="51"/>
      <c r="K115" s="40"/>
      <c r="L115" s="40"/>
      <c r="M115" s="40"/>
      <c r="N115" s="52"/>
    </row>
    <row r="116" spans="1:14" ht="19.2" customHeight="1" x14ac:dyDescent="0.35">
      <c r="A116" s="132"/>
      <c r="B116" s="14"/>
      <c r="C116" s="133"/>
      <c r="D116" s="134"/>
      <c r="E116" s="135">
        <f>SUMIF($F$7:$F$115,"M.",$E$7:$E$115)</f>
        <v>296.5</v>
      </c>
      <c r="F116" s="9" t="s">
        <v>131</v>
      </c>
      <c r="G116" s="87"/>
      <c r="H116" s="136">
        <f>SUMIF($F$7:$F$115,"M.",$H$7:$H$115)</f>
        <v>120205</v>
      </c>
      <c r="I116" s="87"/>
      <c r="J116" s="53"/>
      <c r="K116" s="43"/>
      <c r="L116" s="43"/>
      <c r="M116" s="43"/>
      <c r="N116" s="43"/>
    </row>
    <row r="117" spans="1:14" ht="19.2" customHeight="1" x14ac:dyDescent="0.25">
      <c r="A117" s="43"/>
      <c r="B117" s="14"/>
      <c r="C117" s="43"/>
      <c r="D117" s="137"/>
      <c r="E117" s="138">
        <f>SUMIF($F$7:$F$115,"PCS.",$E$7:$E$115)</f>
        <v>3426</v>
      </c>
      <c r="F117" s="9" t="s">
        <v>83</v>
      </c>
      <c r="G117" s="43"/>
      <c r="H117" s="136">
        <f>SUMIF($F$7:$F$115,"PCS.",$H$7:$H$115)</f>
        <v>372754</v>
      </c>
      <c r="I117" s="43"/>
      <c r="J117" s="53"/>
      <c r="K117" s="43"/>
      <c r="L117" s="43"/>
      <c r="M117" s="43"/>
      <c r="N117" s="43"/>
    </row>
    <row r="118" spans="1:14" ht="19.2" customHeight="1" x14ac:dyDescent="0.25">
      <c r="A118" s="43"/>
      <c r="B118" s="14"/>
      <c r="C118" s="43"/>
      <c r="D118" s="134"/>
      <c r="E118" s="135"/>
      <c r="F118" s="9"/>
      <c r="G118" s="43"/>
      <c r="H118" s="136"/>
      <c r="I118" s="43"/>
      <c r="J118" s="53"/>
      <c r="K118" s="43"/>
      <c r="L118" s="43"/>
      <c r="M118" s="43"/>
      <c r="N118" s="43"/>
    </row>
    <row r="119" spans="1:14" ht="19.2" customHeight="1" x14ac:dyDescent="0.25">
      <c r="A119" s="134"/>
      <c r="B119" s="43" t="s">
        <v>129</v>
      </c>
      <c r="C119" s="139" t="s">
        <v>290</v>
      </c>
      <c r="D119" s="134"/>
      <c r="E119" s="43"/>
      <c r="F119" s="140"/>
      <c r="G119" s="43" t="s">
        <v>134</v>
      </c>
      <c r="H119" s="87">
        <f>SUM(H116:H117)</f>
        <v>492959</v>
      </c>
      <c r="I119" s="43"/>
      <c r="J119" s="141"/>
      <c r="K119" s="43"/>
      <c r="L119" s="43"/>
      <c r="M119" s="43"/>
      <c r="N119" s="43"/>
    </row>
    <row r="124" spans="1:14" x14ac:dyDescent="0.25">
      <c r="C124" s="144"/>
    </row>
  </sheetData>
  <sortState xmlns:xlrd2="http://schemas.microsoft.com/office/spreadsheetml/2017/richdata2" ref="B113:H114">
    <sortCondition ref="B113:B114"/>
  </sortState>
  <mergeCells count="16">
    <mergeCell ref="F5:H5"/>
    <mergeCell ref="I25:I45"/>
    <mergeCell ref="N25:N45"/>
    <mergeCell ref="A2:H2"/>
    <mergeCell ref="F4:G4"/>
    <mergeCell ref="A7:A11"/>
    <mergeCell ref="N7:N11"/>
    <mergeCell ref="A13:A17"/>
    <mergeCell ref="N13:N17"/>
    <mergeCell ref="A25:A45"/>
    <mergeCell ref="J25:J45"/>
    <mergeCell ref="I47:I113"/>
    <mergeCell ref="N47:N113"/>
    <mergeCell ref="A47:A113"/>
    <mergeCell ref="A19:A23"/>
    <mergeCell ref="N19:N23"/>
  </mergeCells>
  <phoneticPr fontId="14"/>
  <pageMargins left="0.51181102362204722" right="0" top="0.74803149606299213" bottom="0.74803149606299213" header="0.31496062992125984" footer="0.31496062992125984"/>
  <pageSetup paperSize="9" scale="31" fitToWidth="0" fitToHeight="0" orientation="portrait" r:id="rId1"/>
  <headerFooter>
    <oddFooter>&amp;C&amp;"Century Gothic,太字"&amp;10&amp;  -   P A G E  3- &amp;P   -</oddFooter>
  </headerFooter>
  <ignoredErrors>
    <ignoredError sqref="B8 C65 C67 C71:C72 C92 C97:C101 C105 C110 C78 C63 C103 C7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AAA30-AEBA-411D-862A-A9F51C8583D4}">
  <sheetPr>
    <pageSetUpPr fitToPage="1"/>
  </sheetPr>
  <dimension ref="A1:I10"/>
  <sheetViews>
    <sheetView view="pageBreakPreview" zoomScale="40" zoomScaleNormal="90" zoomScaleSheetLayoutView="40" workbookViewId="0">
      <selection activeCell="I9" sqref="I9"/>
    </sheetView>
  </sheetViews>
  <sheetFormatPr defaultColWidth="8.88671875" defaultRowHeight="38.4" x14ac:dyDescent="0.25"/>
  <cols>
    <col min="1" max="1" width="13.109375" style="11" customWidth="1"/>
    <col min="2" max="2" width="41.5546875" style="158" customWidth="1"/>
    <col min="3" max="3" width="34.88671875" style="28" customWidth="1"/>
    <col min="4" max="4" width="39" style="28" bestFit="1" customWidth="1"/>
    <col min="5" max="5" width="34" style="28" bestFit="1" customWidth="1"/>
    <col min="6" max="6" width="41.21875" style="29" bestFit="1" customWidth="1"/>
    <col min="7" max="7" width="55.44140625" style="29" customWidth="1"/>
    <col min="8" max="8" width="29.88671875" style="28" bestFit="1" customWidth="1"/>
    <col min="9" max="9" width="52.6640625" style="159" customWidth="1"/>
    <col min="10" max="16" width="34.88671875" style="11" customWidth="1"/>
    <col min="17" max="16384" width="8.88671875" style="11"/>
  </cols>
  <sheetData>
    <row r="1" spans="1:9" x14ac:dyDescent="0.25">
      <c r="A1" s="32"/>
      <c r="B1" s="154"/>
      <c r="C1" s="33"/>
      <c r="D1" s="33" t="s">
        <v>136</v>
      </c>
      <c r="E1" s="33"/>
      <c r="F1" s="34"/>
      <c r="G1" s="34"/>
      <c r="H1" s="33"/>
      <c r="I1" s="155"/>
    </row>
    <row r="2" spans="1:9" s="30" customFormat="1" ht="88.35" customHeight="1" x14ac:dyDescent="0.25">
      <c r="A2" s="156"/>
      <c r="B2" s="160" t="s">
        <v>137</v>
      </c>
      <c r="C2" s="31" t="s">
        <v>138</v>
      </c>
      <c r="D2" s="31"/>
      <c r="E2" s="31" t="s">
        <v>139</v>
      </c>
      <c r="F2" s="161" t="s">
        <v>140</v>
      </c>
      <c r="G2" s="161" t="s">
        <v>141</v>
      </c>
      <c r="H2" s="31" t="s">
        <v>142</v>
      </c>
      <c r="I2" s="161" t="s">
        <v>143</v>
      </c>
    </row>
    <row r="3" spans="1:9" ht="160.19999999999999" customHeight="1" x14ac:dyDescent="0.25">
      <c r="A3" s="157"/>
      <c r="B3" s="162" t="s">
        <v>203</v>
      </c>
      <c r="C3" s="163" t="s">
        <v>165</v>
      </c>
      <c r="D3" s="164" t="s">
        <v>202</v>
      </c>
      <c r="E3" s="165" t="s">
        <v>144</v>
      </c>
      <c r="F3" s="165" t="s">
        <v>161</v>
      </c>
      <c r="G3" s="166"/>
      <c r="H3" s="165" t="s">
        <v>154</v>
      </c>
      <c r="I3" s="344">
        <v>8</v>
      </c>
    </row>
    <row r="4" spans="1:9" ht="160.19999999999999" customHeight="1" x14ac:dyDescent="0.25">
      <c r="A4" s="157"/>
      <c r="B4" s="162" t="s">
        <v>213</v>
      </c>
      <c r="C4" s="163" t="s">
        <v>164</v>
      </c>
      <c r="D4" s="164" t="s">
        <v>204</v>
      </c>
      <c r="E4" s="165" t="s">
        <v>144</v>
      </c>
      <c r="F4" s="165" t="s">
        <v>161</v>
      </c>
      <c r="G4" s="166"/>
      <c r="H4" s="167" t="s">
        <v>216</v>
      </c>
      <c r="I4" s="345"/>
    </row>
    <row r="10" spans="1:9" x14ac:dyDescent="0.25">
      <c r="F10"/>
    </row>
  </sheetData>
  <sortState xmlns:xlrd2="http://schemas.microsoft.com/office/spreadsheetml/2017/richdata2" ref="D3:G4">
    <sortCondition ref="D3:D4"/>
  </sortState>
  <mergeCells count="1">
    <mergeCell ref="I3:I4"/>
  </mergeCells>
  <phoneticPr fontId="14"/>
  <pageMargins left="0.51181102362204722" right="0" top="0.74803149606299213" bottom="0.74803149606299213" header="0.31496062992125984" footer="0.31496062992125984"/>
  <pageSetup paperSize="9" scale="28" fitToHeight="0" orientation="portrait" r:id="rId1"/>
  <headerFooter>
    <oddFooter>&amp;C&amp;"Century Gothic,太字"&amp;10&amp;  -   P A G E  3- &amp;P   -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9116-90FB-4047-B450-817A19232B01}">
  <sheetPr>
    <pageSetUpPr fitToPage="1"/>
  </sheetPr>
  <dimension ref="A1:D120"/>
  <sheetViews>
    <sheetView view="pageBreakPreview" topLeftCell="A102" zoomScale="85" zoomScaleNormal="70" zoomScaleSheetLayoutView="85" workbookViewId="0">
      <selection activeCell="I114" sqref="I114"/>
    </sheetView>
  </sheetViews>
  <sheetFormatPr defaultColWidth="8.88671875" defaultRowHeight="15" x14ac:dyDescent="0.25"/>
  <cols>
    <col min="1" max="1" width="7.88671875" style="46" customWidth="1"/>
    <col min="2" max="2" width="38.109375" style="60" customWidth="1"/>
    <col min="3" max="3" width="75.44140625" style="55" customWidth="1"/>
    <col min="4" max="4" width="23.6640625" style="61" customWidth="1"/>
    <col min="5" max="16384" width="8.88671875" style="55"/>
  </cols>
  <sheetData>
    <row r="1" spans="1:4" ht="17.55" customHeight="1" x14ac:dyDescent="0.25">
      <c r="A1" s="145"/>
      <c r="B1" s="146"/>
      <c r="C1" s="147"/>
      <c r="D1" s="148"/>
    </row>
    <row r="2" spans="1:4" ht="15" customHeight="1" x14ac:dyDescent="0.25">
      <c r="A2" s="347" t="s">
        <v>127</v>
      </c>
      <c r="B2" s="347"/>
      <c r="C2" s="149"/>
      <c r="D2" s="148"/>
    </row>
    <row r="3" spans="1:4" ht="15.6" customHeight="1" x14ac:dyDescent="0.25">
      <c r="A3" s="145"/>
      <c r="B3" s="58"/>
      <c r="C3" s="145"/>
      <c r="D3" s="148"/>
    </row>
    <row r="4" spans="1:4" ht="21.75" customHeight="1" x14ac:dyDescent="0.25">
      <c r="A4" s="43" t="s">
        <v>36</v>
      </c>
      <c r="B4" s="14" t="s">
        <v>89</v>
      </c>
      <c r="C4" s="43" t="s">
        <v>85</v>
      </c>
      <c r="D4" s="43" t="s">
        <v>128</v>
      </c>
    </row>
    <row r="5" spans="1:4" ht="16.05" customHeight="1" x14ac:dyDescent="0.25">
      <c r="A5" s="346" t="s">
        <v>167</v>
      </c>
      <c r="B5" s="115"/>
      <c r="C5" s="35" t="s">
        <v>178</v>
      </c>
      <c r="D5" s="142"/>
    </row>
    <row r="6" spans="1:4" ht="16.05" customHeight="1" x14ac:dyDescent="0.25">
      <c r="A6" s="346"/>
      <c r="B6" s="47" t="s">
        <v>168</v>
      </c>
      <c r="C6" s="14" t="s">
        <v>145</v>
      </c>
      <c r="D6" s="349" t="s">
        <v>282</v>
      </c>
    </row>
    <row r="7" spans="1:4" ht="16.05" customHeight="1" x14ac:dyDescent="0.25">
      <c r="A7" s="346"/>
      <c r="B7" s="14" t="s">
        <v>145</v>
      </c>
      <c r="C7" s="15" t="s">
        <v>154</v>
      </c>
      <c r="D7" s="350"/>
    </row>
    <row r="8" spans="1:4" ht="16.05" customHeight="1" x14ac:dyDescent="0.25">
      <c r="A8" s="346"/>
      <c r="B8" s="56" t="s">
        <v>177</v>
      </c>
      <c r="C8" s="16" t="s">
        <v>172</v>
      </c>
      <c r="D8" s="350"/>
    </row>
    <row r="9" spans="1:4" ht="16.05" customHeight="1" x14ac:dyDescent="0.25">
      <c r="A9" s="346"/>
      <c r="B9" s="56" t="s">
        <v>146</v>
      </c>
      <c r="C9" s="16"/>
      <c r="D9" s="351"/>
    </row>
    <row r="10" spans="1:4" ht="15" customHeight="1" x14ac:dyDescent="0.25">
      <c r="A10" s="150"/>
      <c r="B10" s="47"/>
      <c r="C10" s="15"/>
      <c r="D10" s="43"/>
    </row>
    <row r="11" spans="1:4" ht="21.75" customHeight="1" x14ac:dyDescent="0.25">
      <c r="A11" s="43" t="s">
        <v>36</v>
      </c>
      <c r="B11" s="14" t="s">
        <v>89</v>
      </c>
      <c r="C11" s="116" t="s">
        <v>85</v>
      </c>
      <c r="D11" s="43" t="s">
        <v>128</v>
      </c>
    </row>
    <row r="12" spans="1:4" ht="16.95" customHeight="1" x14ac:dyDescent="0.25">
      <c r="A12" s="348" t="s">
        <v>185</v>
      </c>
      <c r="B12" s="26"/>
      <c r="C12" s="25" t="s">
        <v>184</v>
      </c>
      <c r="D12" s="43"/>
    </row>
    <row r="13" spans="1:4" ht="16.350000000000001" customHeight="1" x14ac:dyDescent="0.25">
      <c r="A13" s="348"/>
      <c r="B13" s="27" t="s">
        <v>179</v>
      </c>
      <c r="C13" s="22" t="s">
        <v>133</v>
      </c>
      <c r="D13" s="349" t="s">
        <v>282</v>
      </c>
    </row>
    <row r="14" spans="1:4" ht="15" customHeight="1" x14ac:dyDescent="0.25">
      <c r="A14" s="348"/>
      <c r="B14" s="21" t="s">
        <v>180</v>
      </c>
      <c r="C14" s="22" t="s">
        <v>154</v>
      </c>
      <c r="D14" s="350"/>
    </row>
    <row r="15" spans="1:4" ht="15" customHeight="1" x14ac:dyDescent="0.25">
      <c r="A15" s="348"/>
      <c r="B15" s="23" t="s">
        <v>133</v>
      </c>
      <c r="C15" s="24"/>
      <c r="D15" s="350"/>
    </row>
    <row r="16" spans="1:4" ht="15" customHeight="1" x14ac:dyDescent="0.25">
      <c r="A16" s="348"/>
      <c r="B16" s="23" t="s">
        <v>181</v>
      </c>
      <c r="C16" s="24"/>
      <c r="D16" s="351"/>
    </row>
    <row r="17" spans="1:4" ht="15" customHeight="1" x14ac:dyDescent="0.25">
      <c r="A17" s="150"/>
      <c r="B17" s="56"/>
      <c r="C17" s="16"/>
      <c r="D17" s="151"/>
    </row>
    <row r="18" spans="1:4" ht="21.75" customHeight="1" x14ac:dyDescent="0.25">
      <c r="A18" s="43" t="s">
        <v>36</v>
      </c>
      <c r="B18" s="14" t="s">
        <v>89</v>
      </c>
      <c r="C18" s="116" t="s">
        <v>85</v>
      </c>
      <c r="D18" s="43" t="s">
        <v>128</v>
      </c>
    </row>
    <row r="19" spans="1:4" ht="16.5" customHeight="1" x14ac:dyDescent="0.25">
      <c r="A19" s="346" t="s">
        <v>186</v>
      </c>
      <c r="B19" s="115"/>
      <c r="C19" s="35" t="s">
        <v>189</v>
      </c>
      <c r="D19" s="142"/>
    </row>
    <row r="20" spans="1:4" ht="16.350000000000001" customHeight="1" x14ac:dyDescent="0.25">
      <c r="A20" s="346"/>
      <c r="B20" s="47" t="s">
        <v>187</v>
      </c>
      <c r="C20" s="15" t="s">
        <v>133</v>
      </c>
      <c r="D20" s="349" t="s">
        <v>282</v>
      </c>
    </row>
    <row r="21" spans="1:4" x14ac:dyDescent="0.25">
      <c r="A21" s="346"/>
      <c r="B21" s="14" t="s">
        <v>188</v>
      </c>
      <c r="C21" s="15" t="s">
        <v>154</v>
      </c>
      <c r="D21" s="350"/>
    </row>
    <row r="22" spans="1:4" x14ac:dyDescent="0.25">
      <c r="A22" s="346"/>
      <c r="B22" s="56" t="s">
        <v>133</v>
      </c>
      <c r="C22" s="16"/>
      <c r="D22" s="350"/>
    </row>
    <row r="23" spans="1:4" x14ac:dyDescent="0.25">
      <c r="A23" s="346"/>
      <c r="B23" s="56" t="s">
        <v>181</v>
      </c>
      <c r="C23" s="16"/>
      <c r="D23" s="351"/>
    </row>
    <row r="24" spans="1:4" ht="15" customHeight="1" x14ac:dyDescent="0.25">
      <c r="A24" s="150"/>
      <c r="B24" s="56"/>
      <c r="C24" s="16"/>
      <c r="D24" s="151"/>
    </row>
    <row r="25" spans="1:4" ht="21.75" customHeight="1" x14ac:dyDescent="0.25">
      <c r="A25" s="43" t="s">
        <v>36</v>
      </c>
      <c r="B25" s="14" t="s">
        <v>89</v>
      </c>
      <c r="C25" s="43" t="s">
        <v>85</v>
      </c>
      <c r="D25" s="43" t="s">
        <v>128</v>
      </c>
    </row>
    <row r="26" spans="1:4" ht="16.05" customHeight="1" x14ac:dyDescent="0.25">
      <c r="A26" s="346" t="s">
        <v>191</v>
      </c>
      <c r="B26" s="115"/>
      <c r="C26" s="35" t="s">
        <v>196</v>
      </c>
      <c r="D26" s="142"/>
    </row>
    <row r="27" spans="1:4" ht="16.05" customHeight="1" x14ac:dyDescent="0.25">
      <c r="A27" s="346"/>
      <c r="B27" s="47" t="s">
        <v>197</v>
      </c>
      <c r="C27" s="14" t="s">
        <v>133</v>
      </c>
      <c r="D27" s="349" t="s">
        <v>282</v>
      </c>
    </row>
    <row r="28" spans="1:4" ht="16.05" customHeight="1" x14ac:dyDescent="0.25">
      <c r="A28" s="346"/>
      <c r="B28" s="14" t="s">
        <v>133</v>
      </c>
      <c r="C28" s="15" t="s">
        <v>154</v>
      </c>
      <c r="D28" s="350"/>
    </row>
    <row r="29" spans="1:4" ht="16.05" customHeight="1" x14ac:dyDescent="0.25">
      <c r="A29" s="346"/>
      <c r="B29" s="56" t="s">
        <v>205</v>
      </c>
      <c r="C29" s="16" t="s">
        <v>206</v>
      </c>
      <c r="D29" s="350"/>
    </row>
    <row r="30" spans="1:4" ht="16.05" customHeight="1" x14ac:dyDescent="0.25">
      <c r="A30" s="346"/>
      <c r="B30" s="56" t="s">
        <v>210</v>
      </c>
      <c r="C30" s="16"/>
      <c r="D30" s="351"/>
    </row>
    <row r="31" spans="1:4" ht="15" customHeight="1" x14ac:dyDescent="0.25">
      <c r="A31" s="150"/>
      <c r="B31" s="47"/>
      <c r="C31" s="15"/>
      <c r="D31" s="43"/>
    </row>
    <row r="32" spans="1:4" ht="21.75" customHeight="1" x14ac:dyDescent="0.25">
      <c r="A32" s="43" t="s">
        <v>36</v>
      </c>
      <c r="B32" s="14" t="s">
        <v>89</v>
      </c>
      <c r="C32" s="116" t="s">
        <v>85</v>
      </c>
      <c r="D32" s="43" t="s">
        <v>128</v>
      </c>
    </row>
    <row r="33" spans="1:4" ht="16.95" customHeight="1" x14ac:dyDescent="0.25">
      <c r="A33" s="346" t="s">
        <v>191</v>
      </c>
      <c r="B33" s="115"/>
      <c r="C33" s="35" t="s">
        <v>196</v>
      </c>
      <c r="D33" s="43"/>
    </row>
    <row r="34" spans="1:4" ht="16.350000000000001" customHeight="1" x14ac:dyDescent="0.25">
      <c r="A34" s="346"/>
      <c r="B34" s="47" t="s">
        <v>199</v>
      </c>
      <c r="C34" s="14" t="s">
        <v>133</v>
      </c>
      <c r="D34" s="349" t="s">
        <v>282</v>
      </c>
    </row>
    <row r="35" spans="1:4" ht="15" customHeight="1" x14ac:dyDescent="0.25">
      <c r="A35" s="346"/>
      <c r="B35" s="14" t="s">
        <v>133</v>
      </c>
      <c r="C35" s="15" t="s">
        <v>208</v>
      </c>
      <c r="D35" s="350"/>
    </row>
    <row r="36" spans="1:4" ht="15" customHeight="1" x14ac:dyDescent="0.25">
      <c r="A36" s="346"/>
      <c r="B36" s="56" t="s">
        <v>209</v>
      </c>
      <c r="C36" s="16" t="s">
        <v>207</v>
      </c>
      <c r="D36" s="350"/>
    </row>
    <row r="37" spans="1:4" ht="15" customHeight="1" x14ac:dyDescent="0.25">
      <c r="A37" s="346"/>
      <c r="B37" s="56" t="s">
        <v>210</v>
      </c>
      <c r="C37" s="16"/>
      <c r="D37" s="351"/>
    </row>
    <row r="38" spans="1:4" ht="15" customHeight="1" x14ac:dyDescent="0.25">
      <c r="A38" s="150"/>
      <c r="B38" s="56"/>
      <c r="C38" s="16"/>
      <c r="D38" s="151"/>
    </row>
    <row r="39" spans="1:4" ht="21.75" customHeight="1" x14ac:dyDescent="0.25">
      <c r="A39" s="43" t="s">
        <v>36</v>
      </c>
      <c r="B39" s="14" t="s">
        <v>89</v>
      </c>
      <c r="C39" s="116" t="s">
        <v>85</v>
      </c>
      <c r="D39" s="43" t="s">
        <v>128</v>
      </c>
    </row>
    <row r="40" spans="1:4" ht="16.5" customHeight="1" x14ac:dyDescent="0.25">
      <c r="A40" s="346" t="s">
        <v>191</v>
      </c>
      <c r="B40" s="115"/>
      <c r="C40" s="35" t="s">
        <v>200</v>
      </c>
      <c r="D40" s="142"/>
    </row>
    <row r="41" spans="1:4" ht="16.350000000000001" customHeight="1" x14ac:dyDescent="0.25">
      <c r="A41" s="346"/>
      <c r="B41" s="117" t="s">
        <v>201</v>
      </c>
      <c r="C41" s="58" t="s">
        <v>211</v>
      </c>
      <c r="D41" s="349" t="s">
        <v>282</v>
      </c>
    </row>
    <row r="42" spans="1:4" ht="15" customHeight="1" x14ac:dyDescent="0.25">
      <c r="A42" s="346"/>
      <c r="B42" s="37" t="s">
        <v>163</v>
      </c>
      <c r="C42" s="58" t="s">
        <v>212</v>
      </c>
      <c r="D42" s="350"/>
    </row>
    <row r="43" spans="1:4" ht="15" customHeight="1" x14ac:dyDescent="0.25">
      <c r="A43" s="346"/>
      <c r="B43" s="56"/>
      <c r="C43" s="153"/>
      <c r="D43" s="350"/>
    </row>
    <row r="44" spans="1:4" ht="15" customHeight="1" x14ac:dyDescent="0.25">
      <c r="A44" s="346"/>
      <c r="B44" s="115"/>
      <c r="C44" s="59"/>
      <c r="D44" s="351"/>
    </row>
    <row r="45" spans="1:4" ht="15" customHeight="1" x14ac:dyDescent="0.25">
      <c r="A45" s="150"/>
      <c r="B45" s="56"/>
      <c r="C45" s="16"/>
      <c r="D45" s="151"/>
    </row>
    <row r="46" spans="1:4" ht="21.75" customHeight="1" x14ac:dyDescent="0.25">
      <c r="A46" s="43" t="s">
        <v>36</v>
      </c>
      <c r="B46" s="14" t="s">
        <v>89</v>
      </c>
      <c r="C46" s="116" t="s">
        <v>85</v>
      </c>
      <c r="D46" s="43" t="s">
        <v>128</v>
      </c>
    </row>
    <row r="47" spans="1:4" ht="16.5" customHeight="1" x14ac:dyDescent="0.25">
      <c r="A47" s="346" t="s">
        <v>191</v>
      </c>
      <c r="B47" s="115"/>
      <c r="C47" s="35" t="s">
        <v>194</v>
      </c>
      <c r="D47" s="142"/>
    </row>
    <row r="48" spans="1:4" ht="16.350000000000001" customHeight="1" x14ac:dyDescent="0.25">
      <c r="A48" s="346"/>
      <c r="B48" s="47" t="s">
        <v>192</v>
      </c>
      <c r="C48" s="47" t="s">
        <v>192</v>
      </c>
      <c r="D48" s="349" t="s">
        <v>282</v>
      </c>
    </row>
    <row r="49" spans="1:4" ht="15" customHeight="1" x14ac:dyDescent="0.25">
      <c r="A49" s="346"/>
      <c r="B49" s="14" t="s">
        <v>193</v>
      </c>
      <c r="C49" s="14" t="s">
        <v>193</v>
      </c>
      <c r="D49" s="350"/>
    </row>
    <row r="50" spans="1:4" ht="15" customHeight="1" x14ac:dyDescent="0.25">
      <c r="A50" s="346"/>
      <c r="B50" s="47"/>
      <c r="C50" s="153"/>
      <c r="D50" s="350"/>
    </row>
    <row r="51" spans="1:4" ht="15" customHeight="1" x14ac:dyDescent="0.25">
      <c r="A51" s="346"/>
      <c r="B51" s="47"/>
      <c r="C51" s="14"/>
      <c r="D51" s="351"/>
    </row>
    <row r="52" spans="1:4" ht="15" customHeight="1" x14ac:dyDescent="0.25">
      <c r="A52" s="150"/>
      <c r="B52" s="56"/>
      <c r="C52" s="16"/>
      <c r="D52" s="151"/>
    </row>
    <row r="53" spans="1:4" ht="21.75" customHeight="1" x14ac:dyDescent="0.25">
      <c r="A53" s="43" t="s">
        <v>36</v>
      </c>
      <c r="B53" s="14" t="s">
        <v>89</v>
      </c>
      <c r="C53" s="116" t="s">
        <v>85</v>
      </c>
      <c r="D53" s="43" t="s">
        <v>128</v>
      </c>
    </row>
    <row r="54" spans="1:4" ht="16.5" customHeight="1" x14ac:dyDescent="0.25">
      <c r="A54" s="346" t="s">
        <v>191</v>
      </c>
      <c r="B54" s="115"/>
      <c r="C54" s="35" t="s">
        <v>215</v>
      </c>
      <c r="D54" s="142"/>
    </row>
    <row r="55" spans="1:4" ht="16.350000000000001" customHeight="1" x14ac:dyDescent="0.25">
      <c r="A55" s="346"/>
      <c r="B55" s="120" t="s">
        <v>202</v>
      </c>
      <c r="C55" s="121" t="s">
        <v>203</v>
      </c>
      <c r="D55" s="349" t="s">
        <v>282</v>
      </c>
    </row>
    <row r="56" spans="1:4" ht="15" customHeight="1" x14ac:dyDescent="0.25">
      <c r="A56" s="346"/>
      <c r="B56" s="120" t="s">
        <v>204</v>
      </c>
      <c r="C56" s="121" t="s">
        <v>213</v>
      </c>
      <c r="D56" s="350"/>
    </row>
    <row r="57" spans="1:4" ht="15" customHeight="1" x14ac:dyDescent="0.25">
      <c r="A57" s="346"/>
      <c r="B57" s="56"/>
      <c r="C57" s="121"/>
      <c r="D57" s="350"/>
    </row>
    <row r="58" spans="1:4" ht="15" customHeight="1" x14ac:dyDescent="0.25">
      <c r="A58" s="346"/>
      <c r="B58" s="56"/>
      <c r="C58" s="15"/>
      <c r="D58" s="351"/>
    </row>
    <row r="59" spans="1:4" ht="21.75" customHeight="1" x14ac:dyDescent="0.25">
      <c r="A59" s="43" t="s">
        <v>36</v>
      </c>
      <c r="B59" s="14" t="s">
        <v>89</v>
      </c>
      <c r="C59" s="116" t="s">
        <v>85</v>
      </c>
      <c r="D59" s="43" t="s">
        <v>128</v>
      </c>
    </row>
    <row r="60" spans="1:4" ht="15" customHeight="1" x14ac:dyDescent="0.25">
      <c r="A60" s="315" t="s">
        <v>283</v>
      </c>
      <c r="B60" s="180"/>
      <c r="C60" s="35" t="s">
        <v>217</v>
      </c>
      <c r="D60" s="352" t="s">
        <v>281</v>
      </c>
    </row>
    <row r="61" spans="1:4" ht="15" customHeight="1" x14ac:dyDescent="0.25">
      <c r="A61" s="315"/>
      <c r="B61" s="36" t="s">
        <v>218</v>
      </c>
      <c r="C61" s="171" t="s">
        <v>219</v>
      </c>
      <c r="D61" s="353"/>
    </row>
    <row r="62" spans="1:4" ht="15" customHeight="1" x14ac:dyDescent="0.25">
      <c r="A62" s="315"/>
      <c r="B62" s="58" t="s">
        <v>262</v>
      </c>
      <c r="C62" s="171" t="s">
        <v>220</v>
      </c>
      <c r="D62" s="353"/>
    </row>
    <row r="63" spans="1:4" ht="15" customHeight="1" x14ac:dyDescent="0.25">
      <c r="A63" s="315"/>
      <c r="B63" s="189" t="s">
        <v>263</v>
      </c>
      <c r="C63" s="171"/>
      <c r="D63" s="353"/>
    </row>
    <row r="64" spans="1:4" ht="15" customHeight="1" x14ac:dyDescent="0.25">
      <c r="A64" s="315"/>
      <c r="B64" s="189"/>
      <c r="C64" s="171"/>
      <c r="D64" s="353"/>
    </row>
    <row r="65" spans="1:4" ht="15" customHeight="1" x14ac:dyDescent="0.25">
      <c r="A65" s="315"/>
      <c r="B65" s="190" t="s">
        <v>221</v>
      </c>
      <c r="C65" s="171" t="s">
        <v>222</v>
      </c>
      <c r="D65" s="353"/>
    </row>
    <row r="66" spans="1:4" ht="15" customHeight="1" x14ac:dyDescent="0.25">
      <c r="A66" s="315"/>
      <c r="B66" s="37" t="s">
        <v>260</v>
      </c>
      <c r="C66" s="171"/>
      <c r="D66" s="353"/>
    </row>
    <row r="67" spans="1:4" ht="15" customHeight="1" x14ac:dyDescent="0.25">
      <c r="A67" s="315"/>
      <c r="B67" s="36">
        <v>3450</v>
      </c>
      <c r="C67" s="171" t="s">
        <v>223</v>
      </c>
      <c r="D67" s="353"/>
    </row>
    <row r="68" spans="1:4" ht="15" customHeight="1" x14ac:dyDescent="0.25">
      <c r="A68" s="315"/>
      <c r="B68" s="37" t="s">
        <v>261</v>
      </c>
      <c r="C68" s="171"/>
      <c r="D68" s="353"/>
    </row>
    <row r="69" spans="1:4" ht="15" customHeight="1" x14ac:dyDescent="0.25">
      <c r="A69" s="315"/>
      <c r="B69" s="36" t="s">
        <v>225</v>
      </c>
      <c r="C69" s="171" t="s">
        <v>226</v>
      </c>
      <c r="D69" s="353"/>
    </row>
    <row r="70" spans="1:4" ht="15" customHeight="1" x14ac:dyDescent="0.25">
      <c r="A70" s="315"/>
      <c r="B70" s="37" t="s">
        <v>260</v>
      </c>
      <c r="C70" s="171"/>
      <c r="D70" s="353"/>
    </row>
    <row r="71" spans="1:4" ht="15" customHeight="1" x14ac:dyDescent="0.25">
      <c r="A71" s="315"/>
      <c r="B71" s="36" t="s">
        <v>227</v>
      </c>
      <c r="C71" s="171" t="s">
        <v>228</v>
      </c>
      <c r="D71" s="353"/>
    </row>
    <row r="72" spans="1:4" ht="15" customHeight="1" x14ac:dyDescent="0.25">
      <c r="A72" s="315"/>
      <c r="B72" s="37" t="s">
        <v>261</v>
      </c>
      <c r="C72" s="171"/>
      <c r="D72" s="353"/>
    </row>
    <row r="73" spans="1:4" ht="15" customHeight="1" x14ac:dyDescent="0.25">
      <c r="A73" s="315"/>
      <c r="B73" s="36" t="s">
        <v>229</v>
      </c>
      <c r="C73" s="171" t="s">
        <v>275</v>
      </c>
      <c r="D73" s="353"/>
    </row>
    <row r="74" spans="1:4" ht="15" customHeight="1" x14ac:dyDescent="0.25">
      <c r="A74" s="315"/>
      <c r="B74" s="37" t="s">
        <v>258</v>
      </c>
      <c r="C74" s="171"/>
      <c r="D74" s="353"/>
    </row>
    <row r="75" spans="1:4" ht="15" customHeight="1" x14ac:dyDescent="0.25">
      <c r="A75" s="315"/>
      <c r="B75" s="37"/>
      <c r="C75" s="171"/>
      <c r="D75" s="353"/>
    </row>
    <row r="76" spans="1:4" ht="15" customHeight="1" x14ac:dyDescent="0.25">
      <c r="A76" s="315"/>
      <c r="B76" s="178"/>
      <c r="C76" s="35" t="s">
        <v>230</v>
      </c>
      <c r="D76" s="353"/>
    </row>
    <row r="77" spans="1:4" ht="15" customHeight="1" x14ac:dyDescent="0.25">
      <c r="A77" s="315"/>
      <c r="B77" s="171" t="s">
        <v>231</v>
      </c>
      <c r="C77" s="171" t="s">
        <v>232</v>
      </c>
      <c r="D77" s="353"/>
    </row>
    <row r="78" spans="1:4" ht="15" customHeight="1" x14ac:dyDescent="0.25">
      <c r="A78" s="315"/>
      <c r="B78" s="37" t="s">
        <v>258</v>
      </c>
      <c r="C78" s="171" t="s">
        <v>264</v>
      </c>
      <c r="D78" s="353"/>
    </row>
    <row r="79" spans="1:4" ht="15" customHeight="1" x14ac:dyDescent="0.25">
      <c r="A79" s="315"/>
      <c r="B79" s="37"/>
      <c r="C79" s="171"/>
      <c r="D79" s="353"/>
    </row>
    <row r="80" spans="1:4" ht="15" customHeight="1" x14ac:dyDescent="0.25">
      <c r="A80" s="315"/>
      <c r="B80" s="171" t="s">
        <v>233</v>
      </c>
      <c r="C80" s="171" t="s">
        <v>265</v>
      </c>
      <c r="D80" s="353"/>
    </row>
    <row r="81" spans="1:4" ht="15" customHeight="1" x14ac:dyDescent="0.25">
      <c r="A81" s="315"/>
      <c r="B81" s="37" t="s">
        <v>258</v>
      </c>
      <c r="C81" s="171" t="s">
        <v>234</v>
      </c>
      <c r="D81" s="353"/>
    </row>
    <row r="82" spans="1:4" ht="15" customHeight="1" x14ac:dyDescent="0.25">
      <c r="A82" s="315"/>
      <c r="B82" s="171"/>
      <c r="C82" s="171"/>
      <c r="D82" s="353"/>
    </row>
    <row r="83" spans="1:4" ht="15" customHeight="1" x14ac:dyDescent="0.25">
      <c r="A83" s="315"/>
      <c r="B83" s="178"/>
      <c r="C83" s="35" t="s">
        <v>235</v>
      </c>
      <c r="D83" s="353"/>
    </row>
    <row r="84" spans="1:4" ht="15" customHeight="1" x14ac:dyDescent="0.25">
      <c r="A84" s="315"/>
      <c r="B84" s="171">
        <v>7989</v>
      </c>
      <c r="C84" s="171" t="s">
        <v>236</v>
      </c>
      <c r="D84" s="353"/>
    </row>
    <row r="85" spans="1:4" ht="15" customHeight="1" x14ac:dyDescent="0.25">
      <c r="A85" s="315"/>
      <c r="B85" s="14" t="s">
        <v>133</v>
      </c>
      <c r="C85" s="15" t="s">
        <v>276</v>
      </c>
      <c r="D85" s="353"/>
    </row>
    <row r="86" spans="1:4" ht="15" customHeight="1" x14ac:dyDescent="0.25">
      <c r="A86" s="315"/>
      <c r="B86" s="56" t="s">
        <v>205</v>
      </c>
      <c r="C86" s="16" t="s">
        <v>277</v>
      </c>
      <c r="D86" s="353"/>
    </row>
    <row r="87" spans="1:4" ht="15" customHeight="1" x14ac:dyDescent="0.25">
      <c r="A87" s="315"/>
      <c r="B87" s="56" t="s">
        <v>210</v>
      </c>
      <c r="C87" s="171"/>
      <c r="D87" s="353"/>
    </row>
    <row r="88" spans="1:4" ht="15" customHeight="1" x14ac:dyDescent="0.25">
      <c r="A88" s="315"/>
      <c r="B88" s="56"/>
      <c r="C88" s="171"/>
      <c r="D88" s="353"/>
    </row>
    <row r="89" spans="1:4" ht="15" customHeight="1" x14ac:dyDescent="0.25">
      <c r="A89" s="315"/>
      <c r="B89" s="178"/>
      <c r="C89" s="35" t="s">
        <v>237</v>
      </c>
      <c r="D89" s="353"/>
    </row>
    <row r="90" spans="1:4" ht="15" customHeight="1" x14ac:dyDescent="0.25">
      <c r="A90" s="315"/>
      <c r="B90" s="171">
        <v>1000</v>
      </c>
      <c r="C90" s="171" t="s">
        <v>234</v>
      </c>
      <c r="D90" s="353"/>
    </row>
    <row r="91" spans="1:4" ht="15" customHeight="1" x14ac:dyDescent="0.25">
      <c r="A91" s="315"/>
      <c r="B91" s="37" t="s">
        <v>259</v>
      </c>
      <c r="C91" s="171" t="s">
        <v>238</v>
      </c>
      <c r="D91" s="353"/>
    </row>
    <row r="92" spans="1:4" ht="15" customHeight="1" x14ac:dyDescent="0.25">
      <c r="A92" s="315"/>
      <c r="B92" s="100" t="s">
        <v>146</v>
      </c>
      <c r="C92" s="171"/>
      <c r="D92" s="353"/>
    </row>
    <row r="93" spans="1:4" ht="15" customHeight="1" x14ac:dyDescent="0.25">
      <c r="A93" s="315"/>
      <c r="B93" s="171" t="s">
        <v>239</v>
      </c>
      <c r="C93" s="171" t="s">
        <v>232</v>
      </c>
      <c r="D93" s="353"/>
    </row>
    <row r="94" spans="1:4" ht="15" customHeight="1" x14ac:dyDescent="0.25">
      <c r="A94" s="315"/>
      <c r="B94" s="171"/>
      <c r="C94" s="171"/>
      <c r="D94" s="353"/>
    </row>
    <row r="95" spans="1:4" ht="15" customHeight="1" x14ac:dyDescent="0.25">
      <c r="A95" s="315"/>
      <c r="B95" s="37" t="s">
        <v>258</v>
      </c>
      <c r="C95" s="171" t="s">
        <v>267</v>
      </c>
      <c r="D95" s="353"/>
    </row>
    <row r="96" spans="1:4" ht="15" customHeight="1" x14ac:dyDescent="0.25">
      <c r="A96" s="315"/>
      <c r="B96" s="171"/>
      <c r="C96" s="171" t="s">
        <v>268</v>
      </c>
      <c r="D96" s="353"/>
    </row>
    <row r="97" spans="1:4" ht="15" customHeight="1" x14ac:dyDescent="0.25">
      <c r="A97" s="315"/>
      <c r="B97" s="171"/>
      <c r="C97" s="171" t="s">
        <v>269</v>
      </c>
      <c r="D97" s="353"/>
    </row>
    <row r="98" spans="1:4" ht="15" customHeight="1" x14ac:dyDescent="0.25">
      <c r="A98" s="315"/>
      <c r="B98" s="171"/>
      <c r="C98" s="171"/>
      <c r="D98" s="353"/>
    </row>
    <row r="99" spans="1:4" ht="15" customHeight="1" x14ac:dyDescent="0.25">
      <c r="A99" s="315"/>
      <c r="B99" s="171" t="s">
        <v>240</v>
      </c>
      <c r="C99" s="171" t="s">
        <v>232</v>
      </c>
      <c r="D99" s="353"/>
    </row>
    <row r="100" spans="1:4" ht="15" customHeight="1" x14ac:dyDescent="0.25">
      <c r="A100" s="315"/>
      <c r="B100" s="37" t="s">
        <v>258</v>
      </c>
      <c r="C100" s="171" t="s">
        <v>270</v>
      </c>
      <c r="D100" s="353"/>
    </row>
    <row r="101" spans="1:4" ht="15" customHeight="1" x14ac:dyDescent="0.25">
      <c r="A101" s="315"/>
      <c r="B101" s="171"/>
      <c r="C101" s="171" t="s">
        <v>271</v>
      </c>
      <c r="D101" s="353"/>
    </row>
    <row r="102" spans="1:4" ht="15" customHeight="1" x14ac:dyDescent="0.25">
      <c r="A102" s="315"/>
      <c r="B102" s="171"/>
      <c r="C102" s="171" t="s">
        <v>272</v>
      </c>
      <c r="D102" s="353"/>
    </row>
    <row r="103" spans="1:4" ht="15" customHeight="1" x14ac:dyDescent="0.25">
      <c r="A103" s="315"/>
      <c r="B103" s="171"/>
      <c r="C103" s="171"/>
      <c r="D103" s="353"/>
    </row>
    <row r="104" spans="1:4" ht="15" customHeight="1" x14ac:dyDescent="0.25">
      <c r="A104" s="315"/>
      <c r="B104" s="171" t="s">
        <v>241</v>
      </c>
      <c r="C104" s="171" t="s">
        <v>242</v>
      </c>
      <c r="D104" s="353"/>
    </row>
    <row r="105" spans="1:4" ht="15" customHeight="1" x14ac:dyDescent="0.25">
      <c r="A105" s="315"/>
      <c r="B105" s="37" t="s">
        <v>273</v>
      </c>
      <c r="C105" s="171" t="s">
        <v>243</v>
      </c>
      <c r="D105" s="353"/>
    </row>
    <row r="106" spans="1:4" ht="15" customHeight="1" x14ac:dyDescent="0.25">
      <c r="A106" s="315"/>
      <c r="B106" s="171"/>
      <c r="C106" s="171" t="s">
        <v>244</v>
      </c>
      <c r="D106" s="353"/>
    </row>
    <row r="107" spans="1:4" ht="15" customHeight="1" x14ac:dyDescent="0.25">
      <c r="A107" s="315"/>
      <c r="B107" s="171"/>
      <c r="C107" s="171"/>
      <c r="D107" s="353"/>
    </row>
    <row r="108" spans="1:4" ht="15" customHeight="1" x14ac:dyDescent="0.25">
      <c r="A108" s="315"/>
      <c r="B108" s="178"/>
      <c r="C108" s="35" t="s">
        <v>245</v>
      </c>
      <c r="D108" s="353"/>
    </row>
    <row r="109" spans="1:4" ht="15" customHeight="1" x14ac:dyDescent="0.25">
      <c r="A109" s="315"/>
      <c r="B109" s="47" t="s">
        <v>246</v>
      </c>
      <c r="C109" s="171" t="s">
        <v>247</v>
      </c>
      <c r="D109" s="353"/>
    </row>
    <row r="110" spans="1:4" ht="15" customHeight="1" x14ac:dyDescent="0.25">
      <c r="A110" s="315"/>
      <c r="B110" s="37" t="s">
        <v>274</v>
      </c>
      <c r="C110" s="171"/>
      <c r="D110" s="353"/>
    </row>
    <row r="111" spans="1:4" ht="15" customHeight="1" x14ac:dyDescent="0.25">
      <c r="A111" s="315"/>
      <c r="B111" s="37"/>
      <c r="C111" s="171"/>
      <c r="D111" s="353"/>
    </row>
    <row r="112" spans="1:4" ht="15" customHeight="1" x14ac:dyDescent="0.25">
      <c r="A112" s="315"/>
      <c r="B112" s="178"/>
      <c r="C112" s="35" t="s">
        <v>248</v>
      </c>
      <c r="D112" s="353"/>
    </row>
    <row r="113" spans="1:4" ht="15" customHeight="1" x14ac:dyDescent="0.25">
      <c r="A113" s="315"/>
      <c r="B113" s="117" t="s">
        <v>249</v>
      </c>
      <c r="C113" s="171" t="s">
        <v>234</v>
      </c>
      <c r="D113" s="353"/>
    </row>
    <row r="114" spans="1:4" ht="15" customHeight="1" x14ac:dyDescent="0.25">
      <c r="A114" s="315"/>
      <c r="B114" s="37" t="s">
        <v>259</v>
      </c>
      <c r="C114" s="171"/>
      <c r="D114" s="353"/>
    </row>
    <row r="115" spans="1:4" ht="15" customHeight="1" x14ac:dyDescent="0.25">
      <c r="A115" s="315"/>
      <c r="B115" s="56" t="s">
        <v>146</v>
      </c>
      <c r="C115" s="171"/>
      <c r="D115" s="353"/>
    </row>
    <row r="116" spans="1:4" ht="15" customHeight="1" x14ac:dyDescent="0.25">
      <c r="A116" s="315"/>
      <c r="B116" s="191"/>
      <c r="C116" s="171"/>
      <c r="D116" s="353"/>
    </row>
    <row r="117" spans="1:4" ht="15" customHeight="1" x14ac:dyDescent="0.25">
      <c r="A117" s="315"/>
      <c r="B117" s="13" t="s">
        <v>278</v>
      </c>
      <c r="C117" s="36" t="s">
        <v>232</v>
      </c>
      <c r="D117" s="353"/>
    </row>
    <row r="118" spans="1:4" ht="15" customHeight="1" x14ac:dyDescent="0.25">
      <c r="A118" s="315"/>
      <c r="B118" s="47"/>
      <c r="C118" s="36" t="s">
        <v>279</v>
      </c>
      <c r="D118" s="353"/>
    </row>
    <row r="119" spans="1:4" ht="15" customHeight="1" x14ac:dyDescent="0.25">
      <c r="A119" s="315"/>
      <c r="B119" s="177"/>
      <c r="C119" s="36" t="s">
        <v>280</v>
      </c>
      <c r="D119" s="353"/>
    </row>
    <row r="120" spans="1:4" ht="15" customHeight="1" thickBot="1" x14ac:dyDescent="0.3">
      <c r="A120" s="316"/>
      <c r="B120" s="122"/>
      <c r="C120" s="16"/>
      <c r="D120" s="354"/>
    </row>
  </sheetData>
  <mergeCells count="19">
    <mergeCell ref="D27:D30"/>
    <mergeCell ref="D20:D23"/>
    <mergeCell ref="D13:D16"/>
    <mergeCell ref="D6:D9"/>
    <mergeCell ref="D60:D120"/>
    <mergeCell ref="D55:D58"/>
    <mergeCell ref="D48:D51"/>
    <mergeCell ref="D41:D44"/>
    <mergeCell ref="D34:D37"/>
    <mergeCell ref="A33:A37"/>
    <mergeCell ref="A40:A44"/>
    <mergeCell ref="A47:A51"/>
    <mergeCell ref="A54:A58"/>
    <mergeCell ref="A60:A120"/>
    <mergeCell ref="A19:A23"/>
    <mergeCell ref="A2:B2"/>
    <mergeCell ref="A5:A9"/>
    <mergeCell ref="A12:A16"/>
    <mergeCell ref="A26:A30"/>
  </mergeCells>
  <phoneticPr fontId="14"/>
  <pageMargins left="0.51181102362204722" right="0" top="0.74803149606299213" bottom="0.74803149606299213" header="0.31496062992125984" footer="0.31496062992125984"/>
  <pageSetup paperSize="310" fitToHeight="0" orientation="portrait" r:id="rId1"/>
  <headerFooter>
    <oddFooter>&amp;C&amp;"Century Gothic,太字"&amp;10&amp;  -   P A G E  3- &amp;P   -</oddFooter>
  </headerFooter>
  <ignoredErrors>
    <ignoredError sqref="A19:A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shipper master</vt:lpstr>
      <vt:lpstr>case mark </vt:lpstr>
      <vt:lpstr>invoice</vt:lpstr>
      <vt:lpstr>ATTACHED</vt:lpstr>
      <vt:lpstr>サンプル製品カタログ</vt:lpstr>
      <vt:lpstr>LABEL</vt:lpstr>
      <vt:lpstr>ATTACHED!Print_Area</vt:lpstr>
      <vt:lpstr>LABEL!Print_Area</vt:lpstr>
      <vt:lpstr>サンプル製品カタログ!Print_Area</vt:lpstr>
      <vt:lpstr>ATTACHED!Print_Titles</vt:lpstr>
      <vt:lpstr>LABEL!Print_Titles</vt:lpstr>
      <vt:lpstr>サンプル製品カタログ!Print_Titles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2024-11-22T00:33:10Z</cp:lastPrinted>
  <dcterms:created xsi:type="dcterms:W3CDTF">2002-07-31T13:14:08Z</dcterms:created>
  <dcterms:modified xsi:type="dcterms:W3CDTF">2026-06-04T08:23:22Z</dcterms:modified>
</cp:coreProperties>
</file>