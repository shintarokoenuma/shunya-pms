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50DE0E0E-3937-4C71-9308-79B2960B850D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ipper master" sheetId="17" r:id="rId1"/>
    <sheet name="case mark " sheetId="54" r:id="rId2"/>
    <sheet name="invoice" sheetId="21" r:id="rId3"/>
    <sheet name="NARITA " sheetId="60" r:id="rId4"/>
    <sheet name="NARITA (2)" sheetId="61" r:id="rId5"/>
    <sheet name="LABEL" sheetId="62" r:id="rId6"/>
  </sheets>
  <externalReferences>
    <externalReference r:id="rId7"/>
    <externalReference r:id="rId8"/>
    <externalReference r:id="rId9"/>
  </externalReferences>
  <definedNames>
    <definedName name="pricetable" localSheetId="1">#REF!</definedName>
    <definedName name="pricetable" localSheetId="5">#REF!</definedName>
    <definedName name="pricetable" localSheetId="3">#REF!</definedName>
    <definedName name="pricetable" localSheetId="4">#REF!</definedName>
    <definedName name="pricetable">#REF!</definedName>
    <definedName name="_xlnm.Print_Area" localSheetId="5">LABEL!$A$1:$D$96</definedName>
    <definedName name="_xlnm.Print_Area" localSheetId="3">'NARITA '!$A$2:$P$38</definedName>
    <definedName name="_xlnm.Print_Area" localSheetId="4">'NARITA (2)'!$A$1:$N$74</definedName>
    <definedName name="_xlnm.Print_Titles" localSheetId="5">LABEL!$1:$4</definedName>
    <definedName name="_xlnm.Print_Titles" localSheetId="3">'NARITA '!$1:$6</definedName>
    <definedName name="_xlnm.Print_Titles" localSheetId="4">'NARITA (2)'!$1:$6</definedName>
  </definedNames>
  <calcPr calcId="191029"/>
</workbook>
</file>

<file path=xl/calcChain.xml><?xml version="1.0" encoding="utf-8"?>
<calcChain xmlns="http://schemas.openxmlformats.org/spreadsheetml/2006/main">
  <c r="L33" i="21" l="1"/>
  <c r="E33" i="21"/>
  <c r="C33" i="21"/>
  <c r="J27" i="21"/>
  <c r="H74" i="61"/>
  <c r="H72" i="61"/>
  <c r="H71" i="61"/>
  <c r="E73" i="61"/>
  <c r="E72" i="61"/>
  <c r="E71" i="61"/>
  <c r="H68" i="61"/>
  <c r="H65" i="61"/>
  <c r="H62" i="61"/>
  <c r="H61" i="61"/>
  <c r="H60" i="61"/>
  <c r="H59" i="61"/>
  <c r="H56" i="61"/>
  <c r="H55" i="61"/>
  <c r="H54" i="61"/>
  <c r="H53" i="61"/>
  <c r="H51" i="61"/>
  <c r="H50" i="61"/>
  <c r="H49" i="61"/>
  <c r="H45" i="61"/>
  <c r="H43" i="61"/>
  <c r="H39" i="61"/>
  <c r="H38" i="61"/>
  <c r="H37" i="61"/>
  <c r="H34" i="61"/>
  <c r="H33" i="61"/>
  <c r="H32" i="61"/>
  <c r="H29" i="61"/>
  <c r="H27" i="61"/>
  <c r="H25" i="61"/>
  <c r="H23" i="61"/>
  <c r="H22" i="61"/>
  <c r="H19" i="61"/>
  <c r="H16" i="61"/>
  <c r="H15" i="60"/>
  <c r="H38" i="60" l="1"/>
  <c r="H36" i="60"/>
  <c r="H35" i="60"/>
  <c r="E37" i="60"/>
  <c r="E36" i="60"/>
  <c r="E35" i="60"/>
  <c r="H32" i="60"/>
  <c r="H73" i="61" l="1"/>
  <c r="H37" i="60" l="1"/>
  <c r="H27" i="60" l="1"/>
  <c r="H21" i="60"/>
  <c r="J28" i="21" l="1"/>
  <c r="H9" i="60" l="1"/>
  <c r="J29" i="21"/>
  <c r="L32" i="21" l="1"/>
  <c r="L28" i="21"/>
  <c r="L30" i="21"/>
  <c r="K30" i="21"/>
  <c r="K29" i="21"/>
  <c r="K28" i="21"/>
  <c r="K27" i="21"/>
  <c r="J32" i="21"/>
  <c r="J30" i="21"/>
  <c r="G6" i="61"/>
  <c r="J31" i="21"/>
  <c r="G6" i="60"/>
  <c r="D6" i="60"/>
  <c r="D6" i="61" s="1"/>
  <c r="L31" i="21" l="1"/>
  <c r="L29" i="21"/>
  <c r="L27" i="21"/>
  <c r="J33" i="21"/>
  <c r="C45" i="17" l="1"/>
  <c r="K9" i="21"/>
  <c r="K10" i="21"/>
  <c r="K11" i="21"/>
  <c r="I3" i="54"/>
  <c r="I18" i="54" l="1"/>
  <c r="A18" i="54"/>
  <c r="I16" i="54"/>
  <c r="A16" i="54"/>
  <c r="I15" i="54"/>
  <c r="A15" i="54"/>
  <c r="I14" i="54"/>
  <c r="A14" i="54"/>
  <c r="I7" i="54"/>
  <c r="A7" i="54"/>
  <c r="I5" i="54"/>
  <c r="A5" i="54"/>
  <c r="I4" i="54"/>
  <c r="A4" i="54"/>
  <c r="A3" i="54"/>
  <c r="H33" i="21" l="1"/>
  <c r="A10" i="21" l="1"/>
  <c r="B28" i="21"/>
  <c r="E7" i="21"/>
  <c r="A37" i="21"/>
  <c r="A36" i="21"/>
  <c r="A8" i="21"/>
  <c r="A2" i="21"/>
  <c r="A3" i="21"/>
  <c r="A4" i="21"/>
  <c r="K4" i="21"/>
  <c r="A5" i="21"/>
  <c r="K5" i="21"/>
  <c r="A7" i="21"/>
  <c r="A9" i="21"/>
  <c r="E9" i="21"/>
  <c r="A11" i="21"/>
  <c r="A13" i="21"/>
  <c r="E13" i="21"/>
  <c r="A14" i="21"/>
  <c r="A15" i="21"/>
  <c r="E15" i="21"/>
  <c r="A16" i="21"/>
  <c r="A17" i="21"/>
  <c r="A19" i="21"/>
  <c r="A21" i="21"/>
  <c r="C21" i="21"/>
  <c r="F21" i="21"/>
  <c r="B24" i="21"/>
  <c r="K24" i="21"/>
  <c r="B26" i="21"/>
  <c r="C38" i="21"/>
  <c r="A39" i="21"/>
  <c r="A2" i="17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C27" i="17"/>
  <c r="C49" i="17" s="1"/>
  <c r="K8" i="21" l="1"/>
  <c r="I13" i="54"/>
  <c r="A13" i="54"/>
  <c r="I2" i="54"/>
  <c r="A2" i="54"/>
  <c r="E11" i="21"/>
</calcChain>
</file>

<file path=xl/sharedStrings.xml><?xml version="1.0" encoding="utf-8"?>
<sst xmlns="http://schemas.openxmlformats.org/spreadsheetml/2006/main" count="475" uniqueCount="269">
  <si>
    <t>SHIPPER NAME</t>
    <phoneticPr fontId="6" type="noConversion"/>
  </si>
  <si>
    <t xml:space="preserve"> </t>
    <phoneticPr fontId="10"/>
  </si>
  <si>
    <t>S/CODE</t>
    <phoneticPr fontId="6" type="noConversion"/>
  </si>
  <si>
    <t>SHIPPER ADDRESS 2</t>
    <phoneticPr fontId="11"/>
  </si>
  <si>
    <t>SHIPPER ADDRESS 1</t>
    <phoneticPr fontId="11"/>
  </si>
  <si>
    <t>SHIPPER ADDRESS 3</t>
    <phoneticPr fontId="11"/>
  </si>
  <si>
    <t xml:space="preserve">SHIPPER </t>
    <phoneticPr fontId="11"/>
  </si>
  <si>
    <t>TEL</t>
    <phoneticPr fontId="11"/>
  </si>
  <si>
    <t>FAX</t>
    <phoneticPr fontId="11"/>
  </si>
  <si>
    <t>CONSIGNEE</t>
    <phoneticPr fontId="10"/>
  </si>
  <si>
    <t>INVOICE NO.</t>
    <phoneticPr fontId="10"/>
  </si>
  <si>
    <t>INVOICE DATE</t>
    <phoneticPr fontId="10"/>
  </si>
  <si>
    <t>CONTRACT NO.</t>
    <phoneticPr fontId="10"/>
  </si>
  <si>
    <t>L/C NO.</t>
    <phoneticPr fontId="10"/>
  </si>
  <si>
    <t>PAYMENT METHOD</t>
    <phoneticPr fontId="10"/>
  </si>
  <si>
    <t>SHIPPED PER</t>
    <phoneticPr fontId="10"/>
  </si>
  <si>
    <t>FROM</t>
    <phoneticPr fontId="10"/>
  </si>
  <si>
    <t>TO</t>
    <phoneticPr fontId="10"/>
  </si>
  <si>
    <t>VIA</t>
    <phoneticPr fontId="10"/>
  </si>
  <si>
    <t>CASE MARK</t>
    <phoneticPr fontId="10"/>
  </si>
  <si>
    <t>Q'TY</t>
    <phoneticPr fontId="10"/>
  </si>
  <si>
    <t>AMOUNT</t>
    <phoneticPr fontId="10"/>
  </si>
  <si>
    <t>U/PRICE</t>
    <phoneticPr fontId="10"/>
  </si>
  <si>
    <t>C/NO.</t>
    <phoneticPr fontId="10"/>
  </si>
  <si>
    <t>SIZE</t>
    <phoneticPr fontId="11"/>
  </si>
  <si>
    <t>ART NO.</t>
    <phoneticPr fontId="11"/>
  </si>
  <si>
    <t xml:space="preserve">  DESCRIPTION  OF  GOODS</t>
    <phoneticPr fontId="10"/>
  </si>
  <si>
    <t>TOTAL :</t>
    <phoneticPr fontId="11"/>
  </si>
  <si>
    <t>COLOR</t>
    <phoneticPr fontId="11"/>
  </si>
  <si>
    <t>INVOICE</t>
    <phoneticPr fontId="11"/>
  </si>
  <si>
    <t>ATTN OR VAT NO.</t>
    <phoneticPr fontId="11"/>
  </si>
  <si>
    <t xml:space="preserve">ORDER NO. </t>
    <phoneticPr fontId="10"/>
  </si>
  <si>
    <t>ORDER DATE</t>
    <phoneticPr fontId="11"/>
  </si>
  <si>
    <t>TEL/FAX</t>
    <phoneticPr fontId="11"/>
  </si>
  <si>
    <t>ATTN</t>
    <phoneticPr fontId="11"/>
  </si>
  <si>
    <t>CONSIGNEE :</t>
    <phoneticPr fontId="11"/>
  </si>
  <si>
    <t>CONSIGNEE ADDRESS1</t>
    <phoneticPr fontId="11"/>
  </si>
  <si>
    <t>CONSIGNEE ADDRESS2</t>
    <phoneticPr fontId="11"/>
  </si>
  <si>
    <t>CONSIGNEE ADDRESS3</t>
    <phoneticPr fontId="11"/>
  </si>
  <si>
    <t>TEL</t>
    <phoneticPr fontId="11"/>
  </si>
  <si>
    <t>FAX</t>
    <phoneticPr fontId="11"/>
  </si>
  <si>
    <t>PAYMENT 1</t>
    <phoneticPr fontId="11"/>
  </si>
  <si>
    <t>PAYMENT 2</t>
    <phoneticPr fontId="11"/>
  </si>
  <si>
    <t>SHIPPER PER</t>
    <phoneticPr fontId="11"/>
  </si>
  <si>
    <t>INVOICE DATE</t>
    <phoneticPr fontId="11"/>
  </si>
  <si>
    <t>INVOICE NO.</t>
    <phoneticPr fontId="11"/>
  </si>
  <si>
    <t>CONTRACT NO.</t>
    <phoneticPr fontId="11"/>
  </si>
  <si>
    <t>CONTRACT DATE</t>
    <phoneticPr fontId="11"/>
  </si>
  <si>
    <t>ORDER DATE</t>
    <phoneticPr fontId="11"/>
  </si>
  <si>
    <t>ORDER NO.</t>
    <phoneticPr fontId="11"/>
  </si>
  <si>
    <t>L/C DATE</t>
    <phoneticPr fontId="11"/>
  </si>
  <si>
    <t>FROM</t>
    <phoneticPr fontId="11"/>
  </si>
  <si>
    <t xml:space="preserve"> TOKYO, JAPAN</t>
    <phoneticPr fontId="11"/>
  </si>
  <si>
    <t>TO</t>
    <phoneticPr fontId="11"/>
  </si>
  <si>
    <t>VIA</t>
    <phoneticPr fontId="11"/>
  </si>
  <si>
    <t>SHIPPING TERMS</t>
    <phoneticPr fontId="11"/>
  </si>
  <si>
    <t>TITTLE 1</t>
    <phoneticPr fontId="11"/>
  </si>
  <si>
    <t>TITTLE 2</t>
    <phoneticPr fontId="11"/>
  </si>
  <si>
    <t>ATTACHE</t>
    <phoneticPr fontId="11"/>
  </si>
  <si>
    <t>- DETAILS AS PER ATTACHED SHEET -</t>
    <phoneticPr fontId="11"/>
  </si>
  <si>
    <t>C/NO.</t>
    <phoneticPr fontId="11"/>
  </si>
  <si>
    <t>STYLE NO.</t>
    <phoneticPr fontId="11"/>
  </si>
  <si>
    <t>DESCRIPTION</t>
    <phoneticPr fontId="11"/>
  </si>
  <si>
    <t>Q'TY CODE</t>
    <phoneticPr fontId="11"/>
  </si>
  <si>
    <t>PCS</t>
    <phoneticPr fontId="11"/>
  </si>
  <si>
    <t>QUANTITY</t>
    <phoneticPr fontId="11"/>
  </si>
  <si>
    <t>UNIT PRICE</t>
    <phoneticPr fontId="11"/>
  </si>
  <si>
    <t>AMOUNT</t>
    <phoneticPr fontId="11"/>
  </si>
  <si>
    <t>DISCOUNT</t>
    <phoneticPr fontId="11"/>
  </si>
  <si>
    <t>CASE MARK1</t>
    <phoneticPr fontId="11"/>
  </si>
  <si>
    <t>CASE MARK2</t>
    <phoneticPr fontId="11"/>
  </si>
  <si>
    <t>CASE MARK3</t>
    <phoneticPr fontId="11"/>
  </si>
  <si>
    <t>CASE MARK4</t>
    <phoneticPr fontId="11"/>
  </si>
  <si>
    <t>CASE MARK5</t>
    <phoneticPr fontId="11"/>
  </si>
  <si>
    <t>CASE MARK6</t>
    <phoneticPr fontId="11"/>
  </si>
  <si>
    <t>TOTAL</t>
    <phoneticPr fontId="11"/>
  </si>
  <si>
    <t>MANUFACTURED BY</t>
    <phoneticPr fontId="11"/>
  </si>
  <si>
    <t>ORIGIN</t>
    <phoneticPr fontId="11"/>
  </si>
  <si>
    <t>COUNTRY OF ORIGIN : JAPAN</t>
    <phoneticPr fontId="11"/>
  </si>
  <si>
    <t>OUR BANK</t>
    <phoneticPr fontId="11"/>
  </si>
  <si>
    <t>ETD TYO</t>
    <phoneticPr fontId="11"/>
  </si>
  <si>
    <t>DELIVERY SCHEDULES</t>
    <phoneticPr fontId="11"/>
  </si>
  <si>
    <t>INSURANCE</t>
    <phoneticPr fontId="11"/>
  </si>
  <si>
    <t>REMARK 1</t>
    <phoneticPr fontId="11"/>
  </si>
  <si>
    <t>AIR FREIGHT</t>
    <phoneticPr fontId="11"/>
  </si>
  <si>
    <t>YOUR (OUR) FORWARDER</t>
    <phoneticPr fontId="11"/>
  </si>
  <si>
    <t>CUSTOMS AGENT</t>
    <phoneticPr fontId="11"/>
  </si>
  <si>
    <t>FORWARDER</t>
    <phoneticPr fontId="11"/>
  </si>
  <si>
    <t>C/O ISSUED DATE</t>
    <phoneticPr fontId="11"/>
  </si>
  <si>
    <t>COUNTRY</t>
    <phoneticPr fontId="11"/>
  </si>
  <si>
    <t>F.O.B. TOKYO IN YEN</t>
    <phoneticPr fontId="11"/>
  </si>
  <si>
    <t xml:space="preserve"> SHUNYA CO., LTD.</t>
    <phoneticPr fontId="11"/>
  </si>
  <si>
    <t xml:space="preserve"> KENSHIN BLDG., 1F, 1-22-10 DOUGENZAKA,</t>
    <phoneticPr fontId="11"/>
  </si>
  <si>
    <t xml:space="preserve"> SHIBUYA-KU 150-0043</t>
    <phoneticPr fontId="11"/>
  </si>
  <si>
    <t xml:space="preserve"> TEL : +81(0)3-5459-1177</t>
    <phoneticPr fontId="11"/>
  </si>
  <si>
    <t xml:space="preserve"> - SAME AS BUYER -</t>
    <phoneticPr fontId="11"/>
  </si>
  <si>
    <t xml:space="preserve"> HOCHIMINH-CITY, VIETNAM</t>
    <phoneticPr fontId="11"/>
  </si>
  <si>
    <t>" NO COMMER VALUE</t>
    <phoneticPr fontId="11"/>
  </si>
  <si>
    <t xml:space="preserve">  VALUE FOR CUSTOMS PURPOSE ONLY "</t>
    <phoneticPr fontId="11"/>
  </si>
  <si>
    <t xml:space="preserve"> C/NO.</t>
    <phoneticPr fontId="11"/>
  </si>
  <si>
    <t>VIETNAM</t>
    <phoneticPr fontId="11"/>
  </si>
  <si>
    <t>PREPAID</t>
    <phoneticPr fontId="11"/>
  </si>
  <si>
    <t>IMPORTER</t>
    <phoneticPr fontId="10"/>
  </si>
  <si>
    <t>COVERED BY SHIPPER</t>
    <phoneticPr fontId="11"/>
  </si>
  <si>
    <t>MEITETSU WORLD TRANSPORT (MR. NAMIKI)</t>
    <phoneticPr fontId="11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</si>
  <si>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11"/>
  </si>
  <si>
    <t>BUYER</t>
    <phoneticPr fontId="11"/>
  </si>
  <si>
    <t>BUYER ADDRESS1</t>
    <phoneticPr fontId="11"/>
  </si>
  <si>
    <t>BUYER ADDRESS2</t>
    <phoneticPr fontId="11"/>
  </si>
  <si>
    <t>BUYER ADDRESS3</t>
    <phoneticPr fontId="11"/>
  </si>
  <si>
    <t xml:space="preserve"> AIRCRAFT</t>
    <phoneticPr fontId="11"/>
  </si>
  <si>
    <t>持ち帰り条件</t>
    <rPh sb="0" eb="1">
      <t>モ</t>
    </rPh>
    <rPh sb="2" eb="3">
      <t>カエ</t>
    </rPh>
    <rPh sb="4" eb="6">
      <t>ジョウケン</t>
    </rPh>
    <phoneticPr fontId="11"/>
  </si>
  <si>
    <t>" NO COMMERCIAL VALUE</t>
    <phoneticPr fontId="11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</si>
  <si>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11"/>
  </si>
  <si>
    <t xml:space="preserve">  AFTER MANUFACTURED AT VIET NAM "</t>
    <phoneticPr fontId="11"/>
  </si>
  <si>
    <t xml:space="preserve"> VALUE FOR CUSTOMS PURPOSE ONLY "</t>
    <phoneticPr fontId="11"/>
  </si>
  <si>
    <t xml:space="preserve"> NO COMMERCIAL</t>
    <phoneticPr fontId="10"/>
  </si>
  <si>
    <t>M.</t>
    <phoneticPr fontId="11"/>
  </si>
  <si>
    <t>PCS.</t>
    <phoneticPr fontId="11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</si>
  <si>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</si>
  <si>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</si>
  <si>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</si>
  <si>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</si>
  <si>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</si>
  <si>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</si>
  <si>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</si>
  <si>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</si>
  <si>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</si>
  <si>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</si>
  <si>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>TOTAL :</t>
  </si>
  <si>
    <t xml:space="preserve">ART NO. </t>
    <phoneticPr fontId="11"/>
  </si>
  <si>
    <t>(H.S. CODE)</t>
    <phoneticPr fontId="11"/>
  </si>
  <si>
    <t>- ATTACHED SHEET -</t>
    <phoneticPr fontId="11"/>
  </si>
  <si>
    <t xml:space="preserve"> </t>
    <phoneticPr fontId="11"/>
  </si>
  <si>
    <t>TOTAL CARTONS :</t>
    <phoneticPr fontId="11"/>
  </si>
  <si>
    <t>TOTAL GROSS WEIGHT :</t>
    <phoneticPr fontId="11"/>
  </si>
  <si>
    <t>原産国</t>
    <rPh sb="0" eb="3">
      <t>ゲンサンコク</t>
    </rPh>
    <phoneticPr fontId="11"/>
  </si>
  <si>
    <t>MADE IN JAPAN</t>
    <phoneticPr fontId="11"/>
  </si>
  <si>
    <t>TOTAL</t>
    <phoneticPr fontId="40"/>
  </si>
  <si>
    <t>No.10 , D17 Street , Sai Gon South Residential Area</t>
  </si>
  <si>
    <t>VIVAN GARMENTS VIET NAM COMPANY LIMITED</t>
    <phoneticPr fontId="11"/>
  </si>
  <si>
    <t>Hamlet 3 , Long Hau Commune , Can Giuoc District,</t>
    <phoneticPr fontId="11"/>
  </si>
  <si>
    <t xml:space="preserve"> Long An Province , VietNam</t>
    <phoneticPr fontId="11"/>
  </si>
  <si>
    <t xml:space="preserve"> TEL : :   ( 084 ) 097 22 00 798  ATTN : MR. TUAN</t>
    <phoneticPr fontId="11"/>
  </si>
  <si>
    <t>SET.</t>
    <phoneticPr fontId="11"/>
  </si>
  <si>
    <t>MADE  IN JAPAN</t>
    <phoneticPr fontId="11"/>
  </si>
  <si>
    <t>FABRIC &amp; PARTS FOR WEAR &amp; SAMPLE CLOTHES</t>
    <phoneticPr fontId="11"/>
  </si>
  <si>
    <t xml:space="preserve"> TEL : ( 084 ) 097 22 00 798  ATTN : MR. TUAN</t>
    <phoneticPr fontId="11"/>
  </si>
  <si>
    <r>
      <rPr>
        <b/>
        <i/>
        <sz val="10"/>
        <rFont val="ＭＳ Ｐゴシック"/>
        <family val="3"/>
        <charset val="128"/>
      </rPr>
      <t>搬入内容</t>
    </r>
    <rPh sb="0" eb="2">
      <t>ハンニュウ</t>
    </rPh>
    <phoneticPr fontId="11"/>
  </si>
  <si>
    <r>
      <t>MADE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IN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JAPAN</t>
    </r>
    <phoneticPr fontId="11"/>
  </si>
  <si>
    <t>搬入内容</t>
    <rPh sb="0" eb="2">
      <t>ハンニュウ</t>
    </rPh>
    <phoneticPr fontId="11"/>
  </si>
  <si>
    <r>
      <t>MADE</t>
    </r>
    <r>
      <rPr>
        <b/>
        <u/>
        <sz val="10"/>
        <rFont val="ＭＳ Ｐゴシック"/>
        <family val="3"/>
        <charset val="128"/>
      </rPr>
      <t>　IN　JAPAN</t>
    </r>
    <phoneticPr fontId="11"/>
  </si>
  <si>
    <t>LABEL SHEET -</t>
    <phoneticPr fontId="11"/>
  </si>
  <si>
    <t>KGS</t>
    <phoneticPr fontId="11"/>
  </si>
  <si>
    <t>長繊維、プリント加工なし</t>
    <rPh sb="0" eb="1">
      <t>ナガ</t>
    </rPh>
    <rPh sb="1" eb="3">
      <t>センイ</t>
    </rPh>
    <rPh sb="8" eb="9">
      <t>ナ</t>
    </rPh>
    <phoneticPr fontId="11"/>
  </si>
  <si>
    <t>KNIT FABRIC</t>
    <phoneticPr fontId="11"/>
  </si>
  <si>
    <t>後染めリブ生地　丸編み</t>
    <rPh sb="0" eb="1">
      <t>アト</t>
    </rPh>
    <rPh sb="1" eb="2">
      <t>ゾ</t>
    </rPh>
    <rPh sb="5" eb="7">
      <t>キジ</t>
    </rPh>
    <rPh sb="8" eb="10">
      <t>マルア</t>
    </rPh>
    <phoneticPr fontId="11"/>
  </si>
  <si>
    <t>POLYESTER 100%</t>
    <phoneticPr fontId="11"/>
  </si>
  <si>
    <t>C/#MIX</t>
    <phoneticPr fontId="11"/>
  </si>
  <si>
    <t>PCS.</t>
  </si>
  <si>
    <t>C/#KHAKI</t>
    <phoneticPr fontId="11"/>
  </si>
  <si>
    <t>May, 22 2024</t>
    <phoneticPr fontId="11"/>
  </si>
  <si>
    <t>1813.1M 9486PCS. 9SET.</t>
    <phoneticPr fontId="11"/>
  </si>
  <si>
    <t>AC731</t>
    <phoneticPr fontId="11"/>
  </si>
  <si>
    <t>C/#7 KHAKI</t>
    <phoneticPr fontId="11"/>
  </si>
  <si>
    <t>ACRYLIC 94.7% NYLON 4.7% POLYURETHANE 0.6%</t>
    <phoneticPr fontId="11"/>
  </si>
  <si>
    <r>
      <t>WIDTH:60CM (310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</si>
  <si>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men's used boa jacket</t>
    <phoneticPr fontId="11"/>
  </si>
  <si>
    <t>古着　プリントなし</t>
    <rPh sb="0" eb="1">
      <t>フルギ</t>
    </rPh>
    <phoneticPr fontId="11"/>
  </si>
  <si>
    <t>STYLE: cc24aw-41</t>
    <phoneticPr fontId="11"/>
  </si>
  <si>
    <t>men's used quilt jacket</t>
    <phoneticPr fontId="11"/>
  </si>
  <si>
    <t>men's used muffler</t>
    <phoneticPr fontId="11"/>
  </si>
  <si>
    <t>ACRYLIC 100%</t>
    <phoneticPr fontId="11"/>
  </si>
  <si>
    <t>STYLE: cc24aw-30/cc24aw-52</t>
    <phoneticPr fontId="11"/>
  </si>
  <si>
    <r>
      <t>woven tag</t>
    </r>
    <r>
      <rPr>
        <b/>
        <sz val="10"/>
        <rFont val="ＭＳ Ｐゴシック"/>
        <family val="2"/>
        <charset val="128"/>
      </rPr>
      <t>　　材質：ポリエステル100%</t>
    </r>
    <rPh sb="11" eb="13">
      <t>ザイシツ</t>
    </rPh>
    <phoneticPr fontId="11"/>
  </si>
  <si>
    <t>77circa woven tag</t>
    <phoneticPr fontId="11"/>
  </si>
  <si>
    <r>
      <rPr>
        <b/>
        <sz val="10"/>
        <rFont val="Yu Gothic"/>
        <family val="2"/>
        <charset val="128"/>
      </rPr>
      <t>入庫</t>
    </r>
    <r>
      <rPr>
        <b/>
        <sz val="10"/>
        <rFont val="Century Gothic"/>
        <family val="2"/>
      </rPr>
      <t>NO,22064335</t>
    </r>
    <rPh sb="0" eb="2">
      <t>ニュウコ</t>
    </rPh>
    <phoneticPr fontId="11"/>
  </si>
  <si>
    <t>1</t>
    <phoneticPr fontId="11"/>
  </si>
  <si>
    <t>2-14</t>
    <phoneticPr fontId="11"/>
  </si>
  <si>
    <t>14CARTONS</t>
    <phoneticPr fontId="11"/>
  </si>
  <si>
    <t>23SY-67</t>
  </si>
  <si>
    <t>3CF(URA ATAMAAWASE）DA*DA</t>
  </si>
  <si>
    <t>315</t>
  </si>
  <si>
    <t>ZIPPER 材質：polyester</t>
  </si>
  <si>
    <t>29CM-8   32CM-169</t>
  </si>
  <si>
    <t>入庫NO.22064192</t>
    <phoneticPr fontId="11"/>
  </si>
  <si>
    <t>HA-300-2</t>
    <phoneticPr fontId="11"/>
  </si>
  <si>
    <r>
      <t xml:space="preserve">CORD </t>
    </r>
    <r>
      <rPr>
        <b/>
        <sz val="9"/>
        <rFont val="Yu Gothic"/>
        <family val="2"/>
        <charset val="128"/>
      </rPr>
      <t>材質：</t>
    </r>
    <r>
      <rPr>
        <b/>
        <sz val="9"/>
        <rFont val="Century Gothic"/>
        <family val="2"/>
      </rPr>
      <t>ACRYLIC100</t>
    </r>
    <r>
      <rPr>
        <b/>
        <sz val="9"/>
        <rFont val="Yu Gothic"/>
        <family val="2"/>
        <charset val="128"/>
      </rPr>
      <t>％</t>
    </r>
    <rPh sb="5" eb="7">
      <t>ザイシツ</t>
    </rPh>
    <phoneticPr fontId="11"/>
  </si>
  <si>
    <t>BK-210M 46-46M 63-46M</t>
    <phoneticPr fontId="11"/>
  </si>
  <si>
    <t>M.</t>
    <phoneticPr fontId="11"/>
  </si>
  <si>
    <t>PRESTIGE Hang Tag</t>
    <phoneticPr fontId="11"/>
  </si>
  <si>
    <r>
      <t>Hang tag</t>
    </r>
    <r>
      <rPr>
        <b/>
        <sz val="10"/>
        <rFont val="ＭＳ Ｐゴシック"/>
        <family val="2"/>
        <charset val="128"/>
      </rPr>
      <t>　　材質：紙</t>
    </r>
    <rPh sb="10" eb="12">
      <t>ザイシツ</t>
    </rPh>
    <rPh sb="13" eb="14">
      <t>カミ</t>
    </rPh>
    <phoneticPr fontId="11"/>
  </si>
  <si>
    <t>AZP6517</t>
    <phoneticPr fontId="40"/>
  </si>
  <si>
    <t>N</t>
    <phoneticPr fontId="40"/>
  </si>
  <si>
    <t>AZP6516</t>
    <phoneticPr fontId="40"/>
  </si>
  <si>
    <t>CECILE</t>
    <phoneticPr fontId="40"/>
  </si>
  <si>
    <t>SIC147</t>
    <phoneticPr fontId="40"/>
  </si>
  <si>
    <t>1-1</t>
    <phoneticPr fontId="40"/>
  </si>
  <si>
    <t>COTTON 100% PIECE-DYED SLEEK</t>
    <phoneticPr fontId="40"/>
  </si>
  <si>
    <t>SUPUNBONDED</t>
    <phoneticPr fontId="40"/>
  </si>
  <si>
    <t>W</t>
    <phoneticPr fontId="40"/>
  </si>
  <si>
    <t>5VS OP DA86</t>
    <phoneticPr fontId="40"/>
  </si>
  <si>
    <t>580</t>
    <phoneticPr fontId="40"/>
  </si>
  <si>
    <t>CC24AW-28</t>
    <phoneticPr fontId="40"/>
  </si>
  <si>
    <t>2</t>
    <phoneticPr fontId="40"/>
  </si>
  <si>
    <t>3YGKB C GSN8</t>
    <phoneticPr fontId="40"/>
  </si>
  <si>
    <t>501</t>
    <phoneticPr fontId="40"/>
  </si>
  <si>
    <t>521K</t>
    <phoneticPr fontId="40"/>
  </si>
  <si>
    <t>2002S</t>
    <phoneticPr fontId="40"/>
  </si>
  <si>
    <t xml:space="preserve">POLYESTER100%  LINING  </t>
    <phoneticPr fontId="40"/>
  </si>
  <si>
    <t>UNICORN775</t>
    <phoneticPr fontId="40"/>
  </si>
  <si>
    <t>#08-208 #45-185 #46-69</t>
    <phoneticPr fontId="40"/>
  </si>
  <si>
    <t>CC24AW-08</t>
    <phoneticPr fontId="40"/>
  </si>
  <si>
    <t>130CM #28-3 #3-4 #46-6</t>
    <phoneticPr fontId="40"/>
  </si>
  <si>
    <t>140CM #28-1 #3-4 #46-2</t>
    <phoneticPr fontId="40"/>
  </si>
  <si>
    <t>5VS C DA86</t>
    <phoneticPr fontId="40"/>
  </si>
  <si>
    <t>15CM #519-6 #580-8 #220-12</t>
    <phoneticPr fontId="40"/>
  </si>
  <si>
    <t>15.5CM #519-2 #580-8 #220-4</t>
    <phoneticPr fontId="40"/>
  </si>
  <si>
    <t>62.5CM #519-6 #580-8 #220-12</t>
    <phoneticPr fontId="40"/>
  </si>
  <si>
    <t>67CM #519-2 #580-8 #220-4</t>
    <phoneticPr fontId="40"/>
  </si>
  <si>
    <t>CC24AW-41</t>
    <phoneticPr fontId="40"/>
  </si>
  <si>
    <t>AKP5137</t>
    <phoneticPr fontId="40"/>
  </si>
  <si>
    <t>150</t>
    <phoneticPr fontId="40"/>
  </si>
  <si>
    <t>7GKB OP DA</t>
    <phoneticPr fontId="40"/>
  </si>
  <si>
    <t>566</t>
    <phoneticPr fontId="40"/>
  </si>
  <si>
    <t>8</t>
    <phoneticPr fontId="40"/>
  </si>
  <si>
    <t>CC24AW-47</t>
    <phoneticPr fontId="40"/>
  </si>
  <si>
    <t>2085-2714</t>
    <phoneticPr fontId="40"/>
  </si>
  <si>
    <t>BSX</t>
    <phoneticPr fontId="40"/>
  </si>
  <si>
    <r>
      <rPr>
        <b/>
        <sz val="12"/>
        <rFont val="ＭＳ Ｐゴシック"/>
        <family val="3"/>
        <charset val="128"/>
      </rPr>
      <t>＃</t>
    </r>
    <r>
      <rPr>
        <b/>
        <sz val="12"/>
        <rFont val="Century Gothic"/>
        <family val="2"/>
      </rPr>
      <t>BK-66</t>
    </r>
    <r>
      <rPr>
        <b/>
        <sz val="12"/>
        <rFont val="ＭＳ Ｐゴシック"/>
        <family val="3"/>
        <charset val="128"/>
      </rPr>
      <t>ｍ　＃</t>
    </r>
    <r>
      <rPr>
        <b/>
        <sz val="12"/>
        <rFont val="Century Gothic"/>
        <family val="2"/>
      </rPr>
      <t>1107-66</t>
    </r>
    <r>
      <rPr>
        <b/>
        <sz val="12"/>
        <rFont val="ＭＳ Ｐゴシック"/>
        <family val="3"/>
        <charset val="128"/>
      </rPr>
      <t>ｍ</t>
    </r>
    <phoneticPr fontId="40"/>
  </si>
  <si>
    <r>
      <rPr>
        <b/>
        <sz val="12"/>
        <rFont val="ＭＳ Ｐゴシック"/>
        <family val="3"/>
        <charset val="128"/>
      </rPr>
      <t>＃</t>
    </r>
    <r>
      <rPr>
        <b/>
        <sz val="12"/>
        <rFont val="Century Gothic"/>
        <family val="2"/>
      </rPr>
      <t>BK-69</t>
    </r>
    <r>
      <rPr>
        <b/>
        <sz val="12"/>
        <rFont val="ＭＳ Ｐゴシック"/>
        <family val="3"/>
        <charset val="128"/>
      </rPr>
      <t>　＃</t>
    </r>
    <r>
      <rPr>
        <b/>
        <sz val="12"/>
        <rFont val="Century Gothic"/>
        <family val="2"/>
      </rPr>
      <t>91-125</t>
    </r>
    <phoneticPr fontId="40"/>
  </si>
  <si>
    <r>
      <rPr>
        <b/>
        <sz val="12"/>
        <rFont val="ＭＳ Ｐゴシック"/>
        <family val="3"/>
        <charset val="128"/>
      </rPr>
      <t>＃</t>
    </r>
    <r>
      <rPr>
        <b/>
        <sz val="12"/>
        <rFont val="Century Gothic"/>
        <family val="2"/>
      </rPr>
      <t>50-5</t>
    </r>
    <r>
      <rPr>
        <b/>
        <sz val="12"/>
        <rFont val="ＭＳ Ｐゴシック"/>
        <family val="3"/>
        <charset val="128"/>
      </rPr>
      <t>ｍ　＃</t>
    </r>
    <r>
      <rPr>
        <b/>
        <sz val="12"/>
        <rFont val="Century Gothic"/>
        <family val="2"/>
      </rPr>
      <t>103-9</t>
    </r>
    <r>
      <rPr>
        <b/>
        <sz val="12"/>
        <rFont val="ＭＳ Ｐゴシック"/>
        <family val="3"/>
        <charset val="128"/>
      </rPr>
      <t>ｍ</t>
    </r>
    <phoneticPr fontId="40"/>
  </si>
  <si>
    <r>
      <t>#BK-25M</t>
    </r>
    <r>
      <rPr>
        <b/>
        <sz val="12"/>
        <rFont val="ＭＳ Ｐゴシック"/>
        <family val="3"/>
        <charset val="128"/>
      </rPr>
      <t>　＃</t>
    </r>
    <r>
      <rPr>
        <b/>
        <sz val="12"/>
        <rFont val="Century Gothic"/>
        <family val="2"/>
      </rPr>
      <t>63-23M  #77-7M</t>
    </r>
    <phoneticPr fontId="40"/>
  </si>
  <si>
    <t>cc24aw-03</t>
    <phoneticPr fontId="40"/>
  </si>
  <si>
    <t>cc24aw-30</t>
    <phoneticPr fontId="40"/>
  </si>
  <si>
    <t>cc24aw-43</t>
    <phoneticPr fontId="40"/>
  </si>
  <si>
    <t>cc24aw-52</t>
    <phoneticPr fontId="40"/>
  </si>
  <si>
    <t>JUMP RING　材質：真鍮</t>
    <rPh sb="10" eb="12">
      <t>ザイシツ</t>
    </rPh>
    <rPh sb="13" eb="15">
      <t>シンチュウ</t>
    </rPh>
    <phoneticPr fontId="11"/>
  </si>
  <si>
    <t>D-RING　材質：真鍮</t>
    <rPh sb="7" eb="9">
      <t>ザイシツ</t>
    </rPh>
    <rPh sb="10" eb="12">
      <t>シンチュウ</t>
    </rPh>
    <phoneticPr fontId="11"/>
  </si>
  <si>
    <r>
      <t>TAPE</t>
    </r>
    <r>
      <rPr>
        <b/>
        <sz val="12"/>
        <rFont val="ＭＳ Ｐゴシック"/>
        <family val="3"/>
        <charset val="128"/>
      </rPr>
      <t>　</t>
    </r>
    <r>
      <rPr>
        <b/>
        <sz val="12"/>
        <rFont val="Century Gothic"/>
        <family val="2"/>
      </rPr>
      <t>14</t>
    </r>
    <r>
      <rPr>
        <b/>
        <sz val="12"/>
        <rFont val="ＭＳ Ｐゴシック"/>
        <family val="3"/>
        <charset val="128"/>
      </rPr>
      <t>ｍｍ　材質：</t>
    </r>
    <r>
      <rPr>
        <b/>
        <sz val="12"/>
        <rFont val="Yu Gothic"/>
        <family val="3"/>
        <charset val="128"/>
      </rPr>
      <t>ポリエステル</t>
    </r>
    <rPh sb="10" eb="12">
      <t>ザイシツ</t>
    </rPh>
    <phoneticPr fontId="40"/>
  </si>
  <si>
    <r>
      <rPr>
        <b/>
        <sz val="11"/>
        <rFont val="Century Gothic"/>
        <family val="2"/>
      </rPr>
      <t>BUTTON</t>
    </r>
    <r>
      <rPr>
        <b/>
        <sz val="11"/>
        <rFont val="Yu Gothic"/>
        <family val="2"/>
        <charset val="128"/>
      </rPr>
      <t>　材質：プラスチック</t>
    </r>
    <rPh sb="7" eb="9">
      <t>ザイシツ</t>
    </rPh>
    <phoneticPr fontId="40"/>
  </si>
  <si>
    <r>
      <rPr>
        <b/>
        <sz val="11"/>
        <rFont val="Century Gothic"/>
        <family val="3"/>
      </rPr>
      <t>TAPE</t>
    </r>
    <r>
      <rPr>
        <b/>
        <sz val="11"/>
        <rFont val="ＭＳ Ｐゴシック"/>
        <family val="3"/>
        <charset val="128"/>
      </rPr>
      <t>　</t>
    </r>
    <r>
      <rPr>
        <b/>
        <sz val="11"/>
        <rFont val="Century Gothic"/>
        <family val="2"/>
      </rPr>
      <t>25mm</t>
    </r>
    <r>
      <rPr>
        <b/>
        <sz val="11"/>
        <rFont val="Yu Gothic"/>
        <family val="2"/>
        <charset val="128"/>
      </rPr>
      <t>　材質：ポリエステル</t>
    </r>
    <rPh sb="10" eb="12">
      <t>ザイシツ</t>
    </rPh>
    <phoneticPr fontId="40"/>
  </si>
  <si>
    <r>
      <t xml:space="preserve">SUPUNBONDED NONWOVEN FABRIC </t>
    </r>
    <r>
      <rPr>
        <b/>
        <sz val="12"/>
        <rFont val="Yu Gothic"/>
        <family val="2"/>
        <charset val="128"/>
      </rPr>
      <t>材質：不織布</t>
    </r>
    <rPh sb="28" eb="30">
      <t>ザイシツ</t>
    </rPh>
    <rPh sb="31" eb="34">
      <t>フショクフ</t>
    </rPh>
    <phoneticPr fontId="40"/>
  </si>
  <si>
    <r>
      <t xml:space="preserve">ZIPPER 40CM </t>
    </r>
    <r>
      <rPr>
        <b/>
        <sz val="12"/>
        <rFont val="Yu Gothic"/>
        <family val="2"/>
        <charset val="128"/>
      </rPr>
      <t>材質：銅合金</t>
    </r>
    <phoneticPr fontId="40"/>
  </si>
  <si>
    <r>
      <t>ZIPPER 15.5CM</t>
    </r>
    <r>
      <rPr>
        <b/>
        <sz val="12"/>
        <rFont val="Yu Gothic"/>
        <family val="2"/>
        <charset val="128"/>
      </rPr>
      <t>　材質：銅合金</t>
    </r>
    <phoneticPr fontId="40"/>
  </si>
  <si>
    <r>
      <t xml:space="preserve">HOOK </t>
    </r>
    <r>
      <rPr>
        <b/>
        <sz val="11"/>
        <rFont val="Yu Gothic"/>
        <family val="2"/>
        <charset val="128"/>
      </rPr>
      <t>材質：真鍮</t>
    </r>
    <rPh sb="5" eb="7">
      <t>ザイシツ</t>
    </rPh>
    <rPh sb="8" eb="10">
      <t>シンチュウ</t>
    </rPh>
    <phoneticPr fontId="11"/>
  </si>
  <si>
    <r>
      <t>BUTTON</t>
    </r>
    <r>
      <rPr>
        <b/>
        <sz val="12"/>
        <rFont val="Yu Gothic"/>
        <family val="2"/>
        <charset val="128"/>
      </rPr>
      <t>　材質：ポリエステル</t>
    </r>
    <rPh sb="7" eb="9">
      <t>ザイシツ</t>
    </rPh>
    <phoneticPr fontId="40"/>
  </si>
  <si>
    <r>
      <t>CHIPD CORD</t>
    </r>
    <r>
      <rPr>
        <b/>
        <sz val="11"/>
        <rFont val="Yu Gothic"/>
        <family val="2"/>
        <charset val="128"/>
      </rPr>
      <t>　材質：アクリル　チップ先端：シリコン</t>
    </r>
    <rPh sb="11" eb="13">
      <t>ザイシツ</t>
    </rPh>
    <rPh sb="22" eb="24">
      <t>センタン</t>
    </rPh>
    <phoneticPr fontId="40"/>
  </si>
  <si>
    <r>
      <t>PIPING</t>
    </r>
    <r>
      <rPr>
        <b/>
        <sz val="11"/>
        <rFont val="Yu Gothic"/>
        <family val="2"/>
        <charset val="128"/>
      </rPr>
      <t>　材質：ポリエステル</t>
    </r>
    <rPh sb="7" eb="9">
      <t>ザイシツ</t>
    </rPh>
    <phoneticPr fontId="40"/>
  </si>
  <si>
    <r>
      <t>ZIPPER</t>
    </r>
    <r>
      <rPr>
        <b/>
        <sz val="10"/>
        <rFont val="Yu Gothic"/>
        <family val="2"/>
        <charset val="128"/>
      </rPr>
      <t>　材質：銅合金</t>
    </r>
    <rPh sb="7" eb="9">
      <t>ザイシツ</t>
    </rPh>
    <rPh sb="10" eb="13">
      <t>ドウゴウキン</t>
    </rPh>
    <phoneticPr fontId="40"/>
  </si>
  <si>
    <r>
      <t>ZIPPER 79CM</t>
    </r>
    <r>
      <rPr>
        <b/>
        <sz val="11"/>
        <rFont val="Yu Gothic"/>
        <family val="2"/>
        <charset val="128"/>
      </rPr>
      <t>　材質：銅合金</t>
    </r>
    <rPh sb="12" eb="14">
      <t>ザイシツ</t>
    </rPh>
    <rPh sb="15" eb="18">
      <t>ドウゴウキン</t>
    </rPh>
    <phoneticPr fontId="40"/>
  </si>
  <si>
    <r>
      <t>TAPE 40MM</t>
    </r>
    <r>
      <rPr>
        <b/>
        <sz val="11"/>
        <rFont val="Yu Gothic"/>
        <family val="2"/>
        <charset val="128"/>
      </rPr>
      <t>　材質：ポリエステル</t>
    </r>
    <rPh sb="10" eb="12">
      <t>ザイシツ</t>
    </rPh>
    <phoneticPr fontId="40"/>
  </si>
  <si>
    <r>
      <t>DOT BUTTONS</t>
    </r>
    <r>
      <rPr>
        <b/>
        <sz val="11"/>
        <rFont val="Yu Gothic"/>
        <family val="2"/>
        <charset val="128"/>
      </rPr>
      <t>　材質：真鍮</t>
    </r>
    <rPh sb="12" eb="14">
      <t>ザイシツ</t>
    </rPh>
    <rPh sb="15" eb="17">
      <t>シンチュウ</t>
    </rPh>
    <phoneticPr fontId="40"/>
  </si>
  <si>
    <t>PCS.</t>
    <phoneticPr fontId="40"/>
  </si>
  <si>
    <t>M.</t>
    <phoneticPr fontId="40"/>
  </si>
  <si>
    <t>SET.</t>
    <phoneticPr fontId="40"/>
  </si>
  <si>
    <t>佐川4529-7621-5720</t>
    <rPh sb="0" eb="2">
      <t>サガワ</t>
    </rPh>
    <phoneticPr fontId="11"/>
  </si>
  <si>
    <t>佐川457813901285</t>
    <rPh sb="0" eb="2">
      <t>サガワ</t>
    </rPh>
    <phoneticPr fontId="11"/>
  </si>
  <si>
    <r>
      <rPr>
        <b/>
        <sz val="10"/>
        <rFont val="ＭＳ Ｐゴシック"/>
        <family val="2"/>
        <charset val="128"/>
      </rPr>
      <t>佐川</t>
    </r>
    <r>
      <rPr>
        <b/>
        <sz val="10"/>
        <rFont val="Century Gothic"/>
        <family val="2"/>
      </rPr>
      <t>452575656761</t>
    </r>
    <rPh sb="0" eb="2">
      <t>サガワ</t>
    </rPh>
    <phoneticPr fontId="11"/>
  </si>
  <si>
    <t>5CARTONS</t>
    <phoneticPr fontId="11"/>
  </si>
  <si>
    <t>23SY-67</t>
    <phoneticPr fontId="11"/>
  </si>
  <si>
    <t>17-19</t>
    <phoneticPr fontId="11"/>
  </si>
  <si>
    <r>
      <t>CHIPD CORD</t>
    </r>
    <r>
      <rPr>
        <b/>
        <sz val="10"/>
        <rFont val="Yu Gothic"/>
        <family val="2"/>
        <charset val="128"/>
      </rPr>
      <t>　材質：アクリル　チップ先端：シリコン</t>
    </r>
    <rPh sb="11" eb="13">
      <t>ザイシツ</t>
    </rPh>
    <rPh sb="22" eb="24">
      <t>センタン</t>
    </rPh>
    <phoneticPr fontId="40"/>
  </si>
  <si>
    <t xml:space="preserve"> C/NO. 1-19</t>
    <phoneticPr fontId="11"/>
  </si>
  <si>
    <t>19CARTONS</t>
    <phoneticPr fontId="11"/>
  </si>
  <si>
    <t xml:space="preserve"> SY-5600605-VT-DD-01</t>
    <phoneticPr fontId="11"/>
  </si>
  <si>
    <t>19PACKAGES</t>
    <phoneticPr fontId="11"/>
  </si>
  <si>
    <t>June, 07 2024</t>
    <phoneticPr fontId="11"/>
  </si>
  <si>
    <t>D17 Street , Sai Gon South Residential Area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</si>
</sst>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¥&quot;#,##0;[Red]&quot;¥&quot;\-#,##0"/>
    <numFmt numFmtId="26" formatCode="\$#,##0.00_);[Red]\(\$#,##0.00\)"/>
    <numFmt numFmtId="176" formatCode="_(* #,##0_);_(* \(#,##0\);_(* &quot;-&quot;_);_(@_)"/>
    <numFmt numFmtId="177" formatCode="[$€-410]\ #,##0.00_);[Red]\([$€-410]\ #,##0.00\)"/>
    <numFmt numFmtId="178" formatCode="0_);[Red]\(0\)"/>
    <numFmt numFmtId="179" formatCode="[$€-410]\ #,##0.00;\-[$€-410]\ #,##0.00"/>
    <numFmt numFmtId="180" formatCode="&quot;¥&quot;#,##0_);\(&quot;¥&quot;#,##0\)"/>
    <numFmt numFmtId="181" formatCode="&quot;¥&quot;#,##0_);[Red]\(&quot;¥&quot;#,##0\)"/>
    <numFmt numFmtId="182" formatCode="#,##0.0"/>
    <numFmt numFmtId="183" formatCode="_(* #,##0.0_);_(* \(#,##0.0\);_(* &quot;-&quot;_);_(@_)"/>
    <numFmt numFmtId="184" formatCode="#,##0.0_);\(#,##0.0\)"/>
    <numFmt numFmtId="185" formatCode="m/d;@"/>
  </numFmts>
  <fonts count="77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sz val="12"/>
      <name val="Century Gothic"/>
      <family val="2"/>
    </font>
    <font>
      <b/>
      <u/>
      <sz val="1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sz val="22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b/>
      <i/>
      <sz val="9"/>
      <name val="Century Gothic"/>
      <family val="2"/>
    </font>
    <font>
      <sz val="16"/>
      <name val="Century Gothic"/>
      <family val="2"/>
    </font>
    <font>
      <b/>
      <u/>
      <sz val="11"/>
      <name val="Century Gothic"/>
      <family val="2"/>
    </font>
    <font>
      <b/>
      <i/>
      <sz val="10"/>
      <name val="Century Gothic"/>
      <family val="2"/>
    </font>
    <font>
      <i/>
      <sz val="10"/>
      <name val="Century Gothic"/>
      <family val="2"/>
    </font>
    <font>
      <b/>
      <sz val="20"/>
      <name val="Century Gothic"/>
      <family val="2"/>
    </font>
    <font>
      <u/>
      <sz val="10"/>
      <color indexed="12"/>
      <name val="Verdana"/>
      <family val="2"/>
    </font>
    <font>
      <sz val="28"/>
      <name val="新細明體"/>
      <family val="1"/>
    </font>
    <font>
      <b/>
      <i/>
      <sz val="20"/>
      <name val="Century Gothic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name val="ＭＳ　ゴシック"/>
      <family val="3"/>
      <charset val="128"/>
    </font>
    <font>
      <b/>
      <sz val="12"/>
      <name val="Century Gothic"/>
      <family val="2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sz val="28"/>
      <name val="ＭＳ Ｐゴシック"/>
      <family val="3"/>
      <charset val="128"/>
      <scheme val="minor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u/>
      <sz val="10"/>
      <color theme="3"/>
      <name val="Century Gothic"/>
      <family val="2"/>
    </font>
    <font>
      <sz val="10"/>
      <name val="新細明體"/>
      <family val="1"/>
    </font>
    <font>
      <b/>
      <sz val="14"/>
      <name val="Century Gothic"/>
      <family val="2"/>
    </font>
    <font>
      <sz val="12"/>
      <name val="游ゴシック"/>
      <family val="1"/>
      <charset val="128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u/>
      <sz val="10"/>
      <name val="Century Gothic"/>
      <family val="2"/>
    </font>
    <font>
      <b/>
      <sz val="10"/>
      <color theme="1"/>
      <name val="ＭＳ Ｐゴシック"/>
      <family val="3"/>
      <charset val="128"/>
    </font>
    <font>
      <b/>
      <sz val="12"/>
      <name val="新細明體"/>
    </font>
    <font>
      <b/>
      <sz val="12"/>
      <name val="新細明體"/>
      <family val="1"/>
    </font>
    <font>
      <b/>
      <u/>
      <sz val="10"/>
      <color theme="1"/>
      <name val="Century Gothic"/>
      <family val="2"/>
    </font>
    <font>
      <b/>
      <sz val="10"/>
      <color rgb="FFFF0000"/>
      <name val="MS PGothic"/>
      <family val="3"/>
      <charset val="128"/>
    </font>
    <font>
      <b/>
      <sz val="10"/>
      <color theme="1"/>
      <name val="Yu Gothic"/>
      <family val="3"/>
      <charset val="128"/>
    </font>
    <font>
      <b/>
      <sz val="10"/>
      <color theme="1"/>
      <name val="ＭＳ Ｐゴシック"/>
      <family val="2"/>
      <charset val="128"/>
    </font>
    <font>
      <b/>
      <sz val="10"/>
      <color theme="1"/>
      <name val="Microsoft YaHei"/>
      <family val="3"/>
      <charset val="134"/>
    </font>
    <font>
      <sz val="12"/>
      <name val="ＭＳ Ｐゴシック"/>
      <family val="3"/>
      <charset val="128"/>
    </font>
    <font>
      <b/>
      <sz val="12"/>
      <color rgb="FFFF0000"/>
      <name val="Century Gothic"/>
      <family val="2"/>
    </font>
    <font>
      <b/>
      <sz val="12"/>
      <color rgb="FFFF0000"/>
      <name val="ＭＳ Ｐゴシック"/>
      <family val="2"/>
      <charset val="128"/>
    </font>
    <font>
      <b/>
      <sz val="10"/>
      <name val="ＭＳ Ｐゴシック"/>
      <family val="3"/>
      <charset val="128"/>
      <scheme val="major"/>
    </font>
    <font>
      <b/>
      <sz val="11"/>
      <color rgb="FFFF0000"/>
      <name val="Century Gothic"/>
      <family val="2"/>
    </font>
    <font>
      <sz val="11"/>
      <name val="ＭＳ Ｐゴシック"/>
      <family val="3"/>
      <charset val="128"/>
    </font>
    <font>
      <b/>
      <sz val="10"/>
      <name val="Yu Gothic"/>
      <family val="2"/>
      <charset val="128"/>
    </font>
    <font>
      <b/>
      <sz val="10"/>
      <name val="Century Gothic"/>
      <family val="2"/>
      <charset val="128"/>
    </font>
    <font>
      <b/>
      <sz val="9"/>
      <name val="Yu Gothic"/>
      <family val="2"/>
      <charset val="128"/>
    </font>
    <font>
      <b/>
      <sz val="12"/>
      <color theme="1"/>
      <name val="Century Gothic"/>
      <family val="2"/>
    </font>
    <font>
      <b/>
      <u/>
      <sz val="12"/>
      <name val="Century Gothic"/>
      <family val="2"/>
    </font>
    <font>
      <b/>
      <sz val="12"/>
      <name val="ＭＳ Ｐゴシック"/>
      <family val="3"/>
      <charset val="128"/>
    </font>
    <font>
      <b/>
      <sz val="12"/>
      <name val="ＭＳ Ｐゴシック"/>
      <family val="2"/>
      <charset val="128"/>
    </font>
    <font>
      <b/>
      <sz val="12"/>
      <name val="Yu Gothic"/>
      <family val="2"/>
      <charset val="128"/>
    </font>
    <font>
      <b/>
      <sz val="12"/>
      <name val="Yu Gothic"/>
      <family val="3"/>
      <charset val="128"/>
    </font>
    <font>
      <b/>
      <sz val="11"/>
      <name val="Century Gothic"/>
      <family val="3"/>
      <charset val="128"/>
    </font>
    <font>
      <b/>
      <sz val="11"/>
      <name val="ＭＳ Ｐゴシック"/>
      <family val="3"/>
      <charset val="128"/>
    </font>
    <font>
      <b/>
      <sz val="11"/>
      <name val="Yu Gothic"/>
      <family val="2"/>
      <charset val="128"/>
    </font>
    <font>
      <b/>
      <sz val="11"/>
      <name val="Century Gothic"/>
      <family val="2"/>
      <charset val="128"/>
    </font>
    <font>
      <b/>
      <sz val="11"/>
      <name val="Century Gothic"/>
      <family val="3"/>
    </font>
  </fonts>
  <fills count="9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8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2" fillId="0" borderId="0">
      <alignment vertical="center"/>
    </xf>
    <xf numFmtId="6" fontId="5" fillId="0" borderId="0" applyFont="0" applyFill="0" applyBorder="0" applyAlignment="0" applyProtection="0">
      <alignment vertical="center"/>
    </xf>
  </cellStyleXfs>
  <cellXfs count="567">
    <xf numFmtId="0" fontId="0" fillId="0" borderId="0" xfId="0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center" shrinkToFit="1"/>
    </xf>
    <xf numFmtId="0" fontId="9" fillId="0" borderId="0" xfId="0" applyFont="1">
      <alignment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49" fontId="13" fillId="0" borderId="0" xfId="0" applyNumberFormat="1" applyFont="1">
      <alignment vertical="center"/>
    </xf>
    <xf numFmtId="0" fontId="13" fillId="0" borderId="3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4" xfId="0" applyFont="1" applyBorder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0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0" xfId="0" quotePrefix="1" applyFont="1">
      <alignment vertical="center"/>
    </xf>
    <xf numFmtId="0" fontId="9" fillId="0" borderId="0" xfId="0" quotePrefix="1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9" fontId="9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21" fillId="0" borderId="0" xfId="0" applyFont="1">
      <alignment vertical="center"/>
    </xf>
    <xf numFmtId="0" fontId="9" fillId="0" borderId="3" xfId="0" applyFont="1" applyBorder="1">
      <alignment vertical="center"/>
    </xf>
    <xf numFmtId="0" fontId="20" fillId="0" borderId="0" xfId="0" applyFont="1">
      <alignment vertical="center"/>
    </xf>
    <xf numFmtId="0" fontId="15" fillId="0" borderId="6" xfId="0" applyFont="1" applyBorder="1">
      <alignment vertical="center"/>
    </xf>
    <xf numFmtId="0" fontId="20" fillId="0" borderId="7" xfId="0" applyFont="1" applyBorder="1">
      <alignment vertical="center"/>
    </xf>
    <xf numFmtId="0" fontId="20" fillId="0" borderId="6" xfId="0" applyFont="1" applyBorder="1">
      <alignment vertical="center"/>
    </xf>
    <xf numFmtId="0" fontId="15" fillId="0" borderId="8" xfId="0" applyFont="1" applyBorder="1">
      <alignment vertical="center"/>
    </xf>
    <xf numFmtId="0" fontId="20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15" fillId="0" borderId="1" xfId="0" applyFont="1" applyBorder="1">
      <alignment vertical="center"/>
    </xf>
    <xf numFmtId="0" fontId="15" fillId="0" borderId="9" xfId="0" applyFont="1" applyBorder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8" fillId="0" borderId="0" xfId="0" applyFont="1">
      <alignment vertical="center"/>
    </xf>
    <xf numFmtId="0" fontId="19" fillId="0" borderId="0" xfId="0" applyFont="1" applyAlignment="1">
      <alignment horizontal="right"/>
    </xf>
    <xf numFmtId="0" fontId="9" fillId="0" borderId="0" xfId="0" applyFont="1" applyAlignment="1">
      <alignment horizontal="right" vertical="center"/>
    </xf>
    <xf numFmtId="0" fontId="9" fillId="0" borderId="8" xfId="0" applyFont="1" applyBorder="1">
      <alignment vertical="center"/>
    </xf>
    <xf numFmtId="49" fontId="9" fillId="0" borderId="0" xfId="0" applyNumberFormat="1" applyFont="1">
      <alignment vertical="center"/>
    </xf>
    <xf numFmtId="49" fontId="9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22" fillId="0" borderId="0" xfId="0" applyFont="1">
      <alignment vertical="center"/>
    </xf>
    <xf numFmtId="0" fontId="22" fillId="0" borderId="1" xfId="0" applyFont="1" applyBorder="1" applyAlignment="1">
      <alignment horizontal="left"/>
    </xf>
    <xf numFmtId="49" fontId="15" fillId="0" borderId="1" xfId="0" applyNumberFormat="1" applyFont="1" applyBorder="1" applyAlignment="1">
      <alignment horizontal="right"/>
    </xf>
    <xf numFmtId="49" fontId="15" fillId="0" borderId="0" xfId="0" applyNumberFormat="1" applyFont="1">
      <alignment vertical="center"/>
    </xf>
    <xf numFmtId="0" fontId="23" fillId="0" borderId="11" xfId="0" applyFont="1" applyBorder="1" applyAlignment="1">
      <alignment horizontal="center" vertical="center"/>
    </xf>
    <xf numFmtId="0" fontId="23" fillId="0" borderId="11" xfId="0" applyFont="1" applyBorder="1">
      <alignment vertical="center"/>
    </xf>
    <xf numFmtId="0" fontId="23" fillId="0" borderId="12" xfId="0" applyFont="1" applyBorder="1" applyAlignment="1">
      <alignment horizontal="center" vertical="center"/>
    </xf>
    <xf numFmtId="0" fontId="24" fillId="0" borderId="0" xfId="0" applyFont="1">
      <alignment vertical="center"/>
    </xf>
    <xf numFmtId="179" fontId="9" fillId="0" borderId="0" xfId="0" applyNumberFormat="1" applyFont="1">
      <alignment vertical="center"/>
    </xf>
    <xf numFmtId="26" fontId="9" fillId="0" borderId="0" xfId="0" applyNumberFormat="1" applyFont="1">
      <alignment vertical="center"/>
    </xf>
    <xf numFmtId="0" fontId="9" fillId="0" borderId="0" xfId="0" applyFont="1" applyAlignment="1">
      <alignment horizontal="left"/>
    </xf>
    <xf numFmtId="0" fontId="23" fillId="0" borderId="13" xfId="0" applyFont="1" applyBorder="1" applyAlignment="1">
      <alignment horizontal="center" vertical="center"/>
    </xf>
    <xf numFmtId="0" fontId="15" fillId="0" borderId="14" xfId="0" applyFont="1" applyBorder="1">
      <alignment vertical="center"/>
    </xf>
    <xf numFmtId="0" fontId="14" fillId="0" borderId="10" xfId="0" applyFont="1" applyBorder="1" applyAlignment="1">
      <alignment horizontal="center" vertical="center"/>
    </xf>
    <xf numFmtId="0" fontId="25" fillId="0" borderId="0" xfId="0" applyFont="1">
      <alignment vertical="center"/>
    </xf>
    <xf numFmtId="49" fontId="9" fillId="0" borderId="2" xfId="0" applyNumberFormat="1" applyFont="1" applyBorder="1">
      <alignment vertical="center"/>
    </xf>
    <xf numFmtId="49" fontId="9" fillId="0" borderId="1" xfId="0" applyNumberFormat="1" applyFont="1" applyBorder="1">
      <alignment vertical="center"/>
    </xf>
    <xf numFmtId="49" fontId="9" fillId="0" borderId="9" xfId="0" applyNumberFormat="1" applyFont="1" applyBorder="1">
      <alignment vertical="center"/>
    </xf>
    <xf numFmtId="0" fontId="15" fillId="0" borderId="2" xfId="0" applyFont="1" applyBorder="1">
      <alignment vertical="center"/>
    </xf>
    <xf numFmtId="0" fontId="14" fillId="0" borderId="0" xfId="0" applyFont="1">
      <alignment vertical="center"/>
    </xf>
    <xf numFmtId="49" fontId="9" fillId="0" borderId="0" xfId="0" applyNumberFormat="1" applyFont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15" xfId="0" applyFont="1" applyBorder="1">
      <alignment vertical="center"/>
    </xf>
    <xf numFmtId="0" fontId="20" fillId="0" borderId="8" xfId="0" applyFont="1" applyBorder="1">
      <alignment vertical="center"/>
    </xf>
    <xf numFmtId="26" fontId="14" fillId="0" borderId="8" xfId="0" applyNumberFormat="1" applyFont="1" applyBorder="1" applyAlignment="1">
      <alignment horizontal="left" vertical="center"/>
    </xf>
    <xf numFmtId="0" fontId="36" fillId="0" borderId="0" xfId="0" applyFont="1" applyAlignment="1">
      <alignment vertical="center" shrinkToFit="1"/>
    </xf>
    <xf numFmtId="49" fontId="9" fillId="0" borderId="0" xfId="0" applyNumberFormat="1" applyFont="1" applyAlignment="1">
      <alignment vertical="center" shrinkToFit="1"/>
    </xf>
    <xf numFmtId="0" fontId="26" fillId="0" borderId="0" xfId="1" applyNumberFormat="1" applyFont="1" applyFill="1" applyBorder="1" applyAlignment="1" applyProtection="1"/>
    <xf numFmtId="26" fontId="9" fillId="0" borderId="0" xfId="0" applyNumberFormat="1" applyFont="1" applyAlignment="1">
      <alignment horizontal="left" vertical="center" shrinkToFit="1"/>
    </xf>
    <xf numFmtId="181" fontId="9" fillId="0" borderId="0" xfId="0" applyNumberFormat="1" applyFont="1" applyAlignment="1">
      <alignment horizontal="left" vertical="center" shrinkToFit="1"/>
    </xf>
    <xf numFmtId="0" fontId="14" fillId="0" borderId="0" xfId="0" applyFont="1" applyAlignment="1">
      <alignment vertical="center" shrinkToFit="1"/>
    </xf>
    <xf numFmtId="0" fontId="37" fillId="0" borderId="0" xfId="0" applyFont="1">
      <alignment vertical="center"/>
    </xf>
    <xf numFmtId="0" fontId="27" fillId="0" borderId="0" xfId="0" applyFont="1">
      <alignment vertical="center"/>
    </xf>
    <xf numFmtId="0" fontId="37" fillId="0" borderId="0" xfId="0" applyFont="1" applyAlignment="1">
      <alignment horizontal="left" vertical="center"/>
    </xf>
    <xf numFmtId="0" fontId="37" fillId="0" borderId="16" xfId="0" applyFont="1" applyBorder="1">
      <alignment vertical="center"/>
    </xf>
    <xf numFmtId="0" fontId="37" fillId="0" borderId="17" xfId="0" applyFont="1" applyBorder="1">
      <alignment vertical="center"/>
    </xf>
    <xf numFmtId="0" fontId="37" fillId="0" borderId="18" xfId="0" applyFont="1" applyBorder="1">
      <alignment vertical="center"/>
    </xf>
    <xf numFmtId="0" fontId="28" fillId="0" borderId="0" xfId="0" applyFont="1">
      <alignment vertical="center"/>
    </xf>
    <xf numFmtId="0" fontId="9" fillId="0" borderId="10" xfId="0" applyFont="1" applyBorder="1" applyAlignment="1">
      <alignment horizontal="center" vertical="center"/>
    </xf>
    <xf numFmtId="0" fontId="38" fillId="0" borderId="0" xfId="0" applyFont="1" applyAlignment="1">
      <alignment vertical="center" shrinkToFit="1"/>
    </xf>
    <xf numFmtId="0" fontId="19" fillId="0" borderId="0" xfId="0" applyFont="1">
      <alignment vertical="center"/>
    </xf>
    <xf numFmtId="0" fontId="39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49" fontId="9" fillId="0" borderId="0" xfId="0" applyNumberFormat="1" applyFont="1" applyAlignment="1">
      <alignment horizontal="right" vertical="center"/>
    </xf>
    <xf numFmtId="0" fontId="9" fillId="0" borderId="25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9" fillId="0" borderId="21" xfId="0" applyFont="1" applyBorder="1" applyAlignment="1">
      <alignment horizontal="center" vertical="center"/>
    </xf>
    <xf numFmtId="0" fontId="9" fillId="0" borderId="21" xfId="0" applyFont="1" applyBorder="1">
      <alignment vertical="center"/>
    </xf>
    <xf numFmtId="0" fontId="14" fillId="0" borderId="2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3" xfId="0" applyFont="1" applyBorder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14" fillId="0" borderId="21" xfId="0" applyFont="1" applyBorder="1">
      <alignment vertical="center"/>
    </xf>
    <xf numFmtId="0" fontId="33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180" fontId="9" fillId="0" borderId="21" xfId="0" applyNumberFormat="1" applyFont="1" applyBorder="1">
      <alignment vertical="center"/>
    </xf>
    <xf numFmtId="0" fontId="9" fillId="0" borderId="19" xfId="0" applyFont="1" applyBorder="1">
      <alignment vertical="center"/>
    </xf>
    <xf numFmtId="0" fontId="9" fillId="0" borderId="29" xfId="0" applyFont="1" applyBorder="1" applyAlignment="1">
      <alignment horizontal="center" vertical="center"/>
    </xf>
    <xf numFmtId="0" fontId="9" fillId="0" borderId="29" xfId="0" applyFont="1" applyBorder="1" applyAlignment="1">
      <alignment horizontal="right" vertical="center"/>
    </xf>
    <xf numFmtId="0" fontId="9" fillId="0" borderId="19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182" fontId="9" fillId="0" borderId="10" xfId="0" applyNumberFormat="1" applyFont="1" applyBorder="1" applyAlignment="1">
      <alignment horizontal="center" vertical="center" shrinkToFit="1"/>
    </xf>
    <xf numFmtId="182" fontId="9" fillId="0" borderId="10" xfId="0" applyNumberFormat="1" applyFont="1" applyBorder="1" applyAlignment="1">
      <alignment vertical="center" shrinkToFit="1"/>
    </xf>
    <xf numFmtId="0" fontId="23" fillId="0" borderId="33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180" fontId="9" fillId="0" borderId="10" xfId="0" applyNumberFormat="1" applyFont="1" applyBorder="1" applyAlignment="1">
      <alignment horizontal="right" vertical="center"/>
    </xf>
    <xf numFmtId="0" fontId="9" fillId="0" borderId="36" xfId="0" applyFont="1" applyBorder="1" applyAlignment="1">
      <alignment horizontal="right" vertical="center"/>
    </xf>
    <xf numFmtId="0" fontId="23" fillId="0" borderId="20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49" fontId="43" fillId="0" borderId="3" xfId="0" applyNumberFormat="1" applyFont="1" applyBorder="1" applyAlignment="1">
      <alignment horizontal="center" vertical="center"/>
    </xf>
    <xf numFmtId="0" fontId="44" fillId="0" borderId="0" xfId="0" applyFont="1">
      <alignment vertical="center"/>
    </xf>
    <xf numFmtId="49" fontId="9" fillId="0" borderId="19" xfId="0" applyNumberFormat="1" applyFont="1" applyBorder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38" fillId="0" borderId="0" xfId="0" applyNumberFormat="1" applyFont="1">
      <alignment vertical="center"/>
    </xf>
    <xf numFmtId="0" fontId="23" fillId="0" borderId="38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41" fillId="0" borderId="21" xfId="0" applyFont="1" applyBorder="1">
      <alignment vertical="center"/>
    </xf>
    <xf numFmtId="1" fontId="9" fillId="0" borderId="21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vertical="center" shrinkToFit="1"/>
    </xf>
    <xf numFmtId="0" fontId="9" fillId="4" borderId="21" xfId="0" applyFont="1" applyFill="1" applyBorder="1">
      <alignment vertical="center"/>
    </xf>
    <xf numFmtId="0" fontId="9" fillId="0" borderId="21" xfId="0" applyFont="1" applyBorder="1" applyAlignment="1">
      <alignment horizontal="right" vertical="center"/>
    </xf>
    <xf numFmtId="1" fontId="9" fillId="0" borderId="19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43" fillId="0" borderId="3" xfId="0" applyNumberFormat="1" applyFont="1" applyBorder="1" applyAlignment="1">
      <alignment horizontal="left" vertical="center"/>
    </xf>
    <xf numFmtId="49" fontId="23" fillId="0" borderId="38" xfId="0" applyNumberFormat="1" applyFont="1" applyBorder="1" applyAlignment="1">
      <alignment horizontal="left" vertical="center"/>
    </xf>
    <xf numFmtId="49" fontId="14" fillId="0" borderId="21" xfId="0" applyNumberFormat="1" applyFont="1" applyBorder="1" applyAlignment="1">
      <alignment horizontal="left" vertical="center"/>
    </xf>
    <xf numFmtId="180" fontId="9" fillId="0" borderId="10" xfId="0" applyNumberFormat="1" applyFont="1" applyBorder="1">
      <alignment vertical="center"/>
    </xf>
    <xf numFmtId="0" fontId="9" fillId="0" borderId="13" xfId="0" applyFont="1" applyBorder="1" applyAlignment="1">
      <alignment horizontal="center" vertical="center"/>
    </xf>
    <xf numFmtId="49" fontId="9" fillId="0" borderId="14" xfId="0" applyNumberFormat="1" applyFont="1" applyBorder="1" applyAlignment="1">
      <alignment horizontal="left" vertical="center"/>
    </xf>
    <xf numFmtId="0" fontId="14" fillId="0" borderId="14" xfId="0" applyFont="1" applyBorder="1" applyAlignment="1">
      <alignment horizontal="center" vertical="center"/>
    </xf>
    <xf numFmtId="0" fontId="14" fillId="0" borderId="14" xfId="0" applyFont="1" applyBorder="1">
      <alignment vertical="center"/>
    </xf>
    <xf numFmtId="26" fontId="14" fillId="0" borderId="14" xfId="0" applyNumberFormat="1" applyFont="1" applyBorder="1">
      <alignment vertical="center"/>
    </xf>
    <xf numFmtId="0" fontId="23" fillId="0" borderId="46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8" fillId="3" borderId="8" xfId="0" applyFont="1" applyFill="1" applyBorder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49" fontId="38" fillId="0" borderId="0" xfId="0" applyNumberFormat="1" applyFont="1" applyAlignment="1">
      <alignment horizontal="left" vertical="center"/>
    </xf>
    <xf numFmtId="26" fontId="14" fillId="0" borderId="0" xfId="0" applyNumberFormat="1" applyFont="1" applyAlignment="1">
      <alignment horizontal="left" vertical="center"/>
    </xf>
    <xf numFmtId="184" fontId="36" fillId="0" borderId="10" xfId="2" applyNumberFormat="1" applyFont="1" applyFill="1" applyBorder="1" applyAlignment="1">
      <alignment horizontal="right" vertical="center"/>
    </xf>
    <xf numFmtId="0" fontId="36" fillId="0" borderId="10" xfId="2" applyNumberFormat="1" applyFont="1" applyFill="1" applyBorder="1" applyAlignment="1">
      <alignment horizontal="left" vertical="center"/>
    </xf>
    <xf numFmtId="180" fontId="36" fillId="0" borderId="8" xfId="2" applyNumberFormat="1" applyFont="1" applyFill="1" applyBorder="1" applyAlignment="1">
      <alignment horizontal="right" vertical="center"/>
    </xf>
    <xf numFmtId="176" fontId="36" fillId="0" borderId="10" xfId="2" applyFont="1" applyFill="1" applyBorder="1" applyAlignment="1">
      <alignment horizontal="right" vertical="center"/>
    </xf>
    <xf numFmtId="181" fontId="36" fillId="0" borderId="2" xfId="2" applyNumberFormat="1" applyFont="1" applyFill="1" applyBorder="1" applyAlignment="1"/>
    <xf numFmtId="183" fontId="36" fillId="0" borderId="5" xfId="2" applyNumberFormat="1" applyFont="1" applyFill="1" applyBorder="1" applyAlignment="1">
      <alignment horizontal="left" vertical="center"/>
    </xf>
    <xf numFmtId="177" fontId="36" fillId="0" borderId="5" xfId="0" applyNumberFormat="1" applyFont="1" applyBorder="1" applyAlignment="1">
      <alignment horizontal="left" vertical="center"/>
    </xf>
    <xf numFmtId="181" fontId="36" fillId="0" borderId="5" xfId="0" applyNumberFormat="1" applyFont="1" applyBorder="1" applyAlignment="1">
      <alignment horizontal="right" vertical="center"/>
    </xf>
    <xf numFmtId="0" fontId="38" fillId="3" borderId="19" xfId="0" applyFont="1" applyFill="1" applyBorder="1" applyAlignment="1">
      <alignment horizontal="left" vertical="center"/>
    </xf>
    <xf numFmtId="0" fontId="23" fillId="3" borderId="38" xfId="0" applyFont="1" applyFill="1" applyBorder="1" applyAlignment="1">
      <alignment horizontal="center" vertical="center"/>
    </xf>
    <xf numFmtId="49" fontId="9" fillId="5" borderId="0" xfId="0" applyNumberFormat="1" applyFont="1" applyFill="1" applyAlignment="1">
      <alignment horizontal="left" vertical="center"/>
    </xf>
    <xf numFmtId="0" fontId="9" fillId="5" borderId="0" xfId="0" applyFont="1" applyFill="1" applyAlignment="1">
      <alignment vertical="center" shrinkToFit="1"/>
    </xf>
    <xf numFmtId="180" fontId="36" fillId="5" borderId="8" xfId="2" applyNumberFormat="1" applyFont="1" applyFill="1" applyBorder="1" applyAlignment="1">
      <alignment horizontal="right" vertical="center"/>
    </xf>
    <xf numFmtId="180" fontId="31" fillId="5" borderId="0" xfId="0" applyNumberFormat="1" applyFont="1" applyFill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49" fontId="38" fillId="0" borderId="14" xfId="0" applyNumberFormat="1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center" vertical="center" shrinkToFit="1"/>
    </xf>
    <xf numFmtId="180" fontId="9" fillId="0" borderId="0" xfId="0" applyNumberFormat="1" applyFont="1" applyAlignment="1">
      <alignment horizontal="right" vertical="center" shrinkToFit="1"/>
    </xf>
    <xf numFmtId="180" fontId="9" fillId="0" borderId="0" xfId="0" applyNumberFormat="1" applyFont="1">
      <alignment vertical="center"/>
    </xf>
    <xf numFmtId="49" fontId="36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180" fontId="9" fillId="0" borderId="0" xfId="0" applyNumberFormat="1" applyFont="1" applyAlignment="1">
      <alignment horizontal="right" vertical="center"/>
    </xf>
    <xf numFmtId="0" fontId="0" fillId="0" borderId="1" xfId="0" applyBorder="1">
      <alignment vertical="center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34" fillId="5" borderId="0" xfId="0" applyFont="1" applyFill="1" applyAlignment="1">
      <alignment horizontal="left" vertical="center"/>
    </xf>
    <xf numFmtId="0" fontId="8" fillId="0" borderId="0" xfId="0" applyFont="1" applyAlignment="1">
      <alignment horizontal="center" vertical="center"/>
    </xf>
    <xf numFmtId="56" fontId="9" fillId="0" borderId="0" xfId="0" applyNumberFormat="1" applyFont="1" applyAlignment="1">
      <alignment horizontal="center" vertical="center"/>
    </xf>
    <xf numFmtId="49" fontId="49" fillId="0" borderId="0" xfId="0" applyNumberFormat="1" applyFont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8" fillId="5" borderId="0" xfId="0" applyFont="1" applyFill="1" applyAlignment="1">
      <alignment horizontal="left" vertical="center"/>
    </xf>
    <xf numFmtId="0" fontId="8" fillId="5" borderId="0" xfId="0" applyFont="1" applyFill="1">
      <alignment vertical="center"/>
    </xf>
    <xf numFmtId="0" fontId="9" fillId="5" borderId="0" xfId="0" applyFont="1" applyFill="1">
      <alignment vertical="center"/>
    </xf>
    <xf numFmtId="3" fontId="9" fillId="5" borderId="0" xfId="0" applyNumberFormat="1" applyFont="1" applyFill="1" applyAlignment="1">
      <alignment horizontal="center" vertical="center"/>
    </xf>
    <xf numFmtId="0" fontId="47" fillId="5" borderId="0" xfId="0" applyFont="1" applyFill="1" applyAlignment="1">
      <alignment horizontal="center" vertical="center"/>
    </xf>
    <xf numFmtId="180" fontId="9" fillId="5" borderId="0" xfId="0" applyNumberFormat="1" applyFont="1" applyFill="1" applyAlignment="1">
      <alignment horizontal="right" vertical="center"/>
    </xf>
    <xf numFmtId="180" fontId="9" fillId="5" borderId="0" xfId="0" applyNumberFormat="1" applyFont="1" applyFill="1">
      <alignment vertical="center"/>
    </xf>
    <xf numFmtId="3" fontId="9" fillId="5" borderId="0" xfId="0" applyNumberFormat="1" applyFont="1" applyFill="1" applyAlignment="1">
      <alignment horizontal="center" vertical="center" shrinkToFit="1"/>
    </xf>
    <xf numFmtId="1" fontId="9" fillId="5" borderId="0" xfId="0" applyNumberFormat="1" applyFont="1" applyFill="1" applyAlignment="1">
      <alignment horizontal="center" vertical="center"/>
    </xf>
    <xf numFmtId="180" fontId="9" fillId="5" borderId="0" xfId="0" applyNumberFormat="1" applyFont="1" applyFill="1" applyAlignment="1">
      <alignment horizontal="right" vertical="center" shrinkToFit="1"/>
    </xf>
    <xf numFmtId="0" fontId="9" fillId="5" borderId="0" xfId="0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36" fillId="5" borderId="0" xfId="0" applyFont="1" applyFill="1">
      <alignment vertical="center"/>
    </xf>
    <xf numFmtId="0" fontId="51" fillId="0" borderId="0" xfId="0" applyFont="1" applyAlignment="1">
      <alignment horizontal="center" vertical="center"/>
    </xf>
    <xf numFmtId="176" fontId="9" fillId="5" borderId="0" xfId="2" applyFont="1" applyFill="1" applyBorder="1" applyAlignment="1">
      <alignment horizontal="right" vertical="center"/>
    </xf>
    <xf numFmtId="49" fontId="9" fillId="0" borderId="1" xfId="0" applyNumberFormat="1" applyFont="1" applyBorder="1" applyAlignment="1">
      <alignment horizontal="left" vertical="center"/>
    </xf>
    <xf numFmtId="0" fontId="9" fillId="6" borderId="1" xfId="0" applyFont="1" applyFill="1" applyBorder="1">
      <alignment vertical="center"/>
    </xf>
    <xf numFmtId="1" fontId="9" fillId="5" borderId="1" xfId="0" applyNumberFormat="1" applyFont="1" applyFill="1" applyBorder="1" applyAlignment="1">
      <alignment horizontal="center" vertical="center"/>
    </xf>
    <xf numFmtId="180" fontId="9" fillId="5" borderId="1" xfId="0" applyNumberFormat="1" applyFont="1" applyFill="1" applyBorder="1">
      <alignment vertical="center"/>
    </xf>
    <xf numFmtId="180" fontId="9" fillId="5" borderId="1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81" fontId="9" fillId="0" borderId="21" xfId="2" applyNumberFormat="1" applyFont="1" applyFill="1" applyBorder="1" applyAlignment="1">
      <alignment horizontal="right" vertical="center"/>
    </xf>
    <xf numFmtId="183" fontId="9" fillId="0" borderId="5" xfId="2" applyNumberFormat="1" applyFont="1" applyFill="1" applyBorder="1" applyAlignment="1">
      <alignment horizontal="left" vertical="center"/>
    </xf>
    <xf numFmtId="0" fontId="23" fillId="0" borderId="49" xfId="0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49" fontId="38" fillId="3" borderId="0" xfId="0" applyNumberFormat="1" applyFont="1" applyFill="1" applyAlignment="1">
      <alignment horizontal="left" vertical="center"/>
    </xf>
    <xf numFmtId="0" fontId="14" fillId="0" borderId="41" xfId="0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8" fillId="0" borderId="0" xfId="0" quotePrefix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/>
    <xf numFmtId="0" fontId="9" fillId="0" borderId="24" xfId="0" applyFont="1" applyBorder="1" applyAlignment="1">
      <alignment horizontal="center" vertical="center"/>
    </xf>
    <xf numFmtId="1" fontId="36" fillId="0" borderId="10" xfId="2" applyNumberFormat="1" applyFont="1" applyFill="1" applyBorder="1" applyAlignment="1">
      <alignment horizontal="left" vertical="center"/>
    </xf>
    <xf numFmtId="180" fontId="9" fillId="0" borderId="19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/>
    </xf>
    <xf numFmtId="49" fontId="9" fillId="0" borderId="19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left" vertical="center"/>
    </xf>
    <xf numFmtId="0" fontId="9" fillId="0" borderId="57" xfId="0" applyFont="1" applyBorder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177" fontId="36" fillId="0" borderId="1" xfId="0" applyNumberFormat="1" applyFont="1" applyBorder="1" applyAlignment="1">
      <alignment horizontal="left" vertical="center"/>
    </xf>
    <xf numFmtId="0" fontId="23" fillId="3" borderId="46" xfId="0" applyFont="1" applyFill="1" applyBorder="1" applyAlignment="1">
      <alignment horizontal="center" vertical="center"/>
    </xf>
    <xf numFmtId="0" fontId="36" fillId="3" borderId="13" xfId="0" applyFont="1" applyFill="1" applyBorder="1" applyAlignment="1">
      <alignment horizontal="left" vertical="center"/>
    </xf>
    <xf numFmtId="0" fontId="42" fillId="0" borderId="14" xfId="0" applyFont="1" applyBorder="1">
      <alignment vertical="center"/>
    </xf>
    <xf numFmtId="0" fontId="9" fillId="0" borderId="13" xfId="0" applyFont="1" applyBorder="1" applyAlignment="1">
      <alignment horizontal="right" vertical="center"/>
    </xf>
    <xf numFmtId="0" fontId="9" fillId="0" borderId="23" xfId="0" applyFont="1" applyBorder="1" applyAlignment="1">
      <alignment horizontal="right" vertical="center"/>
    </xf>
    <xf numFmtId="0" fontId="14" fillId="0" borderId="21" xfId="0" applyFont="1" applyBorder="1" applyAlignment="1">
      <alignment horizont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49" fontId="38" fillId="0" borderId="21" xfId="0" applyNumberFormat="1" applyFont="1" applyBorder="1" applyAlignment="1">
      <alignment horizontal="left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70" xfId="0" applyFont="1" applyBorder="1" applyAlignment="1">
      <alignment horizontal="center" vertical="center"/>
    </xf>
    <xf numFmtId="0" fontId="9" fillId="0" borderId="71" xfId="0" applyFont="1" applyBorder="1" applyAlignment="1">
      <alignment horizontal="center" vertical="center"/>
    </xf>
    <xf numFmtId="0" fontId="52" fillId="0" borderId="13" xfId="0" applyFont="1" applyBorder="1" applyAlignment="1">
      <alignment horizontal="left" vertical="center"/>
    </xf>
    <xf numFmtId="49" fontId="36" fillId="0" borderId="21" xfId="0" applyNumberFormat="1" applyFont="1" applyBorder="1" applyAlignment="1">
      <alignment horizontal="left" vertical="center"/>
    </xf>
    <xf numFmtId="0" fontId="36" fillId="0" borderId="21" xfId="0" applyFont="1" applyBorder="1" applyAlignment="1">
      <alignment horizontal="left" vertical="center"/>
    </xf>
    <xf numFmtId="0" fontId="36" fillId="0" borderId="21" xfId="0" applyFont="1" applyBorder="1" applyAlignment="1">
      <alignment vertical="center" wrapText="1"/>
    </xf>
    <xf numFmtId="182" fontId="36" fillId="0" borderId="21" xfId="0" applyNumberFormat="1" applyFont="1" applyBorder="1" applyAlignment="1">
      <alignment vertical="center" shrinkToFit="1"/>
    </xf>
    <xf numFmtId="49" fontId="53" fillId="0" borderId="21" xfId="0" quotePrefix="1" applyNumberFormat="1" applyFont="1" applyBorder="1" applyAlignment="1">
      <alignment horizontal="left" vertical="center"/>
    </xf>
    <xf numFmtId="0" fontId="36" fillId="0" borderId="23" xfId="0" applyFont="1" applyBorder="1" applyAlignment="1">
      <alignment horizontal="left" vertical="center"/>
    </xf>
    <xf numFmtId="182" fontId="36" fillId="0" borderId="23" xfId="0" applyNumberFormat="1" applyFont="1" applyBorder="1" applyAlignment="1">
      <alignment vertical="center" shrinkToFit="1"/>
    </xf>
    <xf numFmtId="0" fontId="32" fillId="0" borderId="34" xfId="0" applyFont="1" applyBorder="1" applyAlignment="1">
      <alignment horizontal="center" vertical="center"/>
    </xf>
    <xf numFmtId="0" fontId="9" fillId="0" borderId="31" xfId="0" applyFont="1" applyBorder="1">
      <alignment vertical="center"/>
    </xf>
    <xf numFmtId="0" fontId="9" fillId="0" borderId="29" xfId="0" applyFont="1" applyBorder="1">
      <alignment vertical="center"/>
    </xf>
    <xf numFmtId="0" fontId="8" fillId="0" borderId="14" xfId="0" applyFont="1" applyBorder="1">
      <alignment vertical="center"/>
    </xf>
    <xf numFmtId="0" fontId="9" fillId="0" borderId="51" xfId="0" applyFont="1" applyBorder="1">
      <alignment vertical="center"/>
    </xf>
    <xf numFmtId="0" fontId="12" fillId="0" borderId="14" xfId="0" applyFont="1" applyBorder="1">
      <alignment vertical="center"/>
    </xf>
    <xf numFmtId="0" fontId="38" fillId="5" borderId="54" xfId="0" applyFont="1" applyFill="1" applyBorder="1" applyAlignment="1">
      <alignment horizontal="center"/>
    </xf>
    <xf numFmtId="0" fontId="0" fillId="0" borderId="14" xfId="0" applyBorder="1">
      <alignment vertical="center"/>
    </xf>
    <xf numFmtId="0" fontId="0" fillId="0" borderId="47" xfId="0" applyBorder="1" applyAlignment="1">
      <alignment horizontal="center" vertical="center"/>
    </xf>
    <xf numFmtId="0" fontId="42" fillId="0" borderId="0" xfId="0" applyFont="1">
      <alignment vertical="center"/>
    </xf>
    <xf numFmtId="49" fontId="9" fillId="0" borderId="28" xfId="0" applyNumberFormat="1" applyFont="1" applyBorder="1">
      <alignment vertical="center"/>
    </xf>
    <xf numFmtId="0" fontId="38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50" fillId="0" borderId="0" xfId="0" applyFont="1">
      <alignment vertical="center"/>
    </xf>
    <xf numFmtId="0" fontId="9" fillId="5" borderId="1" xfId="0" applyFont="1" applyFill="1" applyBorder="1" applyAlignment="1">
      <alignment horizontal="left" vertical="center"/>
    </xf>
    <xf numFmtId="0" fontId="36" fillId="0" borderId="13" xfId="0" applyFont="1" applyBorder="1" applyAlignment="1">
      <alignment horizontal="center" vertical="center"/>
    </xf>
    <xf numFmtId="0" fontId="36" fillId="0" borderId="21" xfId="0" applyFont="1" applyBorder="1" applyAlignment="1">
      <alignment horizontal="center" vertical="center" wrapText="1"/>
    </xf>
    <xf numFmtId="182" fontId="36" fillId="0" borderId="23" xfId="0" applyNumberFormat="1" applyFont="1" applyBorder="1" applyAlignment="1">
      <alignment horizontal="center" vertical="center" shrinkToFit="1"/>
    </xf>
    <xf numFmtId="0" fontId="0" fillId="0" borderId="30" xfId="0" applyBorder="1">
      <alignment vertical="center"/>
    </xf>
    <xf numFmtId="0" fontId="9" fillId="0" borderId="73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9" xfId="0" applyBorder="1">
      <alignment vertical="center"/>
    </xf>
    <xf numFmtId="49" fontId="38" fillId="0" borderId="57" xfId="0" applyNumberFormat="1" applyFont="1" applyBorder="1">
      <alignment vertical="center"/>
    </xf>
    <xf numFmtId="49" fontId="46" fillId="0" borderId="23" xfId="0" quotePrefix="1" applyNumberFormat="1" applyFont="1" applyBorder="1" applyAlignment="1">
      <alignment horizontal="left" vertical="center"/>
    </xf>
    <xf numFmtId="0" fontId="9" fillId="0" borderId="0" xfId="9" applyFont="1" applyAlignment="1">
      <alignment horizontal="center"/>
    </xf>
    <xf numFmtId="49" fontId="49" fillId="0" borderId="0" xfId="9" applyNumberFormat="1" applyFont="1" applyAlignment="1">
      <alignment horizontal="center" vertical="center"/>
    </xf>
    <xf numFmtId="0" fontId="19" fillId="0" borderId="0" xfId="9" applyFont="1" applyAlignment="1">
      <alignment horizontal="center" vertical="center"/>
    </xf>
    <xf numFmtId="0" fontId="47" fillId="0" borderId="0" xfId="9" applyFont="1">
      <alignment vertical="center"/>
    </xf>
    <xf numFmtId="3" fontId="9" fillId="0" borderId="0" xfId="9" applyNumberFormat="1" applyFont="1" applyAlignment="1">
      <alignment horizontal="center" vertical="center"/>
    </xf>
    <xf numFmtId="0" fontId="9" fillId="0" borderId="0" xfId="9" applyFont="1" applyAlignment="1">
      <alignment horizontal="center" vertical="center"/>
    </xf>
    <xf numFmtId="180" fontId="9" fillId="0" borderId="0" xfId="9" applyNumberFormat="1" applyFont="1" applyAlignment="1">
      <alignment horizontal="right" vertical="center"/>
    </xf>
    <xf numFmtId="180" fontId="9" fillId="0" borderId="0" xfId="9" applyNumberFormat="1" applyFont="1">
      <alignment vertical="center"/>
    </xf>
    <xf numFmtId="49" fontId="9" fillId="0" borderId="24" xfId="0" applyNumberFormat="1" applyFont="1" applyBorder="1" applyAlignment="1">
      <alignment horizontal="center" vertical="center"/>
    </xf>
    <xf numFmtId="182" fontId="36" fillId="0" borderId="10" xfId="0" applyNumberFormat="1" applyFont="1" applyBorder="1" applyAlignment="1">
      <alignment vertical="center" shrinkToFit="1"/>
    </xf>
    <xf numFmtId="178" fontId="9" fillId="0" borderId="24" xfId="0" applyNumberFormat="1" applyFont="1" applyBorder="1" applyAlignment="1">
      <alignment horizontal="center" vertical="center"/>
    </xf>
    <xf numFmtId="49" fontId="43" fillId="0" borderId="0" xfId="0" applyNumberFormat="1" applyFont="1">
      <alignment vertical="center"/>
    </xf>
    <xf numFmtId="0" fontId="36" fillId="0" borderId="10" xfId="0" applyFont="1" applyBorder="1" applyAlignment="1">
      <alignment horizontal="left" vertical="center"/>
    </xf>
    <xf numFmtId="182" fontId="36" fillId="0" borderId="10" xfId="0" applyNumberFormat="1" applyFont="1" applyBorder="1" applyAlignment="1">
      <alignment horizontal="center" vertical="center" shrinkToFit="1"/>
    </xf>
    <xf numFmtId="49" fontId="46" fillId="0" borderId="15" xfId="0" quotePrefix="1" applyNumberFormat="1" applyFont="1" applyBorder="1" applyAlignment="1">
      <alignment horizontal="left" vertical="center"/>
    </xf>
    <xf numFmtId="0" fontId="47" fillId="0" borderId="21" xfId="0" applyFont="1" applyBorder="1" applyAlignment="1">
      <alignment horizontal="center" vertical="center"/>
    </xf>
    <xf numFmtId="180" fontId="9" fillId="0" borderId="21" xfId="0" applyNumberFormat="1" applyFont="1" applyBorder="1" applyAlignment="1">
      <alignment horizontal="center" vertical="center"/>
    </xf>
    <xf numFmtId="26" fontId="14" fillId="0" borderId="21" xfId="0" applyNumberFormat="1" applyFont="1" applyBorder="1" applyAlignment="1">
      <alignment horizontal="center" vertical="center"/>
    </xf>
    <xf numFmtId="26" fontId="14" fillId="0" borderId="14" xfId="0" applyNumberFormat="1" applyFont="1" applyBorder="1" applyAlignment="1">
      <alignment horizontal="center" vertical="center"/>
    </xf>
    <xf numFmtId="181" fontId="36" fillId="0" borderId="13" xfId="0" applyNumberFormat="1" applyFont="1" applyBorder="1" applyAlignment="1">
      <alignment horizontal="center" vertical="center"/>
    </xf>
    <xf numFmtId="184" fontId="9" fillId="5" borderId="19" xfId="2" applyNumberFormat="1" applyFont="1" applyFill="1" applyBorder="1" applyAlignment="1">
      <alignment horizontal="center" vertical="center"/>
    </xf>
    <xf numFmtId="176" fontId="9" fillId="0" borderId="19" xfId="2" applyFont="1" applyFill="1" applyBorder="1" applyAlignment="1">
      <alignment horizontal="center" vertical="center"/>
    </xf>
    <xf numFmtId="49" fontId="9" fillId="0" borderId="23" xfId="0" applyNumberFormat="1" applyFont="1" applyBorder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9" fillId="0" borderId="13" xfId="0" applyFont="1" applyBorder="1">
      <alignment vertical="center"/>
    </xf>
    <xf numFmtId="0" fontId="9" fillId="0" borderId="23" xfId="0" applyFont="1" applyBorder="1">
      <alignment vertical="center"/>
    </xf>
    <xf numFmtId="0" fontId="9" fillId="0" borderId="24" xfId="0" applyFont="1" applyBorder="1" applyAlignment="1">
      <alignment horizontal="center"/>
    </xf>
    <xf numFmtId="0" fontId="38" fillId="0" borderId="24" xfId="0" applyFont="1" applyBorder="1" applyAlignment="1">
      <alignment horizontal="left" vertical="center"/>
    </xf>
    <xf numFmtId="0" fontId="9" fillId="0" borderId="69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49" fontId="58" fillId="0" borderId="0" xfId="0" applyNumberFormat="1" applyFont="1">
      <alignment vertical="center"/>
    </xf>
    <xf numFmtId="0" fontId="9" fillId="0" borderId="58" xfId="0" applyFont="1" applyBorder="1">
      <alignment vertical="center"/>
    </xf>
    <xf numFmtId="176" fontId="9" fillId="0" borderId="3" xfId="0" applyNumberFormat="1" applyFont="1" applyBorder="1" applyAlignment="1">
      <alignment horizontal="right" vertical="center"/>
    </xf>
    <xf numFmtId="180" fontId="9" fillId="0" borderId="3" xfId="0" applyNumberFormat="1" applyFont="1" applyBorder="1" applyAlignment="1">
      <alignment horizontal="right" vertical="center"/>
    </xf>
    <xf numFmtId="0" fontId="12" fillId="0" borderId="24" xfId="0" applyFont="1" applyBorder="1">
      <alignment vertical="center"/>
    </xf>
    <xf numFmtId="56" fontId="12" fillId="0" borderId="66" xfId="0" applyNumberFormat="1" applyFont="1" applyBorder="1" applyAlignment="1">
      <alignment horizontal="center" vertical="center"/>
    </xf>
    <xf numFmtId="0" fontId="9" fillId="0" borderId="39" xfId="0" applyFont="1" applyBorder="1" applyAlignment="1"/>
    <xf numFmtId="49" fontId="9" fillId="0" borderId="13" xfId="0" applyNumberFormat="1" applyFont="1" applyBorder="1" applyAlignment="1">
      <alignment horizontal="left" vertical="center"/>
    </xf>
    <xf numFmtId="0" fontId="38" fillId="3" borderId="13" xfId="0" applyFont="1" applyFill="1" applyBorder="1" applyAlignment="1">
      <alignment horizontal="left" vertical="center"/>
    </xf>
    <xf numFmtId="180" fontId="9" fillId="0" borderId="13" xfId="0" applyNumberFormat="1" applyFont="1" applyBorder="1">
      <alignment vertical="center"/>
    </xf>
    <xf numFmtId="181" fontId="9" fillId="0" borderId="13" xfId="2" applyNumberFormat="1" applyFont="1" applyFill="1" applyBorder="1" applyAlignment="1">
      <alignment horizontal="right" vertical="center"/>
    </xf>
    <xf numFmtId="49" fontId="9" fillId="0" borderId="40" xfId="0" applyNumberFormat="1" applyFont="1" applyBorder="1">
      <alignment vertical="center"/>
    </xf>
    <xf numFmtId="0" fontId="0" fillId="0" borderId="75" xfId="0" applyBorder="1" applyAlignment="1">
      <alignment horizontal="center" vertical="center"/>
    </xf>
    <xf numFmtId="0" fontId="9" fillId="0" borderId="41" xfId="0" applyFont="1" applyBorder="1">
      <alignment vertical="center"/>
    </xf>
    <xf numFmtId="0" fontId="9" fillId="0" borderId="42" xfId="0" applyFont="1" applyBorder="1">
      <alignment vertical="center"/>
    </xf>
    <xf numFmtId="0" fontId="9" fillId="0" borderId="23" xfId="0" applyFont="1" applyBorder="1" applyAlignment="1">
      <alignment vertical="center" shrinkToFit="1"/>
    </xf>
    <xf numFmtId="180" fontId="9" fillId="0" borderId="23" xfId="0" applyNumberFormat="1" applyFont="1" applyBorder="1">
      <alignment vertical="center"/>
    </xf>
    <xf numFmtId="181" fontId="9" fillId="0" borderId="23" xfId="2" applyNumberFormat="1" applyFont="1" applyFill="1" applyBorder="1" applyAlignment="1">
      <alignment horizontal="right" vertical="center"/>
    </xf>
    <xf numFmtId="49" fontId="9" fillId="0" borderId="43" xfId="0" applyNumberFormat="1" applyFont="1" applyBorder="1">
      <alignment vertical="center"/>
    </xf>
    <xf numFmtId="0" fontId="0" fillId="0" borderId="76" xfId="0" applyBorder="1" applyAlignment="1">
      <alignment horizontal="center" vertical="center"/>
    </xf>
    <xf numFmtId="49" fontId="38" fillId="0" borderId="55" xfId="0" applyNumberFormat="1" applyFont="1" applyBorder="1">
      <alignment vertical="center"/>
    </xf>
    <xf numFmtId="49" fontId="38" fillId="0" borderId="74" xfId="0" applyNumberFormat="1" applyFont="1" applyBorder="1">
      <alignment vertical="center"/>
    </xf>
    <xf numFmtId="0" fontId="9" fillId="0" borderId="40" xfId="0" applyFont="1" applyBorder="1">
      <alignment vertical="center"/>
    </xf>
    <xf numFmtId="0" fontId="9" fillId="0" borderId="28" xfId="0" applyFont="1" applyBorder="1">
      <alignment vertical="center"/>
    </xf>
    <xf numFmtId="49" fontId="38" fillId="0" borderId="15" xfId="0" applyNumberFormat="1" applyFont="1" applyBorder="1">
      <alignment vertical="center"/>
    </xf>
    <xf numFmtId="0" fontId="9" fillId="0" borderId="77" xfId="0" applyFont="1" applyBorder="1" applyAlignment="1">
      <alignment horizontal="center" vertical="center"/>
    </xf>
    <xf numFmtId="0" fontId="23" fillId="0" borderId="0" xfId="0" applyFont="1">
      <alignment vertical="center"/>
    </xf>
    <xf numFmtId="0" fontId="23" fillId="0" borderId="3" xfId="0" applyFont="1" applyBorder="1">
      <alignment vertical="center"/>
    </xf>
    <xf numFmtId="49" fontId="38" fillId="0" borderId="54" xfId="0" applyNumberFormat="1" applyFont="1" applyBorder="1" applyAlignment="1">
      <alignment horizontal="center" vertical="center"/>
    </xf>
    <xf numFmtId="181" fontId="36" fillId="0" borderId="21" xfId="0" applyNumberFormat="1" applyFont="1" applyBorder="1" applyAlignment="1">
      <alignment horizontal="right" vertical="center"/>
    </xf>
    <xf numFmtId="180" fontId="9" fillId="0" borderId="21" xfId="0" applyNumberFormat="1" applyFont="1" applyBorder="1" applyAlignment="1">
      <alignment horizontal="right" vertical="center"/>
    </xf>
    <xf numFmtId="181" fontId="36" fillId="0" borderId="23" xfId="0" applyNumberFormat="1" applyFont="1" applyBorder="1" applyAlignment="1">
      <alignment horizontal="right" vertical="center"/>
    </xf>
    <xf numFmtId="180" fontId="9" fillId="0" borderId="23" xfId="0" applyNumberFormat="1" applyFont="1" applyBorder="1" applyAlignment="1">
      <alignment horizontal="right" vertical="center"/>
    </xf>
    <xf numFmtId="0" fontId="60" fillId="0" borderId="10" xfId="0" applyFont="1" applyBorder="1" applyAlignment="1">
      <alignment horizontal="center" vertical="center"/>
    </xf>
    <xf numFmtId="49" fontId="60" fillId="0" borderId="13" xfId="0" applyNumberFormat="1" applyFont="1" applyBorder="1" applyAlignment="1">
      <alignment horizontal="center" vertical="center"/>
    </xf>
    <xf numFmtId="185" fontId="60" fillId="0" borderId="21" xfId="0" applyNumberFormat="1" applyFont="1" applyBorder="1" applyAlignment="1">
      <alignment horizontal="center" vertical="center"/>
    </xf>
    <xf numFmtId="49" fontId="60" fillId="0" borderId="21" xfId="0" applyNumberFormat="1" applyFont="1" applyBorder="1" applyAlignment="1">
      <alignment horizontal="center" vertical="center"/>
    </xf>
    <xf numFmtId="0" fontId="60" fillId="0" borderId="21" xfId="0" applyFont="1" applyBorder="1" applyAlignment="1">
      <alignment horizontal="center" vertical="center"/>
    </xf>
    <xf numFmtId="0" fontId="60" fillId="0" borderId="23" xfId="0" applyFont="1" applyBorder="1" applyAlignment="1">
      <alignment horizontal="center" vertical="center"/>
    </xf>
    <xf numFmtId="49" fontId="46" fillId="0" borderId="0" xfId="0" quotePrefix="1" applyNumberFormat="1" applyFont="1" applyAlignment="1">
      <alignment horizontal="left" vertical="center"/>
    </xf>
    <xf numFmtId="182" fontId="36" fillId="0" borderId="0" xfId="0" applyNumberFormat="1" applyFont="1" applyAlignment="1">
      <alignment vertical="center" shrinkToFit="1"/>
    </xf>
    <xf numFmtId="0" fontId="0" fillId="0" borderId="75" xfId="0" applyBorder="1">
      <alignment vertical="center"/>
    </xf>
    <xf numFmtId="0" fontId="0" fillId="0" borderId="48" xfId="0" applyBorder="1">
      <alignment vertical="center"/>
    </xf>
    <xf numFmtId="0" fontId="0" fillId="0" borderId="47" xfId="0" applyBorder="1">
      <alignment vertical="center"/>
    </xf>
    <xf numFmtId="49" fontId="38" fillId="0" borderId="67" xfId="0" applyNumberFormat="1" applyFont="1" applyBorder="1" applyAlignment="1">
      <alignment horizontal="center" vertical="center"/>
    </xf>
    <xf numFmtId="49" fontId="38" fillId="0" borderId="65" xfId="0" applyNumberFormat="1" applyFont="1" applyBorder="1" applyAlignment="1">
      <alignment horizontal="center" vertical="center"/>
    </xf>
    <xf numFmtId="181" fontId="36" fillId="0" borderId="10" xfId="0" applyNumberFormat="1" applyFont="1" applyBorder="1" applyAlignment="1">
      <alignment horizontal="right" vertical="center"/>
    </xf>
    <xf numFmtId="0" fontId="9" fillId="5" borderId="24" xfId="0" applyFont="1" applyFill="1" applyBorder="1" applyAlignment="1">
      <alignment horizontal="left" vertical="center"/>
    </xf>
    <xf numFmtId="0" fontId="9" fillId="5" borderId="10" xfId="0" applyFont="1" applyFill="1" applyBorder="1" applyAlignment="1">
      <alignment horizontal="left" vertical="center"/>
    </xf>
    <xf numFmtId="180" fontId="9" fillId="5" borderId="10" xfId="0" applyNumberFormat="1" applyFont="1" applyFill="1" applyBorder="1" applyAlignment="1">
      <alignment horizontal="right" vertical="center"/>
    </xf>
    <xf numFmtId="0" fontId="9" fillId="5" borderId="21" xfId="0" applyFont="1" applyFill="1" applyBorder="1" applyAlignment="1">
      <alignment horizontal="left" vertical="center"/>
    </xf>
    <xf numFmtId="180" fontId="9" fillId="5" borderId="21" xfId="0" applyNumberFormat="1" applyFont="1" applyFill="1" applyBorder="1" applyAlignment="1">
      <alignment horizontal="right" vertical="center"/>
    </xf>
    <xf numFmtId="182" fontId="9" fillId="0" borderId="24" xfId="0" applyNumberFormat="1" applyFont="1" applyBorder="1" applyAlignment="1">
      <alignment vertical="center" shrinkToFit="1"/>
    </xf>
    <xf numFmtId="0" fontId="9" fillId="5" borderId="19" xfId="0" applyFont="1" applyFill="1" applyBorder="1" applyAlignment="1">
      <alignment horizontal="left" vertical="center"/>
    </xf>
    <xf numFmtId="180" fontId="9" fillId="0" borderId="19" xfId="0" applyNumberFormat="1" applyFont="1" applyBorder="1" applyAlignment="1">
      <alignment horizontal="right" vertical="center" shrinkToFit="1"/>
    </xf>
    <xf numFmtId="180" fontId="9" fillId="0" borderId="13" xfId="0" applyNumberFormat="1" applyFont="1" applyBorder="1" applyAlignment="1">
      <alignment horizontal="left" vertical="center" shrinkToFit="1"/>
    </xf>
    <xf numFmtId="0" fontId="9" fillId="0" borderId="66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182" fontId="9" fillId="0" borderId="10" xfId="0" applyNumberFormat="1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180" fontId="9" fillId="0" borderId="10" xfId="0" applyNumberFormat="1" applyFont="1" applyBorder="1" applyAlignment="1">
      <alignment horizontal="center" vertical="center"/>
    </xf>
    <xf numFmtId="0" fontId="52" fillId="0" borderId="69" xfId="0" applyFont="1" applyBorder="1" applyAlignment="1">
      <alignment horizontal="left" vertical="center"/>
    </xf>
    <xf numFmtId="49" fontId="36" fillId="0" borderId="22" xfId="0" applyNumberFormat="1" applyFont="1" applyBorder="1" applyAlignment="1">
      <alignment horizontal="left" vertical="center"/>
    </xf>
    <xf numFmtId="49" fontId="9" fillId="0" borderId="22" xfId="0" applyNumberFormat="1" applyFont="1" applyBorder="1" applyAlignment="1">
      <alignment horizontal="left" vertical="center"/>
    </xf>
    <xf numFmtId="49" fontId="53" fillId="0" borderId="22" xfId="0" quotePrefix="1" applyNumberFormat="1" applyFont="1" applyBorder="1" applyAlignment="1">
      <alignment horizontal="left" vertical="center"/>
    </xf>
    <xf numFmtId="49" fontId="46" fillId="0" borderId="68" xfId="0" quotePrefix="1" applyNumberFormat="1" applyFont="1" applyBorder="1" applyAlignment="1">
      <alignment horizontal="left" vertical="center"/>
    </xf>
    <xf numFmtId="49" fontId="38" fillId="0" borderId="15" xfId="0" quotePrefix="1" applyNumberFormat="1" applyFont="1" applyBorder="1" applyAlignment="1">
      <alignment horizontal="left" vertical="center"/>
    </xf>
    <xf numFmtId="0" fontId="60" fillId="0" borderId="24" xfId="0" applyFont="1" applyBorder="1" applyAlignment="1">
      <alignment horizontal="center" vertical="center"/>
    </xf>
    <xf numFmtId="182" fontId="9" fillId="0" borderId="24" xfId="0" applyNumberFormat="1" applyFont="1" applyBorder="1" applyAlignment="1">
      <alignment horizontal="center" vertical="center" shrinkToFit="1"/>
    </xf>
    <xf numFmtId="180" fontId="9" fillId="0" borderId="24" xfId="0" applyNumberFormat="1" applyFont="1" applyBorder="1" applyAlignment="1">
      <alignment horizontal="center" vertical="center" shrinkToFit="1"/>
    </xf>
    <xf numFmtId="180" fontId="9" fillId="0" borderId="24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180" fontId="9" fillId="0" borderId="24" xfId="0" applyNumberFormat="1" applyFont="1" applyBorder="1" applyAlignment="1">
      <alignment horizontal="right" vertical="center" shrinkToFit="1"/>
    </xf>
    <xf numFmtId="0" fontId="9" fillId="3" borderId="13" xfId="0" applyFont="1" applyFill="1" applyBorder="1" applyAlignment="1">
      <alignment horizontal="left" vertical="center"/>
    </xf>
    <xf numFmtId="180" fontId="9" fillId="5" borderId="23" xfId="0" applyNumberFormat="1" applyFont="1" applyFill="1" applyBorder="1" applyAlignment="1">
      <alignment horizontal="right" vertical="center"/>
    </xf>
    <xf numFmtId="180" fontId="9" fillId="0" borderId="10" xfId="0" applyNumberFormat="1" applyFont="1" applyBorder="1" applyAlignment="1">
      <alignment horizontal="right" vertical="center" shrinkToFit="1"/>
    </xf>
    <xf numFmtId="49" fontId="59" fillId="0" borderId="10" xfId="0" applyNumberFormat="1" applyFont="1" applyBorder="1" applyAlignment="1">
      <alignment horizontal="center" vertical="center"/>
    </xf>
    <xf numFmtId="0" fontId="61" fillId="0" borderId="65" xfId="0" applyFont="1" applyBorder="1">
      <alignment vertical="center"/>
    </xf>
    <xf numFmtId="49" fontId="59" fillId="0" borderId="38" xfId="0" applyNumberFormat="1" applyFont="1" applyBorder="1">
      <alignment vertical="center"/>
    </xf>
    <xf numFmtId="49" fontId="59" fillId="0" borderId="10" xfId="0" applyNumberFormat="1" applyFont="1" applyBorder="1">
      <alignment vertical="center"/>
    </xf>
    <xf numFmtId="49" fontId="58" fillId="0" borderId="10" xfId="0" applyNumberFormat="1" applyFont="1" applyBorder="1">
      <alignment vertical="center"/>
    </xf>
    <xf numFmtId="49" fontId="58" fillId="0" borderId="38" xfId="0" applyNumberFormat="1" applyFont="1" applyBorder="1">
      <alignment vertical="center"/>
    </xf>
    <xf numFmtId="49" fontId="59" fillId="0" borderId="10" xfId="0" applyNumberFormat="1" applyFont="1" applyBorder="1" applyAlignment="1">
      <alignment horizontal="right" vertical="center"/>
    </xf>
    <xf numFmtId="0" fontId="0" fillId="0" borderId="40" xfId="0" applyBorder="1">
      <alignment vertical="center"/>
    </xf>
    <xf numFmtId="0" fontId="0" fillId="0" borderId="28" xfId="0" applyBorder="1">
      <alignment vertical="center"/>
    </xf>
    <xf numFmtId="49" fontId="38" fillId="0" borderId="28" xfId="0" applyNumberFormat="1" applyFont="1" applyBorder="1">
      <alignment vertical="center"/>
    </xf>
    <xf numFmtId="0" fontId="0" fillId="0" borderId="43" xfId="0" applyBorder="1">
      <alignment vertical="center"/>
    </xf>
    <xf numFmtId="49" fontId="38" fillId="0" borderId="43" xfId="0" applyNumberFormat="1" applyFont="1" applyBorder="1">
      <alignment vertical="center"/>
    </xf>
    <xf numFmtId="0" fontId="0" fillId="0" borderId="77" xfId="0" applyBorder="1">
      <alignment vertical="center"/>
    </xf>
    <xf numFmtId="0" fontId="14" fillId="0" borderId="69" xfId="0" applyFont="1" applyBorder="1" applyAlignment="1">
      <alignment horizontal="left" vertical="center"/>
    </xf>
    <xf numFmtId="0" fontId="9" fillId="0" borderId="78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49" fontId="14" fillId="0" borderId="13" xfId="0" applyNumberFormat="1" applyFont="1" applyBorder="1" applyAlignment="1">
      <alignment horizontal="left" vertical="center"/>
    </xf>
    <xf numFmtId="49" fontId="9" fillId="0" borderId="24" xfId="0" applyNumberFormat="1" applyFont="1" applyBorder="1" applyAlignment="1">
      <alignment horizontal="left" vertical="center"/>
    </xf>
    <xf numFmtId="49" fontId="9" fillId="0" borderId="10" xfId="0" applyNumberFormat="1" applyFont="1" applyBorder="1" applyAlignment="1">
      <alignment horizontal="left" vertical="center"/>
    </xf>
    <xf numFmtId="49" fontId="63" fillId="0" borderId="0" xfId="0" applyNumberFormat="1" applyFont="1" applyAlignment="1">
      <alignment vertical="center" shrinkToFit="1"/>
    </xf>
    <xf numFmtId="0" fontId="61" fillId="0" borderId="54" xfId="0" applyFont="1" applyBorder="1" applyAlignment="1">
      <alignment horizontal="center" vertical="center"/>
    </xf>
    <xf numFmtId="180" fontId="9" fillId="0" borderId="8" xfId="0" applyNumberFormat="1" applyFont="1" applyBorder="1" applyAlignment="1">
      <alignment horizontal="center" vertical="center"/>
    </xf>
    <xf numFmtId="185" fontId="9" fillId="0" borderId="10" xfId="0" applyNumberFormat="1" applyFont="1" applyBorder="1">
      <alignment vertical="center"/>
    </xf>
    <xf numFmtId="0" fontId="9" fillId="0" borderId="33" xfId="0" applyFont="1" applyBorder="1" applyAlignment="1">
      <alignment horizontal="left" vertical="center"/>
    </xf>
    <xf numFmtId="182" fontId="9" fillId="0" borderId="33" xfId="0" applyNumberFormat="1" applyFont="1" applyBorder="1" applyAlignment="1">
      <alignment vertical="center" shrinkToFit="1"/>
    </xf>
    <xf numFmtId="182" fontId="9" fillId="0" borderId="33" xfId="0" applyNumberFormat="1" applyFont="1" applyBorder="1" applyAlignment="1">
      <alignment horizontal="center" vertical="center"/>
    </xf>
    <xf numFmtId="1" fontId="9" fillId="0" borderId="33" xfId="0" applyNumberFormat="1" applyFont="1" applyBorder="1" applyAlignment="1">
      <alignment horizontal="center" vertical="center"/>
    </xf>
    <xf numFmtId="180" fontId="9" fillId="0" borderId="33" xfId="0" applyNumberFormat="1" applyFont="1" applyBorder="1" applyAlignment="1">
      <alignment horizontal="center" vertical="center"/>
    </xf>
    <xf numFmtId="185" fontId="9" fillId="0" borderId="24" xfId="0" applyNumberFormat="1" applyFont="1" applyBorder="1">
      <alignment vertical="center"/>
    </xf>
    <xf numFmtId="49" fontId="38" fillId="0" borderId="79" xfId="0" quotePrefix="1" applyNumberFormat="1" applyFont="1" applyBorder="1" applyAlignment="1">
      <alignment horizontal="left" vertical="center"/>
    </xf>
    <xf numFmtId="49" fontId="60" fillId="0" borderId="69" xfId="0" applyNumberFormat="1" applyFont="1" applyBorder="1" applyAlignment="1">
      <alignment horizontal="center" vertical="center"/>
    </xf>
    <xf numFmtId="185" fontId="60" fillId="0" borderId="22" xfId="0" applyNumberFormat="1" applyFont="1" applyBorder="1" applyAlignment="1">
      <alignment horizontal="center" vertical="center"/>
    </xf>
    <xf numFmtId="49" fontId="60" fillId="0" borderId="22" xfId="0" applyNumberFormat="1" applyFont="1" applyBorder="1" applyAlignment="1">
      <alignment horizontal="center" vertical="center"/>
    </xf>
    <xf numFmtId="0" fontId="60" fillId="0" borderId="22" xfId="0" applyFont="1" applyBorder="1" applyAlignment="1">
      <alignment horizontal="center" vertical="center"/>
    </xf>
    <xf numFmtId="0" fontId="60" fillId="0" borderId="68" xfId="0" applyFont="1" applyBorder="1" applyAlignment="1">
      <alignment horizontal="center" vertical="center"/>
    </xf>
    <xf numFmtId="0" fontId="60" fillId="0" borderId="15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81" xfId="0" applyFont="1" applyBorder="1" applyAlignment="1">
      <alignment horizontal="center" vertical="center"/>
    </xf>
    <xf numFmtId="0" fontId="9" fillId="0" borderId="8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0" fillId="0" borderId="13" xfId="0" applyFont="1" applyBorder="1" applyAlignment="1">
      <alignment horizontal="center" vertical="center"/>
    </xf>
    <xf numFmtId="185" fontId="9" fillId="0" borderId="13" xfId="0" applyNumberFormat="1" applyFont="1" applyBorder="1">
      <alignment vertical="center"/>
    </xf>
    <xf numFmtId="185" fontId="9" fillId="0" borderId="69" xfId="0" applyNumberFormat="1" applyFont="1" applyBorder="1">
      <alignment vertical="center"/>
    </xf>
    <xf numFmtId="185" fontId="9" fillId="0" borderId="23" xfId="0" applyNumberFormat="1" applyFont="1" applyBorder="1">
      <alignment vertical="center"/>
    </xf>
    <xf numFmtId="185" fontId="9" fillId="0" borderId="68" xfId="0" applyNumberFormat="1" applyFont="1" applyBorder="1">
      <alignment vertical="center"/>
    </xf>
    <xf numFmtId="0" fontId="9" fillId="0" borderId="11" xfId="0" applyFont="1" applyBorder="1" applyAlignment="1">
      <alignment horizontal="center" vertical="center"/>
    </xf>
    <xf numFmtId="0" fontId="9" fillId="0" borderId="82" xfId="0" applyFont="1" applyBorder="1" applyAlignment="1">
      <alignment horizontal="center" vertical="center"/>
    </xf>
    <xf numFmtId="0" fontId="9" fillId="0" borderId="83" xfId="0" applyFont="1" applyBorder="1" applyAlignment="1">
      <alignment horizontal="center" vertical="center"/>
    </xf>
    <xf numFmtId="49" fontId="55" fillId="0" borderId="15" xfId="0" applyNumberFormat="1" applyFont="1" applyBorder="1">
      <alignment vertical="center"/>
    </xf>
    <xf numFmtId="49" fontId="59" fillId="0" borderId="19" xfId="0" applyNumberFormat="1" applyFont="1" applyBorder="1">
      <alignment vertical="center"/>
    </xf>
    <xf numFmtId="49" fontId="58" fillId="0" borderId="19" xfId="0" applyNumberFormat="1" applyFont="1" applyBorder="1">
      <alignment vertical="center"/>
    </xf>
    <xf numFmtId="180" fontId="57" fillId="0" borderId="13" xfId="0" applyNumberFormat="1" applyFont="1" applyBorder="1" applyAlignment="1">
      <alignment horizontal="left" vertical="center"/>
    </xf>
    <xf numFmtId="0" fontId="19" fillId="5" borderId="21" xfId="0" applyFont="1" applyFill="1" applyBorder="1" applyAlignment="1">
      <alignment horizontal="left" vertical="center"/>
    </xf>
    <xf numFmtId="180" fontId="9" fillId="0" borderId="33" xfId="0" applyNumberFormat="1" applyFont="1" applyBorder="1" applyAlignment="1">
      <alignment horizontal="right" vertical="center"/>
    </xf>
    <xf numFmtId="49" fontId="55" fillId="0" borderId="33" xfId="0" applyNumberFormat="1" applyFont="1" applyBorder="1">
      <alignment vertical="center"/>
    </xf>
    <xf numFmtId="0" fontId="60" fillId="0" borderId="33" xfId="0" applyFont="1" applyBorder="1" applyAlignment="1">
      <alignment horizontal="center" vertical="center"/>
    </xf>
    <xf numFmtId="185" fontId="9" fillId="0" borderId="33" xfId="0" applyNumberFormat="1" applyFont="1" applyBorder="1">
      <alignment vertical="center"/>
    </xf>
    <xf numFmtId="0" fontId="9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83" fontId="9" fillId="0" borderId="5" xfId="2" applyNumberFormat="1" applyFont="1" applyFill="1" applyBorder="1" applyAlignment="1">
      <alignment horizontal="left" vertical="center"/>
    </xf>
    <xf numFmtId="49" fontId="38" fillId="8" borderId="46" xfId="0" applyNumberFormat="1" applyFont="1" applyFill="1" applyBorder="1" applyAlignment="1">
      <alignment horizontal="center" vertical="center"/>
    </xf>
    <xf numFmtId="49" fontId="38" fillId="8" borderId="54" xfId="0" applyNumberFormat="1" applyFont="1" applyFill="1" applyBorder="1" applyAlignment="1">
      <alignment horizontal="center" vertical="center"/>
    </xf>
    <xf numFmtId="49" fontId="38" fillId="8" borderId="58" xfId="0" applyNumberFormat="1" applyFont="1" applyFill="1" applyBorder="1" applyAlignment="1">
      <alignment horizontal="center" vertical="center"/>
    </xf>
    <xf numFmtId="0" fontId="64" fillId="0" borderId="3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72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66" xfId="0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49" fontId="38" fillId="0" borderId="46" xfId="0" applyNumberFormat="1" applyFont="1" applyBorder="1" applyAlignment="1">
      <alignment horizontal="center" vertical="center"/>
    </xf>
    <xf numFmtId="49" fontId="38" fillId="0" borderId="54" xfId="0" applyNumberFormat="1" applyFont="1" applyBorder="1" applyAlignment="1">
      <alignment horizontal="center" vertical="center"/>
    </xf>
    <xf numFmtId="49" fontId="38" fillId="0" borderId="58" xfId="0" applyNumberFormat="1" applyFont="1" applyBorder="1" applyAlignment="1">
      <alignment horizontal="center" vertical="center"/>
    </xf>
    <xf numFmtId="49" fontId="43" fillId="0" borderId="0" xfId="0" applyNumberFormat="1" applyFont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49" fontId="55" fillId="0" borderId="38" xfId="0" applyNumberFormat="1" applyFont="1" applyBorder="1" applyAlignment="1">
      <alignment horizontal="center" vertical="center"/>
    </xf>
    <xf numFmtId="49" fontId="55" fillId="0" borderId="10" xfId="0" applyNumberFormat="1" applyFont="1" applyBorder="1" applyAlignment="1">
      <alignment horizontal="center" vertical="center"/>
    </xf>
    <xf numFmtId="49" fontId="55" fillId="0" borderId="24" xfId="0" applyNumberFormat="1" applyFont="1" applyBorder="1" applyAlignment="1">
      <alignment horizontal="center" vertical="center"/>
    </xf>
    <xf numFmtId="0" fontId="61" fillId="0" borderId="46" xfId="0" applyFont="1" applyBorder="1" applyAlignment="1">
      <alignment horizontal="center" vertical="center"/>
    </xf>
    <xf numFmtId="0" fontId="61" fillId="0" borderId="54" xfId="0" applyFont="1" applyBorder="1" applyAlignment="1">
      <alignment horizontal="center" vertical="center"/>
    </xf>
    <xf numFmtId="0" fontId="61" fillId="0" borderId="58" xfId="0" applyFont="1" applyBorder="1" applyAlignment="1">
      <alignment horizontal="center" vertical="center"/>
    </xf>
    <xf numFmtId="49" fontId="55" fillId="0" borderId="37" xfId="0" applyNumberFormat="1" applyFont="1" applyBorder="1" applyAlignment="1">
      <alignment horizontal="center" vertical="center"/>
    </xf>
    <xf numFmtId="49" fontId="55" fillId="0" borderId="15" xfId="0" applyNumberFormat="1" applyFont="1" applyBorder="1" applyAlignment="1">
      <alignment horizontal="center" vertical="center"/>
    </xf>
    <xf numFmtId="49" fontId="55" fillId="0" borderId="9" xfId="0" applyNumberFormat="1" applyFont="1" applyBorder="1" applyAlignment="1">
      <alignment horizontal="center" vertical="center"/>
    </xf>
    <xf numFmtId="0" fontId="34" fillId="0" borderId="33" xfId="0" applyFont="1" applyBorder="1" applyAlignment="1">
      <alignment horizontal="left" vertical="center"/>
    </xf>
    <xf numFmtId="0" fontId="66" fillId="3" borderId="33" xfId="0" applyFont="1" applyFill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19" xfId="0" applyFont="1" applyBorder="1" applyAlignment="1">
      <alignment horizontal="right" vertical="center"/>
    </xf>
    <xf numFmtId="6" fontId="34" fillId="0" borderId="19" xfId="11" applyFont="1" applyBorder="1" applyAlignment="1">
      <alignment horizontal="right" vertical="center"/>
    </xf>
    <xf numFmtId="0" fontId="34" fillId="5" borderId="21" xfId="0" applyFont="1" applyFill="1" applyBorder="1" applyAlignment="1">
      <alignment horizontal="left" vertical="center"/>
    </xf>
    <xf numFmtId="3" fontId="34" fillId="0" borderId="21" xfId="0" applyNumberFormat="1" applyFont="1" applyBorder="1" applyAlignment="1">
      <alignment horizontal="right" vertical="center"/>
    </xf>
    <xf numFmtId="6" fontId="34" fillId="0" borderId="21" xfId="11" applyFont="1" applyBorder="1" applyAlignment="1">
      <alignment horizontal="right" vertical="center" shrinkToFit="1"/>
    </xf>
    <xf numFmtId="0" fontId="34" fillId="5" borderId="14" xfId="0" applyFont="1" applyFill="1" applyBorder="1" applyAlignment="1">
      <alignment horizontal="left" vertical="center"/>
    </xf>
    <xf numFmtId="3" fontId="34" fillId="0" borderId="14" xfId="0" applyNumberFormat="1" applyFont="1" applyBorder="1" applyAlignment="1">
      <alignment horizontal="right" vertical="center"/>
    </xf>
    <xf numFmtId="6" fontId="34" fillId="0" borderId="14" xfId="11" applyFont="1" applyBorder="1" applyAlignment="1">
      <alignment horizontal="right" vertical="center" shrinkToFit="1"/>
    </xf>
    <xf numFmtId="3" fontId="34" fillId="0" borderId="14" xfId="0" applyNumberFormat="1" applyFont="1" applyBorder="1" applyAlignment="1">
      <alignment horizontal="left" vertical="center"/>
    </xf>
    <xf numFmtId="0" fontId="34" fillId="0" borderId="14" xfId="0" applyFont="1" applyBorder="1" applyAlignment="1">
      <alignment horizontal="left" vertical="center"/>
    </xf>
    <xf numFmtId="180" fontId="34" fillId="0" borderId="14" xfId="0" applyNumberFormat="1" applyFont="1" applyBorder="1" applyAlignment="1">
      <alignment horizontal="left" vertical="center" shrinkToFit="1"/>
    </xf>
    <xf numFmtId="6" fontId="34" fillId="0" borderId="19" xfId="11" applyFont="1" applyBorder="1" applyAlignment="1">
      <alignment horizontal="left" vertical="center"/>
    </xf>
    <xf numFmtId="180" fontId="34" fillId="0" borderId="14" xfId="0" applyNumberFormat="1" applyFont="1" applyBorder="1" applyAlignment="1">
      <alignment horizontal="right" vertical="center" shrinkToFit="1"/>
    </xf>
    <xf numFmtId="3" fontId="34" fillId="5" borderId="21" xfId="0" applyNumberFormat="1" applyFont="1" applyFill="1" applyBorder="1" applyAlignment="1">
      <alignment horizontal="right" vertical="center"/>
    </xf>
    <xf numFmtId="6" fontId="34" fillId="5" borderId="21" xfId="11" applyFont="1" applyFill="1" applyBorder="1" applyAlignment="1">
      <alignment horizontal="right" vertical="center" shrinkToFit="1"/>
    </xf>
    <xf numFmtId="180" fontId="34" fillId="5" borderId="21" xfId="0" applyNumberFormat="1" applyFont="1" applyFill="1" applyBorder="1" applyAlignment="1">
      <alignment horizontal="right" vertical="center" shrinkToFit="1"/>
    </xf>
    <xf numFmtId="0" fontId="34" fillId="5" borderId="19" xfId="0" applyFont="1" applyFill="1" applyBorder="1" applyAlignment="1">
      <alignment horizontal="left" vertical="center"/>
    </xf>
    <xf numFmtId="3" fontId="34" fillId="5" borderId="23" xfId="0" applyNumberFormat="1" applyFont="1" applyFill="1" applyBorder="1" applyAlignment="1">
      <alignment horizontal="right" vertical="center"/>
    </xf>
    <xf numFmtId="6" fontId="34" fillId="5" borderId="23" xfId="11" applyFont="1" applyFill="1" applyBorder="1" applyAlignment="1">
      <alignment horizontal="right" vertical="center" shrinkToFit="1"/>
    </xf>
    <xf numFmtId="6" fontId="34" fillId="0" borderId="24" xfId="11" applyFont="1" applyBorder="1" applyAlignment="1">
      <alignment horizontal="right" vertical="center"/>
    </xf>
    <xf numFmtId="0" fontId="34" fillId="0" borderId="21" xfId="0" applyFont="1" applyBorder="1" applyAlignment="1">
      <alignment horizontal="left" vertical="center"/>
    </xf>
    <xf numFmtId="0" fontId="67" fillId="0" borderId="21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49" fontId="34" fillId="0" borderId="33" xfId="0" applyNumberFormat="1" applyFont="1" applyBorder="1" applyAlignment="1">
      <alignment vertical="center"/>
    </xf>
    <xf numFmtId="49" fontId="34" fillId="0" borderId="19" xfId="0" applyNumberFormat="1" applyFont="1" applyBorder="1" applyAlignment="1">
      <alignment vertical="center"/>
    </xf>
    <xf numFmtId="49" fontId="34" fillId="0" borderId="21" xfId="0" applyNumberFormat="1" applyFont="1" applyBorder="1" applyAlignment="1">
      <alignment vertical="center"/>
    </xf>
    <xf numFmtId="49" fontId="67" fillId="0" borderId="21" xfId="0" applyNumberFormat="1" applyFont="1" applyBorder="1" applyAlignment="1">
      <alignment vertical="center"/>
    </xf>
    <xf numFmtId="49" fontId="67" fillId="0" borderId="14" xfId="0" applyNumberFormat="1" applyFont="1" applyBorder="1" applyAlignment="1">
      <alignment vertical="center"/>
    </xf>
    <xf numFmtId="49" fontId="34" fillId="0" borderId="14" xfId="0" applyNumberFormat="1" applyFont="1" applyBorder="1" applyAlignment="1">
      <alignment vertical="center"/>
    </xf>
    <xf numFmtId="49" fontId="34" fillId="5" borderId="21" xfId="0" applyNumberFormat="1" applyFont="1" applyFill="1" applyBorder="1" applyAlignment="1">
      <alignment vertical="center"/>
    </xf>
    <xf numFmtId="49" fontId="34" fillId="0" borderId="23" xfId="0" applyNumberFormat="1" applyFont="1" applyBorder="1" applyAlignment="1">
      <alignment vertical="center"/>
    </xf>
    <xf numFmtId="49" fontId="59" fillId="0" borderId="19" xfId="0" applyNumberFormat="1" applyFont="1" applyBorder="1" applyAlignment="1">
      <alignment horizontal="center" vertical="center"/>
    </xf>
    <xf numFmtId="0" fontId="9" fillId="0" borderId="57" xfId="0" applyFont="1" applyBorder="1">
      <alignment vertical="center"/>
    </xf>
    <xf numFmtId="0" fontId="34" fillId="5" borderId="33" xfId="0" applyFont="1" applyFill="1" applyBorder="1" applyAlignment="1">
      <alignment horizontal="left" vertical="center"/>
    </xf>
    <xf numFmtId="3" fontId="34" fillId="5" borderId="33" xfId="0" applyNumberFormat="1" applyFont="1" applyFill="1" applyBorder="1" applyAlignment="1">
      <alignment horizontal="right" vertical="center"/>
    </xf>
    <xf numFmtId="0" fontId="34" fillId="5" borderId="33" xfId="0" applyFont="1" applyFill="1" applyBorder="1" applyAlignment="1">
      <alignment horizontal="right" vertical="center"/>
    </xf>
    <xf numFmtId="6" fontId="34" fillId="5" borderId="33" xfId="11" applyFont="1" applyFill="1" applyBorder="1" applyAlignment="1">
      <alignment horizontal="right" vertical="center" shrinkToFit="1"/>
    </xf>
    <xf numFmtId="6" fontId="34" fillId="0" borderId="33" xfId="11" applyFont="1" applyBorder="1" applyAlignment="1">
      <alignment horizontal="right" vertical="center"/>
    </xf>
    <xf numFmtId="0" fontId="69" fillId="0" borderId="19" xfId="0" applyFont="1" applyBorder="1" applyAlignment="1">
      <alignment horizontal="left" vertical="center"/>
    </xf>
    <xf numFmtId="0" fontId="75" fillId="5" borderId="21" xfId="0" applyFont="1" applyFill="1" applyBorder="1" applyAlignment="1">
      <alignment horizontal="left" vertical="center"/>
    </xf>
    <xf numFmtId="0" fontId="72" fillId="5" borderId="14" xfId="0" applyFont="1" applyFill="1" applyBorder="1" applyAlignment="1">
      <alignment horizontal="left" vertical="center"/>
    </xf>
    <xf numFmtId="0" fontId="15" fillId="5" borderId="21" xfId="0" applyFont="1" applyFill="1" applyBorder="1" applyAlignment="1">
      <alignment horizontal="left" vertical="center"/>
    </xf>
    <xf numFmtId="0" fontId="15" fillId="5" borderId="23" xfId="0" applyFont="1" applyFill="1" applyBorder="1" applyAlignment="1">
      <alignment horizontal="left" vertical="center"/>
    </xf>
    <xf numFmtId="0" fontId="15" fillId="0" borderId="19" xfId="0" applyFont="1" applyBorder="1" applyAlignment="1">
      <alignment horizontal="right" vertical="center"/>
    </xf>
    <xf numFmtId="0" fontId="15" fillId="0" borderId="21" xfId="0" applyFont="1" applyBorder="1" applyAlignment="1">
      <alignment horizontal="right" vertical="center"/>
    </xf>
    <xf numFmtId="0" fontId="15" fillId="0" borderId="14" xfId="0" applyFont="1" applyBorder="1" applyAlignment="1">
      <alignment horizontal="right" vertical="center"/>
    </xf>
    <xf numFmtId="0" fontId="15" fillId="5" borderId="21" xfId="0" applyFont="1" applyFill="1" applyBorder="1" applyAlignment="1">
      <alignment horizontal="right" vertical="center"/>
    </xf>
    <xf numFmtId="0" fontId="15" fillId="5" borderId="23" xfId="0" applyFont="1" applyFill="1" applyBorder="1" applyAlignment="1">
      <alignment horizontal="right" vertical="center"/>
    </xf>
    <xf numFmtId="0" fontId="15" fillId="0" borderId="33" xfId="0" applyFont="1" applyBorder="1" applyAlignment="1">
      <alignment horizontal="right" vertical="center"/>
    </xf>
    <xf numFmtId="3" fontId="34" fillId="0" borderId="13" xfId="0" applyNumberFormat="1" applyFont="1" applyBorder="1" applyAlignment="1">
      <alignment horizontal="left" vertical="center"/>
    </xf>
    <xf numFmtId="3" fontId="34" fillId="0" borderId="19" xfId="0" applyNumberFormat="1" applyFont="1" applyBorder="1" applyAlignment="1">
      <alignment horizontal="right" vertical="center"/>
    </xf>
    <xf numFmtId="3" fontId="34" fillId="0" borderId="24" xfId="0" applyNumberFormat="1" applyFont="1" applyBorder="1" applyAlignment="1">
      <alignment horizontal="right" vertical="center"/>
    </xf>
    <xf numFmtId="3" fontId="34" fillId="0" borderId="10" xfId="0" applyNumberFormat="1" applyFont="1" applyBorder="1" applyAlignment="1">
      <alignment horizontal="right" vertical="center"/>
    </xf>
    <xf numFmtId="182" fontId="34" fillId="0" borderId="10" xfId="0" applyNumberFormat="1" applyFont="1" applyBorder="1" applyAlignment="1">
      <alignment horizontal="center" vertical="center"/>
    </xf>
    <xf numFmtId="182" fontId="34" fillId="0" borderId="33" xfId="0" applyNumberFormat="1" applyFont="1" applyBorder="1" applyAlignment="1">
      <alignment horizontal="right" vertical="center"/>
    </xf>
    <xf numFmtId="184" fontId="34" fillId="0" borderId="13" xfId="2" applyNumberFormat="1" applyFont="1" applyFill="1" applyBorder="1" applyAlignment="1">
      <alignment horizontal="right" vertical="center"/>
    </xf>
    <xf numFmtId="1" fontId="34" fillId="0" borderId="13" xfId="0" applyNumberFormat="1" applyFont="1" applyBorder="1" applyAlignment="1">
      <alignment horizontal="center" vertical="center"/>
    </xf>
    <xf numFmtId="176" fontId="34" fillId="0" borderId="21" xfId="2" applyFont="1" applyFill="1" applyBorder="1" applyAlignment="1">
      <alignment horizontal="right" vertical="center"/>
    </xf>
    <xf numFmtId="1" fontId="34" fillId="0" borderId="21" xfId="0" applyNumberFormat="1" applyFont="1" applyBorder="1" applyAlignment="1">
      <alignment horizontal="center" vertical="center"/>
    </xf>
    <xf numFmtId="176" fontId="34" fillId="0" borderId="23" xfId="2" applyFont="1" applyFill="1" applyBorder="1" applyAlignment="1">
      <alignment horizontal="right" vertical="center"/>
    </xf>
    <xf numFmtId="1" fontId="34" fillId="0" borderId="23" xfId="0" applyNumberFormat="1" applyFont="1" applyBorder="1" applyAlignment="1">
      <alignment horizontal="center" vertical="center"/>
    </xf>
    <xf numFmtId="49" fontId="55" fillId="0" borderId="19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vertical="center"/>
    </xf>
    <xf numFmtId="0" fontId="9" fillId="0" borderId="33" xfId="0" applyFont="1" applyBorder="1" applyAlignment="1">
      <alignment vertical="center"/>
    </xf>
    <xf numFmtId="0" fontId="9" fillId="0" borderId="19" xfId="0" applyFont="1" applyBorder="1" applyAlignment="1">
      <alignment horizontal="center" vertical="center"/>
    </xf>
    <xf numFmtId="49" fontId="61" fillId="0" borderId="67" xfId="0" applyNumberFormat="1" applyFont="1" applyBorder="1" applyAlignment="1">
      <alignment horizontal="center" vertical="center"/>
    </xf>
    <xf numFmtId="49" fontId="61" fillId="0" borderId="56" xfId="0" applyNumberFormat="1" applyFont="1" applyBorder="1" applyAlignment="1">
      <alignment horizontal="center" vertical="center"/>
    </xf>
    <xf numFmtId="49" fontId="61" fillId="0" borderId="65" xfId="0" applyNumberFormat="1" applyFont="1" applyBorder="1" applyAlignment="1">
      <alignment horizontal="center" vertical="center"/>
    </xf>
    <xf numFmtId="0" fontId="23" fillId="0" borderId="81" xfId="0" applyFont="1" applyBorder="1">
      <alignment vertical="center"/>
    </xf>
    <xf numFmtId="0" fontId="32" fillId="0" borderId="43" xfId="0" applyFont="1" applyBorder="1" applyAlignment="1">
      <alignment horizontal="center" vertical="center"/>
    </xf>
  </cellXfs>
  <cellStyles count="12">
    <cellStyle name="ハイパーリンク" xfId="1" builtinId="8"/>
    <cellStyle name="桁区切り" xfId="2" builtinId="6"/>
    <cellStyle name="桁区切り 2" xfId="3" xr:uid="{00000000-0005-0000-0000-000003000000}"/>
    <cellStyle name="通貨" xfId="11" builtinId="7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  <cellStyle name="標準 4 2 2" xfId="8" xr:uid="{C85A73DC-9311-4595-A34D-F27B3BFB3CEC}"/>
    <cellStyle name="標準 4 2 2 2" xfId="9" xr:uid="{61A41DB0-3BE9-4094-A5C1-CF005F445984}"/>
    <cellStyle name="標準 5" xfId="10" xr:uid="{2B9876AE-5E37-473F-9835-F480CAEC33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64770</xdr:colOff>
      <xdr:row>39</xdr:row>
      <xdr:rowOff>112395</xdr:rowOff>
    </xdr:from>
    <xdr:to>
      <xdr:col>11</xdr:col>
      <xdr:colOff>645795</xdr:colOff>
      <xdr:row>47</xdr:row>
      <xdr:rowOff>150495</xdr:rowOff>
    </xdr:to>
    <xdr:pic>
      <xdr:nvPicPr>
        <xdr:cNvPr id="43320" name="Picture 1">
          <a:extLst>
            <a:ext uri="{FF2B5EF4-FFF2-40B4-BE49-F238E27FC236}">
              <a16:creationId xmlns:a16="http://schemas.microsoft.com/office/drawing/2014/main" id="{00000000-0008-0000-0200-000038A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65245" y="6913245"/>
          <a:ext cx="3429000" cy="1400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about:blank" TargetMode="External"/><Relationship Id="rId1" Type="http://schemas.openxmlformats.org/officeDocument/2006/relationships/externalLinkPath" Target="about:blank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9544\Downloads\SY-4T601005-VT-DD-01%20(4).xlsx" TargetMode="External"/><Relationship Id="rId1" Type="http://schemas.openxmlformats.org/officeDocument/2006/relationships/externalLinkPath" Target="file:///C:\Users\19544\Downloads\SY-4T601005-VT-DD-01%20(4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8542\AppData\Local\Microsoft\Windows\INetCache\Content.Outlook\B2GLTWBL\0324WISM\&#12505;&#12488;&#12490;&#12512;&#36664;&#20986;&#20837;\NEW%20&#12505;&#12488;&#12490;&#12512;INVO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縫製仕様書1-1"/>
      <sheetName val="縫製仕様書-1-2"/>
      <sheetName val="布帛"/>
      <sheetName val="縫製仕様書-2-1"/>
      <sheetName val="縫製仕様書-2-2 "/>
      <sheetName val="ネーム・品質"/>
      <sheetName val="shipper master"/>
      <sheetName val="invoice"/>
      <sheetName val="case mark"/>
      <sheetName val="NARITA"/>
      <sheetName val="LABEL"/>
      <sheetName val="inst"/>
      <sheetName val="goods master"/>
      <sheetName val="UNDER VALUE(SHUNYA)"/>
      <sheetName val="CC(Shunya)) (2)"/>
      <sheetName val="CC(Shunya))"/>
    </sheetNames>
    <sheetDataSet>
      <sheetData sheetId="0"/>
      <sheetData sheetId="1">
        <row r="5">
          <cell r="C5" t="str">
            <v>COTDJK</v>
          </cell>
        </row>
      </sheetData>
      <sheetData sheetId="2"/>
      <sheetData sheetId="3"/>
      <sheetData sheetId="4"/>
      <sheetData sheetId="5"/>
      <sheetData sheetId="6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サンプル製品カタログ"/>
      <sheetName val="LABEL"/>
      <sheetName val="LABEL②"/>
    </sheetNames>
    <sheetDataSet>
      <sheetData sheetId="0"/>
      <sheetData sheetId="1">
        <row r="24">
          <cell r="B24" t="str">
            <v>FABRIC &amp; PARTS FOR WEAR &amp; SAMPLE CLOTHES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per master"/>
      <sheetName val="inst"/>
      <sheetName val="goods master"/>
      <sheetName val="invoice"/>
      <sheetName val="case mark"/>
      <sheetName val="UNDER VALUE(SHUNYA)"/>
      <sheetName val="CC(Shunya)) (2)"/>
      <sheetName val="CC(Shunya))"/>
    </sheetNames>
    <sheetDataSet>
      <sheetData sheetId="0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tabSelected="1" topLeftCell="A7" workbookViewId="0">
      <selection activeCell="F38" sqref="F38"/>
    </sheetView>
  </sheetViews>
  <sheetFormatPr defaultColWidth="9" defaultRowHeight="12.5"/>
  <cols>
    <col min="1" max="1" width="3.90625" style="70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70">
        <v>1</v>
      </c>
      <c r="B1" s="70" t="s">
        <v>2</v>
      </c>
      <c r="C1" s="2" t="s">
        <v>0</v>
      </c>
    </row>
    <row r="2" spans="1:3" s="71" customFormat="1">
      <c r="A2" s="70">
        <f>A1+1</f>
        <v>2</v>
      </c>
      <c r="B2" s="7" t="s">
        <v>6</v>
      </c>
      <c r="C2" s="7" t="s">
        <v>91</v>
      </c>
    </row>
    <row r="3" spans="1:3">
      <c r="A3" s="70">
        <f>A2+1</f>
        <v>3</v>
      </c>
      <c r="B3" s="7" t="s">
        <v>4</v>
      </c>
      <c r="C3" s="2" t="s">
        <v>92</v>
      </c>
    </row>
    <row r="4" spans="1:3">
      <c r="A4" s="70">
        <f t="shared" ref="A4:A68" si="0">A3+1</f>
        <v>4</v>
      </c>
      <c r="B4" s="7" t="s">
        <v>3</v>
      </c>
      <c r="C4" s="2" t="s">
        <v>93</v>
      </c>
    </row>
    <row r="5" spans="1:3" s="71" customFormat="1">
      <c r="A5" s="70">
        <f t="shared" si="0"/>
        <v>5</v>
      </c>
      <c r="B5" s="7" t="s">
        <v>5</v>
      </c>
      <c r="C5" s="7" t="s">
        <v>94</v>
      </c>
    </row>
    <row r="6" spans="1:3" s="71" customFormat="1">
      <c r="A6" s="70">
        <f t="shared" si="0"/>
        <v>6</v>
      </c>
      <c r="B6" s="7" t="s">
        <v>7</v>
      </c>
      <c r="C6" s="3"/>
    </row>
    <row r="7" spans="1:3" s="71" customFormat="1">
      <c r="A7" s="70">
        <f t="shared" si="0"/>
        <v>7</v>
      </c>
      <c r="B7" s="7" t="s">
        <v>8</v>
      </c>
      <c r="C7" s="7"/>
    </row>
    <row r="8" spans="1:3" s="71" customFormat="1">
      <c r="A8" s="70">
        <f t="shared" si="0"/>
        <v>8</v>
      </c>
      <c r="B8" s="7" t="s">
        <v>30</v>
      </c>
      <c r="C8" s="7"/>
    </row>
    <row r="9" spans="1:3" s="71" customFormat="1">
      <c r="A9" s="70">
        <f t="shared" si="0"/>
        <v>9</v>
      </c>
      <c r="B9" s="72" t="s">
        <v>106</v>
      </c>
      <c r="C9" s="7" t="s">
        <v>140</v>
      </c>
    </row>
    <row r="10" spans="1:3" s="71" customFormat="1">
      <c r="A10" s="70">
        <f t="shared" si="0"/>
        <v>10</v>
      </c>
      <c r="B10" s="72" t="s">
        <v>107</v>
      </c>
      <c r="C10" s="7" t="s">
        <v>139</v>
      </c>
    </row>
    <row r="11" spans="1:3" s="71" customFormat="1">
      <c r="A11" s="70">
        <f t="shared" si="0"/>
        <v>11</v>
      </c>
      <c r="B11" s="72" t="s">
        <v>108</v>
      </c>
      <c r="C11" s="2" t="s">
        <v>141</v>
      </c>
    </row>
    <row r="12" spans="1:3" s="71" customFormat="1">
      <c r="A12" s="70">
        <f t="shared" si="0"/>
        <v>12</v>
      </c>
      <c r="B12" s="72" t="s">
        <v>109</v>
      </c>
      <c r="C12" s="2" t="s">
        <v>142</v>
      </c>
    </row>
    <row r="13" spans="1:3" s="71" customFormat="1">
      <c r="A13" s="70">
        <f t="shared" si="0"/>
        <v>13</v>
      </c>
      <c r="B13" s="72" t="s">
        <v>33</v>
      </c>
      <c r="C13" s="3" t="s">
        <v>147</v>
      </c>
    </row>
    <row r="14" spans="1:3" s="71" customFormat="1" ht="13.5">
      <c r="A14" s="70">
        <f t="shared" si="0"/>
        <v>14</v>
      </c>
      <c r="B14" s="72" t="s">
        <v>34</v>
      </c>
      <c r="C14" s="78"/>
    </row>
    <row r="15" spans="1:3" s="71" customFormat="1">
      <c r="A15" s="70">
        <f t="shared" si="0"/>
        <v>15</v>
      </c>
      <c r="B15" s="7" t="s">
        <v>35</v>
      </c>
      <c r="C15" s="7" t="s">
        <v>95</v>
      </c>
    </row>
    <row r="16" spans="1:3" s="71" customFormat="1">
      <c r="A16" s="70">
        <f t="shared" si="0"/>
        <v>16</v>
      </c>
      <c r="B16" s="7" t="s">
        <v>36</v>
      </c>
      <c r="C16" s="2"/>
    </row>
    <row r="17" spans="1:3" s="71" customFormat="1">
      <c r="A17" s="70">
        <f t="shared" si="0"/>
        <v>17</v>
      </c>
      <c r="B17" s="7" t="s">
        <v>37</v>
      </c>
      <c r="C17" s="2"/>
    </row>
    <row r="18" spans="1:3" s="71" customFormat="1">
      <c r="A18" s="70">
        <f t="shared" si="0"/>
        <v>18</v>
      </c>
      <c r="B18" s="7" t="s">
        <v>38</v>
      </c>
      <c r="C18" s="3"/>
    </row>
    <row r="19" spans="1:3" s="71" customFormat="1">
      <c r="A19" s="70">
        <f t="shared" si="0"/>
        <v>19</v>
      </c>
      <c r="B19" s="7" t="s">
        <v>39</v>
      </c>
      <c r="C19" s="7"/>
    </row>
    <row r="20" spans="1:3" s="71" customFormat="1">
      <c r="A20" s="70">
        <f t="shared" si="0"/>
        <v>20</v>
      </c>
      <c r="B20" s="7" t="s">
        <v>40</v>
      </c>
      <c r="C20" s="7"/>
    </row>
    <row r="21" spans="1:3" s="71" customFormat="1">
      <c r="A21" s="70">
        <f t="shared" si="0"/>
        <v>21</v>
      </c>
      <c r="B21" s="7" t="s">
        <v>34</v>
      </c>
      <c r="C21" s="76" t="s">
        <v>116</v>
      </c>
    </row>
    <row r="22" spans="1:3" s="71" customFormat="1">
      <c r="A22" s="70">
        <f t="shared" si="0"/>
        <v>22</v>
      </c>
      <c r="B22" s="7" t="s">
        <v>41</v>
      </c>
      <c r="C22" s="76"/>
    </row>
    <row r="23" spans="1:3" s="71" customFormat="1">
      <c r="A23" s="70">
        <f t="shared" si="0"/>
        <v>23</v>
      </c>
      <c r="B23" s="7" t="s">
        <v>42</v>
      </c>
      <c r="C23" s="76"/>
    </row>
    <row r="24" spans="1:3" s="71" customFormat="1">
      <c r="A24" s="70">
        <f t="shared" si="0"/>
        <v>24</v>
      </c>
      <c r="B24" s="7" t="s">
        <v>43</v>
      </c>
      <c r="C24" s="7" t="s">
        <v>110</v>
      </c>
    </row>
    <row r="25" spans="1:3" s="71" customFormat="1">
      <c r="A25" s="70">
        <f t="shared" si="0"/>
        <v>25</v>
      </c>
      <c r="B25" s="72" t="s">
        <v>44</v>
      </c>
      <c r="C25" s="169" t="s">
        <v>267</v>
      </c>
    </row>
    <row r="26" spans="1:3">
      <c r="A26" s="70">
        <f t="shared" si="0"/>
        <v>26</v>
      </c>
      <c r="B26" s="72" t="s">
        <v>45</v>
      </c>
      <c r="C26" s="170" t="s">
        <v>265</v>
      </c>
    </row>
    <row r="27" spans="1:3">
      <c r="A27" s="70">
        <f t="shared" si="0"/>
        <v>27</v>
      </c>
      <c r="B27" s="72" t="s">
        <v>46</v>
      </c>
      <c r="C27" s="170" t="str">
        <f>C26</f>
        <v xml:space="preserve"> SY-5600605-VT-DD-01</v>
      </c>
    </row>
    <row r="28" spans="1:3">
      <c r="A28" s="70">
        <f t="shared" si="0"/>
        <v>28</v>
      </c>
      <c r="B28" s="72" t="s">
        <v>47</v>
      </c>
      <c r="C28" s="77"/>
    </row>
    <row r="29" spans="1:3">
      <c r="A29" s="70">
        <f t="shared" si="0"/>
        <v>29</v>
      </c>
      <c r="B29" s="72" t="s">
        <v>48</v>
      </c>
      <c r="C29" s="77"/>
    </row>
    <row r="30" spans="1:3">
      <c r="A30" s="70">
        <f t="shared" si="0"/>
        <v>30</v>
      </c>
      <c r="B30" s="72" t="s">
        <v>49</v>
      </c>
    </row>
    <row r="31" spans="1:3">
      <c r="A31" s="70">
        <f t="shared" si="0"/>
        <v>31</v>
      </c>
      <c r="B31" s="7" t="s">
        <v>50</v>
      </c>
    </row>
    <row r="32" spans="1:3">
      <c r="A32" s="70">
        <f t="shared" si="0"/>
        <v>32</v>
      </c>
      <c r="B32" s="7" t="s">
        <v>51</v>
      </c>
      <c r="C32" s="2" t="s">
        <v>52</v>
      </c>
    </row>
    <row r="33" spans="1:3">
      <c r="A33" s="70">
        <f t="shared" si="0"/>
        <v>33</v>
      </c>
      <c r="B33" s="72" t="s">
        <v>53</v>
      </c>
      <c r="C33" s="2" t="s">
        <v>96</v>
      </c>
    </row>
    <row r="34" spans="1:3">
      <c r="A34" s="70">
        <f t="shared" si="0"/>
        <v>34</v>
      </c>
      <c r="B34" s="7" t="s">
        <v>54</v>
      </c>
    </row>
    <row r="35" spans="1:3">
      <c r="A35" s="70">
        <f t="shared" si="0"/>
        <v>35</v>
      </c>
      <c r="B35" s="7" t="s">
        <v>55</v>
      </c>
      <c r="C35" s="2" t="s">
        <v>90</v>
      </c>
    </row>
    <row r="36" spans="1:3">
      <c r="A36" s="70">
        <f t="shared" si="0"/>
        <v>36</v>
      </c>
      <c r="B36" s="72" t="s">
        <v>56</v>
      </c>
      <c r="C36" s="81" t="s">
        <v>146</v>
      </c>
    </row>
    <row r="37" spans="1:3">
      <c r="A37" s="70">
        <f t="shared" si="0"/>
        <v>37</v>
      </c>
      <c r="B37" s="72" t="s">
        <v>57</v>
      </c>
    </row>
    <row r="38" spans="1:3">
      <c r="A38" s="70">
        <f t="shared" si="0"/>
        <v>38</v>
      </c>
      <c r="B38" s="7" t="s">
        <v>58</v>
      </c>
      <c r="C38" s="77" t="s">
        <v>59</v>
      </c>
    </row>
    <row r="39" spans="1:3">
      <c r="A39" s="70">
        <f t="shared" si="0"/>
        <v>39</v>
      </c>
      <c r="B39" s="7" t="s">
        <v>60</v>
      </c>
      <c r="C39" s="77"/>
    </row>
    <row r="40" spans="1:3">
      <c r="A40" s="70">
        <f t="shared" si="0"/>
        <v>40</v>
      </c>
      <c r="B40" s="7" t="s">
        <v>61</v>
      </c>
    </row>
    <row r="41" spans="1:3">
      <c r="A41" s="70">
        <f t="shared" si="0"/>
        <v>41</v>
      </c>
      <c r="B41" s="7" t="s">
        <v>62</v>
      </c>
    </row>
    <row r="42" spans="1:3">
      <c r="A42" s="70">
        <f t="shared" si="0"/>
        <v>42</v>
      </c>
      <c r="B42" s="7" t="s">
        <v>63</v>
      </c>
    </row>
    <row r="43" spans="1:3">
      <c r="A43" s="70">
        <f t="shared" si="0"/>
        <v>43</v>
      </c>
      <c r="B43" s="72" t="s">
        <v>65</v>
      </c>
      <c r="C43" s="2" t="s">
        <v>162</v>
      </c>
    </row>
    <row r="44" spans="1:3">
      <c r="A44" s="70">
        <f t="shared" si="0"/>
        <v>44</v>
      </c>
      <c r="B44" s="7" t="s">
        <v>66</v>
      </c>
      <c r="C44" s="79"/>
    </row>
    <row r="45" spans="1:3">
      <c r="A45" s="70">
        <f t="shared" si="0"/>
        <v>45</v>
      </c>
      <c r="B45" s="72" t="s">
        <v>67</v>
      </c>
      <c r="C45" s="172">
        <f>invoice!L33</f>
        <v>1543338</v>
      </c>
    </row>
    <row r="46" spans="1:3">
      <c r="A46" s="70">
        <f t="shared" si="0"/>
        <v>46</v>
      </c>
      <c r="B46" s="7" t="s">
        <v>68</v>
      </c>
      <c r="C46" s="80"/>
    </row>
    <row r="47" spans="1:3">
      <c r="A47" s="70">
        <f t="shared" si="0"/>
        <v>47</v>
      </c>
      <c r="B47" s="7" t="s">
        <v>68</v>
      </c>
      <c r="C47" s="79"/>
    </row>
    <row r="48" spans="1:3">
      <c r="A48" s="70">
        <f t="shared" si="0"/>
        <v>48</v>
      </c>
      <c r="B48" s="7" t="s">
        <v>55</v>
      </c>
      <c r="C48" s="81" t="s">
        <v>90</v>
      </c>
    </row>
    <row r="49" spans="1:3">
      <c r="A49" s="70">
        <f t="shared" si="0"/>
        <v>49</v>
      </c>
      <c r="B49" s="72" t="s">
        <v>69</v>
      </c>
      <c r="C49" s="2" t="str">
        <f>C27</f>
        <v xml:space="preserve"> SY-5600605-VT-DD-01</v>
      </c>
    </row>
    <row r="50" spans="1:3">
      <c r="A50" s="70">
        <f t="shared" si="0"/>
        <v>50</v>
      </c>
      <c r="B50" s="72" t="s">
        <v>70</v>
      </c>
      <c r="C50" s="7" t="s">
        <v>140</v>
      </c>
    </row>
    <row r="51" spans="1:3">
      <c r="A51" s="70">
        <f t="shared" si="0"/>
        <v>51</v>
      </c>
      <c r="B51" s="72" t="s">
        <v>71</v>
      </c>
      <c r="C51" s="7" t="s">
        <v>268</v>
      </c>
    </row>
    <row r="52" spans="1:3">
      <c r="A52" s="70">
        <f t="shared" si="0"/>
        <v>52</v>
      </c>
      <c r="B52" s="72" t="s">
        <v>72</v>
      </c>
      <c r="C52" s="2" t="s">
        <v>141</v>
      </c>
    </row>
    <row r="53" spans="1:3">
      <c r="A53" s="70">
        <f t="shared" si="0"/>
        <v>53</v>
      </c>
      <c r="B53" s="72" t="s">
        <v>73</v>
      </c>
      <c r="C53" s="2" t="s">
        <v>142</v>
      </c>
    </row>
    <row r="54" spans="1:3">
      <c r="A54" s="70">
        <f t="shared" si="0"/>
        <v>54</v>
      </c>
      <c r="B54" s="72" t="s">
        <v>74</v>
      </c>
      <c r="C54" s="3" t="s">
        <v>143</v>
      </c>
    </row>
    <row r="55" spans="1:3">
      <c r="A55" s="70">
        <f t="shared" si="0"/>
        <v>55</v>
      </c>
      <c r="B55" s="243" t="s">
        <v>75</v>
      </c>
      <c r="C55" s="170" t="s">
        <v>266</v>
      </c>
    </row>
    <row r="56" spans="1:3">
      <c r="A56" s="70">
        <f t="shared" si="0"/>
        <v>56</v>
      </c>
      <c r="B56" s="7" t="s">
        <v>76</v>
      </c>
      <c r="C56" s="7"/>
    </row>
    <row r="57" spans="1:3">
      <c r="A57" s="70">
        <f t="shared" si="0"/>
        <v>57</v>
      </c>
      <c r="B57" s="7"/>
    </row>
    <row r="58" spans="1:3">
      <c r="A58" s="70">
        <f t="shared" si="0"/>
        <v>58</v>
      </c>
      <c r="B58" s="7"/>
    </row>
    <row r="59" spans="1:3">
      <c r="A59" s="70">
        <f t="shared" si="0"/>
        <v>59</v>
      </c>
      <c r="B59" s="7"/>
    </row>
    <row r="60" spans="1:3">
      <c r="A60" s="70">
        <f t="shared" si="0"/>
        <v>60</v>
      </c>
      <c r="B60" s="7" t="s">
        <v>77</v>
      </c>
      <c r="C60" s="2" t="s">
        <v>78</v>
      </c>
    </row>
    <row r="61" spans="1:3">
      <c r="A61" s="70">
        <f t="shared" si="0"/>
        <v>61</v>
      </c>
      <c r="B61" s="7" t="s">
        <v>79</v>
      </c>
    </row>
    <row r="62" spans="1:3">
      <c r="A62" s="70">
        <f t="shared" si="0"/>
        <v>62</v>
      </c>
      <c r="B62" s="7"/>
    </row>
    <row r="63" spans="1:3">
      <c r="A63" s="70">
        <f t="shared" si="0"/>
        <v>63</v>
      </c>
      <c r="B63" s="92" t="s">
        <v>111</v>
      </c>
      <c r="C63" s="90" t="s">
        <v>113</v>
      </c>
    </row>
    <row r="64" spans="1:3">
      <c r="A64" s="70">
        <f t="shared" si="0"/>
        <v>64</v>
      </c>
      <c r="B64" s="7"/>
      <c r="C64" s="90" t="s">
        <v>114</v>
      </c>
    </row>
    <row r="65" spans="1:3">
      <c r="A65" s="70">
        <f t="shared" si="0"/>
        <v>65</v>
      </c>
      <c r="B65" s="7"/>
    </row>
    <row r="66" spans="1:3">
      <c r="A66" s="70">
        <f t="shared" si="0"/>
        <v>66</v>
      </c>
      <c r="B66" s="7"/>
    </row>
    <row r="67" spans="1:3">
      <c r="A67" s="70">
        <f t="shared" si="0"/>
        <v>67</v>
      </c>
      <c r="B67" s="7" t="s">
        <v>80</v>
      </c>
      <c r="C67" s="68"/>
    </row>
    <row r="68" spans="1:3">
      <c r="A68" s="70">
        <f t="shared" si="0"/>
        <v>68</v>
      </c>
      <c r="B68" s="72" t="s">
        <v>81</v>
      </c>
      <c r="C68" s="2" t="s">
        <v>105</v>
      </c>
    </row>
    <row r="69" spans="1:3">
      <c r="A69" s="70">
        <f t="shared" ref="A69:A86" si="1">A68+1</f>
        <v>69</v>
      </c>
      <c r="B69" s="7" t="s">
        <v>82</v>
      </c>
      <c r="C69" s="2" t="s">
        <v>103</v>
      </c>
    </row>
    <row r="70" spans="1:3">
      <c r="A70" s="70">
        <f t="shared" si="1"/>
        <v>70</v>
      </c>
      <c r="B70" s="7" t="s">
        <v>83</v>
      </c>
    </row>
    <row r="71" spans="1:3">
      <c r="A71" s="70">
        <f t="shared" si="1"/>
        <v>71</v>
      </c>
      <c r="B71" s="7"/>
    </row>
    <row r="72" spans="1:3">
      <c r="A72" s="70">
        <f t="shared" si="1"/>
        <v>72</v>
      </c>
      <c r="B72" s="7"/>
    </row>
    <row r="73" spans="1:3">
      <c r="A73" s="70">
        <f t="shared" si="1"/>
        <v>73</v>
      </c>
      <c r="B73" s="7"/>
    </row>
    <row r="74" spans="1:3">
      <c r="A74" s="70">
        <f t="shared" si="1"/>
        <v>74</v>
      </c>
      <c r="B74" s="7"/>
    </row>
    <row r="75" spans="1:3">
      <c r="A75" s="70">
        <f t="shared" si="1"/>
        <v>75</v>
      </c>
      <c r="B75" s="7" t="s">
        <v>84</v>
      </c>
      <c r="C75" s="2" t="s">
        <v>101</v>
      </c>
    </row>
    <row r="76" spans="1:3">
      <c r="A76" s="70">
        <f t="shared" si="1"/>
        <v>76</v>
      </c>
      <c r="B76" s="7" t="s">
        <v>85</v>
      </c>
      <c r="C76" s="7"/>
    </row>
    <row r="77" spans="1:3">
      <c r="A77" s="70">
        <f t="shared" si="1"/>
        <v>77</v>
      </c>
      <c r="B77" s="7"/>
    </row>
    <row r="78" spans="1:3">
      <c r="A78" s="70">
        <f t="shared" si="1"/>
        <v>78</v>
      </c>
      <c r="B78" s="7" t="s">
        <v>86</v>
      </c>
      <c r="C78" s="2" t="s">
        <v>104</v>
      </c>
    </row>
    <row r="79" spans="1:3">
      <c r="A79" s="70">
        <f t="shared" si="1"/>
        <v>79</v>
      </c>
      <c r="B79" s="7" t="s">
        <v>87</v>
      </c>
      <c r="C79" s="2" t="s">
        <v>104</v>
      </c>
    </row>
    <row r="80" spans="1:3">
      <c r="A80" s="70">
        <f t="shared" si="1"/>
        <v>80</v>
      </c>
      <c r="B80" s="7"/>
    </row>
    <row r="81" spans="1:3" ht="16.5">
      <c r="A81" s="70">
        <f t="shared" si="1"/>
        <v>81</v>
      </c>
      <c r="B81" s="7" t="s">
        <v>88</v>
      </c>
      <c r="C81" s="419" t="s">
        <v>161</v>
      </c>
    </row>
    <row r="82" spans="1:3">
      <c r="A82" s="70">
        <f t="shared" si="1"/>
        <v>82</v>
      </c>
      <c r="B82" s="7"/>
    </row>
    <row r="83" spans="1:3">
      <c r="A83" s="70">
        <f t="shared" si="1"/>
        <v>83</v>
      </c>
      <c r="B83" s="7" t="s">
        <v>89</v>
      </c>
      <c r="C83" s="2" t="s">
        <v>100</v>
      </c>
    </row>
    <row r="84" spans="1:3">
      <c r="A84" s="70">
        <f t="shared" si="1"/>
        <v>84</v>
      </c>
      <c r="B84" s="7"/>
    </row>
    <row r="85" spans="1:3">
      <c r="A85" s="70">
        <f t="shared" si="1"/>
        <v>85</v>
      </c>
      <c r="B85" s="7"/>
    </row>
    <row r="86" spans="1:3">
      <c r="A86" s="70">
        <f t="shared" si="1"/>
        <v>86</v>
      </c>
      <c r="B86" s="7"/>
    </row>
    <row r="87" spans="1:3">
      <c r="B87" s="7"/>
    </row>
    <row r="88" spans="1:3">
      <c r="B88" s="7"/>
    </row>
    <row r="89" spans="1:3">
      <c r="B89" s="7"/>
    </row>
    <row r="90" spans="1:3">
      <c r="B90" s="7"/>
    </row>
    <row r="91" spans="1:3">
      <c r="B91" s="7"/>
    </row>
    <row r="92" spans="1:3">
      <c r="B92" s="7"/>
    </row>
    <row r="93" spans="1:3">
      <c r="B93" s="7"/>
    </row>
    <row r="95" spans="1:3">
      <c r="B95" s="7"/>
    </row>
    <row r="96" spans="1:3">
      <c r="B96" s="7"/>
    </row>
    <row r="97" spans="2:2">
      <c r="B97" s="7"/>
    </row>
    <row r="98" spans="2:2">
      <c r="B98" s="7"/>
    </row>
    <row r="99" spans="2:2">
      <c r="B99" s="7"/>
    </row>
    <row r="100" spans="2:2">
      <c r="B100" s="7"/>
    </row>
    <row r="101" spans="2:2">
      <c r="B101" s="7"/>
    </row>
    <row r="102" spans="2:2">
      <c r="B102" s="7"/>
    </row>
    <row r="103" spans="2:2">
      <c r="B103" s="7"/>
    </row>
    <row r="104" spans="2:2">
      <c r="B104" s="7"/>
    </row>
    <row r="105" spans="2:2">
      <c r="B105" s="7"/>
    </row>
    <row r="106" spans="2:2">
      <c r="B106" s="7"/>
    </row>
    <row r="107" spans="2:2">
      <c r="B107" s="7"/>
    </row>
    <row r="108" spans="2:2">
      <c r="B108" s="7"/>
    </row>
    <row r="109" spans="2:2">
      <c r="B109" s="7"/>
    </row>
    <row r="110" spans="2:2">
      <c r="B110" s="7"/>
    </row>
    <row r="111" spans="2:2">
      <c r="B111" s="7"/>
    </row>
    <row r="112" spans="2:2">
      <c r="B112" s="7"/>
    </row>
    <row r="113" spans="2:2">
      <c r="B113" s="7"/>
    </row>
    <row r="114" spans="2:2">
      <c r="B114" s="7"/>
    </row>
    <row r="115" spans="2:2">
      <c r="B115" s="7"/>
    </row>
    <row r="116" spans="2:2">
      <c r="B116" s="7"/>
    </row>
    <row r="117" spans="2:2">
      <c r="B117" s="7"/>
    </row>
    <row r="118" spans="2:2">
      <c r="B118" s="7"/>
    </row>
    <row r="119" spans="2:2">
      <c r="B119" s="7"/>
    </row>
    <row r="120" spans="2:2">
      <c r="B120" s="7"/>
    </row>
    <row r="121" spans="2:2">
      <c r="B121" s="7"/>
    </row>
    <row r="122" spans="2:2">
      <c r="B122" s="7"/>
    </row>
    <row r="123" spans="2:2">
      <c r="B123" s="7"/>
    </row>
    <row r="124" spans="2:2">
      <c r="B124" s="7"/>
    </row>
    <row r="125" spans="2:2">
      <c r="B125" s="7"/>
    </row>
    <row r="126" spans="2:2">
      <c r="B126" s="7"/>
    </row>
    <row r="127" spans="2:2">
      <c r="B127" s="7"/>
    </row>
    <row r="128" spans="2:2">
      <c r="B128" s="7"/>
    </row>
    <row r="129" spans="2:2">
      <c r="B129" s="7"/>
    </row>
    <row r="130" spans="2:2">
      <c r="B130" s="7"/>
    </row>
    <row r="131" spans="2:2">
      <c r="B131" s="7"/>
    </row>
    <row r="132" spans="2:2">
      <c r="B132" s="7"/>
    </row>
    <row r="133" spans="2:2">
      <c r="B133" s="7"/>
    </row>
    <row r="134" spans="2:2">
      <c r="B134" s="7"/>
    </row>
    <row r="135" spans="2:2">
      <c r="B135" s="7"/>
    </row>
    <row r="136" spans="2:2">
      <c r="B136" s="7"/>
    </row>
    <row r="137" spans="2:2">
      <c r="B137" s="7"/>
    </row>
    <row r="138" spans="2:2">
      <c r="B138" s="7"/>
    </row>
    <row r="139" spans="2:2">
      <c r="B139" s="7"/>
    </row>
    <row r="140" spans="2:2">
      <c r="B140" s="7"/>
    </row>
    <row r="141" spans="2:2">
      <c r="B141" s="7"/>
    </row>
    <row r="142" spans="2:2">
      <c r="B142" s="7"/>
    </row>
    <row r="143" spans="2:2">
      <c r="B143" s="7"/>
    </row>
    <row r="144" spans="2:2">
      <c r="B144" s="7"/>
    </row>
    <row r="145" spans="2:2">
      <c r="B145" s="7"/>
    </row>
    <row r="146" spans="2:2">
      <c r="B146" s="7"/>
    </row>
    <row r="147" spans="2:2">
      <c r="B147" s="7"/>
    </row>
    <row r="148" spans="2:2">
      <c r="B148" s="7"/>
    </row>
    <row r="149" spans="2:2">
      <c r="B149" s="7"/>
    </row>
  </sheetData>
  <phoneticPr fontId="11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B262-9AFB-43A6-A06F-6800618A41C1}">
  <dimension ref="A1:O34"/>
  <sheetViews>
    <sheetView zoomScale="50" zoomScaleNormal="50" workbookViewId="0">
      <selection activeCell="D33" sqref="D33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82" customFormat="1" ht="32.25" customHeight="1">
      <c r="H1" s="85"/>
    </row>
    <row r="2" spans="1:15" s="82" customFormat="1" ht="32.5">
      <c r="A2" s="82" t="str">
        <f>'shipper master'!C49</f>
        <v xml:space="preserve"> SY-5600605-VT-DD-01</v>
      </c>
      <c r="H2" s="85"/>
      <c r="I2" s="82" t="str">
        <f>'shipper master'!C49</f>
        <v xml:space="preserve"> SY-5600605-VT-DD-01</v>
      </c>
    </row>
    <row r="3" spans="1:15" s="82" customFormat="1" ht="32.5">
      <c r="A3" s="82" t="str">
        <f>'[1]shipper master'!C50</f>
        <v xml:space="preserve">VIVAN GARMENTS VIET NAM </v>
      </c>
      <c r="H3" s="85"/>
      <c r="I3" s="82" t="str">
        <f>'[1]shipper master'!C50</f>
        <v xml:space="preserve">VIVAN GARMENTS VIET NAM </v>
      </c>
    </row>
    <row r="4" spans="1:15" s="82" customFormat="1" ht="32.5">
      <c r="A4" s="82" t="str">
        <f>'[1]shipper master'!C51</f>
        <v xml:space="preserve"> COMPANY LIMITED</v>
      </c>
      <c r="H4" s="85"/>
      <c r="I4" s="82" t="str">
        <f>'[1]shipper master'!C51</f>
        <v xml:space="preserve"> COMPANY LIMITED</v>
      </c>
    </row>
    <row r="5" spans="1:15" s="82" customFormat="1" ht="32.5">
      <c r="A5" s="82" t="str">
        <f>'[1]shipper master'!C52</f>
        <v xml:space="preserve"> HOCHIMINH-CITY, VIETNAM</v>
      </c>
      <c r="H5" s="85"/>
      <c r="I5" s="82" t="str">
        <f>'[1]shipper master'!C52</f>
        <v xml:space="preserve"> HOCHIMINH-CITY, VIETNAM</v>
      </c>
    </row>
    <row r="6" spans="1:15" s="82" customFormat="1" ht="32.5">
      <c r="A6" s="82" t="s">
        <v>99</v>
      </c>
      <c r="C6" s="82">
        <v>1</v>
      </c>
      <c r="D6" s="84"/>
      <c r="H6" s="85"/>
      <c r="I6" s="82" t="s">
        <v>99</v>
      </c>
      <c r="K6" s="82">
        <v>2</v>
      </c>
    </row>
    <row r="7" spans="1:15" s="82" customFormat="1" ht="32.25" customHeight="1">
      <c r="A7" s="82" t="str">
        <f>'[1]shipper master'!C54</f>
        <v xml:space="preserve"> MADE IN JAPAN</v>
      </c>
      <c r="H7" s="85"/>
      <c r="I7" s="82" t="str">
        <f>'[1]shipper master'!C54</f>
        <v xml:space="preserve"> MADE IN JAPAN</v>
      </c>
    </row>
    <row r="8" spans="1:15" s="82" customFormat="1" ht="19.5" customHeight="1">
      <c r="H8" s="85"/>
    </row>
    <row r="9" spans="1:15" s="82" customFormat="1" ht="19.5" customHeight="1">
      <c r="H9" s="85"/>
    </row>
    <row r="10" spans="1:15" s="82" customFormat="1" ht="19.5" customHeight="1">
      <c r="A10" s="86"/>
      <c r="B10" s="86"/>
      <c r="C10" s="86"/>
      <c r="D10" s="86"/>
      <c r="E10" s="86"/>
      <c r="F10" s="86"/>
      <c r="G10" s="86"/>
      <c r="H10" s="87"/>
      <c r="I10" s="86"/>
      <c r="J10" s="86"/>
      <c r="K10" s="86"/>
      <c r="L10" s="86"/>
      <c r="M10" s="86"/>
      <c r="N10" s="86"/>
      <c r="O10" s="86"/>
    </row>
    <row r="11" spans="1:15" s="82" customFormat="1" ht="19.5" customHeight="1">
      <c r="H11" s="85"/>
    </row>
    <row r="12" spans="1:15" s="82" customFormat="1" ht="19.5" customHeight="1">
      <c r="H12" s="85"/>
    </row>
    <row r="13" spans="1:15" s="82" customFormat="1" ht="32.5">
      <c r="A13" s="82" t="str">
        <f>'shipper master'!C49</f>
        <v xml:space="preserve"> SY-5600605-VT-DD-01</v>
      </c>
      <c r="H13" s="85"/>
      <c r="I13" s="82" t="str">
        <f>'shipper master'!C49</f>
        <v xml:space="preserve"> SY-5600605-VT-DD-01</v>
      </c>
    </row>
    <row r="14" spans="1:15" s="82" customFormat="1" ht="32.5">
      <c r="A14" s="82" t="str">
        <f>'[1]shipper master'!C50</f>
        <v xml:space="preserve">VIVAN GARMENTS VIET NAM </v>
      </c>
      <c r="H14" s="85"/>
      <c r="I14" s="82" t="str">
        <f>'[1]shipper master'!C50</f>
        <v xml:space="preserve">VIVAN GARMENTS VIET NAM </v>
      </c>
    </row>
    <row r="15" spans="1:15" s="82" customFormat="1" ht="32.5">
      <c r="A15" s="82" t="str">
        <f>'[1]shipper master'!C51</f>
        <v xml:space="preserve"> COMPANY LIMITED</v>
      </c>
      <c r="H15" s="85"/>
      <c r="I15" s="82" t="str">
        <f>'[1]shipper master'!C51</f>
        <v xml:space="preserve"> COMPANY LIMITED</v>
      </c>
    </row>
    <row r="16" spans="1:15" s="82" customFormat="1" ht="32.5">
      <c r="A16" s="82" t="str">
        <f>'[1]shipper master'!C52</f>
        <v xml:space="preserve"> HOCHIMINH-CITY, VIETNAM</v>
      </c>
      <c r="H16" s="85"/>
      <c r="I16" s="82" t="str">
        <f>'[1]shipper master'!C52</f>
        <v xml:space="preserve"> HOCHIMINH-CITY, VIETNAM</v>
      </c>
    </row>
    <row r="17" spans="1:11" s="82" customFormat="1" ht="32.5">
      <c r="A17" s="82" t="s">
        <v>99</v>
      </c>
      <c r="C17" s="82">
        <v>3</v>
      </c>
      <c r="H17" s="85"/>
      <c r="I17" s="82" t="s">
        <v>99</v>
      </c>
      <c r="K17" s="82">
        <v>4</v>
      </c>
    </row>
    <row r="18" spans="1:11" s="82" customFormat="1" ht="32.5">
      <c r="A18" s="82" t="str">
        <f>'[1]shipper master'!C54</f>
        <v xml:space="preserve"> MADE IN JAPAN</v>
      </c>
      <c r="H18" s="85"/>
      <c r="I18" s="82" t="str">
        <f>'[1]shipper master'!C54</f>
        <v xml:space="preserve"> MADE IN JAPAN</v>
      </c>
    </row>
    <row r="19" spans="1:11" s="83" customFormat="1" ht="34">
      <c r="A19" s="82"/>
    </row>
    <row r="20" spans="1:11" s="83" customFormat="1" ht="34"/>
    <row r="21" spans="1:11" s="83" customFormat="1" ht="34"/>
    <row r="22" spans="1:11" s="83" customFormat="1" ht="34"/>
    <row r="23" spans="1:11" s="83" customFormat="1" ht="34"/>
    <row r="24" spans="1:11" s="83" customFormat="1" ht="34"/>
    <row r="25" spans="1:11" s="83" customFormat="1" ht="34"/>
    <row r="26" spans="1:11" s="82" customFormat="1" ht="32.5"/>
    <row r="27" spans="1:11" s="82" customFormat="1" ht="32.5"/>
    <row r="28" spans="1:11" s="82" customFormat="1" ht="32.5"/>
    <row r="29" spans="1:11" s="82" customFormat="1" ht="32.5"/>
    <row r="30" spans="1:11" s="82" customFormat="1" ht="32.5"/>
    <row r="31" spans="1:11" s="82" customFormat="1" ht="32.5"/>
    <row r="32" spans="1:11" s="82" customFormat="1" ht="32.5"/>
    <row r="33" s="82" customFormat="1" ht="32.5"/>
    <row r="34" s="82" customFormat="1" ht="32.5"/>
  </sheetData>
  <phoneticPr fontId="11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L94"/>
  <sheetViews>
    <sheetView showZeros="0" view="pageBreakPreview" topLeftCell="A19" zoomScale="110" zoomScaleNormal="115" zoomScaleSheetLayoutView="110" workbookViewId="0">
      <selection activeCell="M20" sqref="M20"/>
    </sheetView>
  </sheetViews>
  <sheetFormatPr defaultColWidth="9" defaultRowHeight="16"/>
  <cols>
    <col min="1" max="1" width="8.6328125" style="4" customWidth="1"/>
    <col min="2" max="2" width="11.6328125" style="4" customWidth="1"/>
    <col min="3" max="3" width="23.36328125" style="4" customWidth="1"/>
    <col min="4" max="4" width="6.08984375" style="4" customWidth="1"/>
    <col min="5" max="6" width="3.08984375" style="4" customWidth="1"/>
    <col min="7" max="7" width="2.90625" style="4" customWidth="1"/>
    <col min="8" max="8" width="3.08984375" style="4" hidden="1" customWidth="1"/>
    <col min="9" max="9" width="8.453125" style="4" customWidth="1"/>
    <col min="10" max="10" width="9.90625" style="4" customWidth="1"/>
    <col min="11" max="11" width="13" style="4" customWidth="1"/>
    <col min="12" max="12" width="13.90625" style="4" customWidth="1"/>
    <col min="13" max="16384" width="9" style="4"/>
  </cols>
  <sheetData>
    <row r="1" spans="1:12" s="62" customFormat="1" ht="32.25" customHeight="1">
      <c r="A1" s="458" t="s">
        <v>29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</row>
    <row r="2" spans="1:12" ht="23.25" customHeight="1">
      <c r="A2" s="88" t="str">
        <f>'shipper master'!C2</f>
        <v xml:space="preserve"> SHUNYA CO., LTD.</v>
      </c>
      <c r="B2" s="6"/>
      <c r="C2" s="6"/>
      <c r="D2" s="6"/>
      <c r="K2" s="5"/>
    </row>
    <row r="3" spans="1:12" ht="15.75" customHeight="1">
      <c r="A3" s="3" t="str">
        <f>'shipper master'!C3</f>
        <v xml:space="preserve"> KENSHIN BLDG., 1F, 1-22-10 DOUGENZAKA,</v>
      </c>
      <c r="B3" s="6"/>
      <c r="C3" s="6"/>
      <c r="D3" s="6"/>
      <c r="K3" s="5"/>
    </row>
    <row r="4" spans="1:12" ht="18" customHeight="1">
      <c r="A4" s="3" t="str">
        <f>'shipper master'!C4</f>
        <v xml:space="preserve"> SHIBUYA-KU 150-0043</v>
      </c>
      <c r="B4" s="6"/>
      <c r="C4" s="6"/>
      <c r="D4" s="6"/>
      <c r="E4" s="28"/>
      <c r="F4" s="28"/>
      <c r="G4" s="28"/>
      <c r="H4" s="28"/>
      <c r="I4" s="28"/>
      <c r="K4" s="3">
        <f>'shipper master'!C6</f>
        <v>0</v>
      </c>
    </row>
    <row r="5" spans="1:12" ht="16.5" thickBot="1">
      <c r="A5" s="29" t="str">
        <f>'shipper master'!C5</f>
        <v xml:space="preserve"> TEL : +81(0)3-5459-1177</v>
      </c>
      <c r="B5" s="6"/>
      <c r="C5" s="6"/>
      <c r="K5" s="3">
        <f>'shipper master'!C7</f>
        <v>0</v>
      </c>
      <c r="L5" s="12"/>
    </row>
    <row r="6" spans="1:12" ht="13.4" customHeight="1">
      <c r="A6" s="30" t="s">
        <v>102</v>
      </c>
      <c r="B6" s="31"/>
      <c r="C6" s="31"/>
      <c r="D6" s="31"/>
      <c r="E6" s="32" t="s">
        <v>10</v>
      </c>
      <c r="F6" s="33"/>
      <c r="G6" s="33"/>
      <c r="H6" s="33"/>
      <c r="I6" s="31"/>
      <c r="J6" s="31"/>
      <c r="K6" s="32" t="s">
        <v>19</v>
      </c>
      <c r="L6" s="5"/>
    </row>
    <row r="7" spans="1:12" ht="13.4" customHeight="1">
      <c r="A7" s="3" t="str">
        <f>'shipper master'!C9</f>
        <v>VIVAN GARMENTS VIET NAM COMPANY LIMITED</v>
      </c>
      <c r="B7" s="5"/>
      <c r="C7" s="5"/>
      <c r="D7" s="5"/>
      <c r="E7" s="10" t="str">
        <f>'shipper master'!C26</f>
        <v xml:space="preserve"> SY-5600605-VT-DD-01</v>
      </c>
      <c r="F7" s="8"/>
      <c r="G7" s="8"/>
      <c r="H7" s="8"/>
      <c r="I7" s="8"/>
      <c r="J7" s="8"/>
      <c r="K7" s="34"/>
      <c r="L7" s="5"/>
    </row>
    <row r="8" spans="1:12" ht="13.4" customHeight="1">
      <c r="A8" s="3" t="str">
        <f>'shipper master'!C10</f>
        <v>No.10 , D17 Street , Sai Gon South Residential Area</v>
      </c>
      <c r="B8" s="5"/>
      <c r="C8" s="5"/>
      <c r="D8" s="5"/>
      <c r="E8" s="35" t="s">
        <v>11</v>
      </c>
      <c r="F8" s="30"/>
      <c r="G8" s="30"/>
      <c r="H8" s="30"/>
      <c r="I8" s="5"/>
      <c r="J8" s="5"/>
      <c r="K8" s="36" t="str">
        <f>'shipper master'!C49</f>
        <v xml:space="preserve"> SY-5600605-VT-DD-01</v>
      </c>
      <c r="L8" s="5"/>
    </row>
    <row r="9" spans="1:12" ht="13.4" customHeight="1">
      <c r="A9" s="3" t="str">
        <f>'shipper master'!C11</f>
        <v>Hamlet 3 , Long Hau Commune , Can Giuoc District,</v>
      </c>
      <c r="B9" s="5"/>
      <c r="C9" s="5"/>
      <c r="D9" s="5"/>
      <c r="E9" s="63" t="str">
        <f>'shipper master'!C25</f>
        <v>June, 07 2024</v>
      </c>
      <c r="F9" s="64"/>
      <c r="G9" s="64"/>
      <c r="H9" s="64"/>
      <c r="I9" s="64"/>
      <c r="J9" s="65"/>
      <c r="K9" s="36" t="str">
        <f>'[1]shipper master'!C50</f>
        <v xml:space="preserve">VIVAN GARMENTS VIET NAM </v>
      </c>
      <c r="L9" s="5"/>
    </row>
    <row r="10" spans="1:12" ht="13.4" customHeight="1">
      <c r="A10" s="3" t="str">
        <f>'shipper master'!C12</f>
        <v xml:space="preserve"> Long An Province , VietNam</v>
      </c>
      <c r="B10" s="5"/>
      <c r="C10" s="5"/>
      <c r="D10" s="5"/>
      <c r="E10" s="35" t="s">
        <v>12</v>
      </c>
      <c r="F10" s="30"/>
      <c r="G10" s="30"/>
      <c r="H10" s="30"/>
      <c r="I10" s="5"/>
      <c r="J10" s="5"/>
      <c r="K10" s="36" t="str">
        <f>'[1]shipper master'!C51</f>
        <v xml:space="preserve"> COMPANY LIMITED</v>
      </c>
      <c r="L10" s="5"/>
    </row>
    <row r="11" spans="1:12" ht="13.4" customHeight="1">
      <c r="A11" s="8" t="str">
        <f>'shipper master'!C13</f>
        <v xml:space="preserve"> TEL : ( 084 ) 097 22 00 798  ATTN : MR. TUAN</v>
      </c>
      <c r="B11" s="5"/>
      <c r="C11" s="5"/>
      <c r="D11" s="38"/>
      <c r="E11" s="459" t="str">
        <f>'shipper master'!C27</f>
        <v xml:space="preserve"> SY-5600605-VT-DD-01</v>
      </c>
      <c r="F11" s="460"/>
      <c r="G11" s="460"/>
      <c r="H11" s="460"/>
      <c r="I11" s="460"/>
      <c r="J11" s="461"/>
      <c r="K11" s="36" t="str">
        <f>'[1]shipper master'!C52</f>
        <v xml:space="preserve"> HOCHIMINH-CITY, VIETNAM</v>
      </c>
      <c r="L11" s="5"/>
    </row>
    <row r="12" spans="1:12" ht="13.4" customHeight="1">
      <c r="A12" s="30" t="s">
        <v>9</v>
      </c>
      <c r="B12" s="15"/>
      <c r="C12" s="15"/>
      <c r="D12" s="5"/>
      <c r="E12" s="35" t="s">
        <v>31</v>
      </c>
      <c r="F12" s="30"/>
      <c r="G12" s="30"/>
      <c r="H12" s="30"/>
      <c r="I12" s="5"/>
      <c r="J12" s="5"/>
      <c r="K12" s="154" t="s">
        <v>263</v>
      </c>
      <c r="L12" s="5"/>
    </row>
    <row r="13" spans="1:12" ht="13.4" customHeight="1">
      <c r="A13" s="3" t="str">
        <f>'shipper master'!C15</f>
        <v xml:space="preserve"> - SAME AS BUYER -</v>
      </c>
      <c r="B13" s="5"/>
      <c r="C13" s="5"/>
      <c r="D13" s="5"/>
      <c r="E13" s="459">
        <f>'shipper master'!C30</f>
        <v>0</v>
      </c>
      <c r="F13" s="460"/>
      <c r="G13" s="460"/>
      <c r="H13" s="460"/>
      <c r="I13" s="460"/>
      <c r="J13" s="461"/>
      <c r="K13" s="36" t="s">
        <v>145</v>
      </c>
      <c r="L13" s="5"/>
    </row>
    <row r="14" spans="1:12" ht="13.4" customHeight="1">
      <c r="A14" s="3">
        <f>'shipper master'!C16</f>
        <v>0</v>
      </c>
      <c r="B14" s="5"/>
      <c r="C14" s="5"/>
      <c r="D14" s="5"/>
      <c r="E14" s="74" t="s">
        <v>32</v>
      </c>
      <c r="F14" s="3"/>
      <c r="G14" s="3"/>
      <c r="H14" s="3"/>
      <c r="I14" s="3"/>
      <c r="J14" s="73"/>
      <c r="K14" s="36"/>
      <c r="L14" s="5"/>
    </row>
    <row r="15" spans="1:12" ht="13.4" customHeight="1">
      <c r="A15" s="3">
        <f>'shipper master'!C17</f>
        <v>0</v>
      </c>
      <c r="B15" s="5"/>
      <c r="C15" s="5"/>
      <c r="D15" s="5"/>
      <c r="E15" s="459">
        <f>'shipper master'!C29</f>
        <v>0</v>
      </c>
      <c r="F15" s="460"/>
      <c r="G15" s="460"/>
      <c r="H15" s="460"/>
      <c r="I15" s="460"/>
      <c r="J15" s="461"/>
      <c r="K15" s="34"/>
      <c r="L15" s="5"/>
    </row>
    <row r="16" spans="1:12" ht="13.4" customHeight="1">
      <c r="A16" s="3">
        <f>'shipper master'!C18</f>
        <v>0</v>
      </c>
      <c r="B16" s="5"/>
      <c r="C16" s="5"/>
      <c r="D16" s="5"/>
      <c r="E16" s="35" t="s">
        <v>13</v>
      </c>
      <c r="F16" s="30"/>
      <c r="G16" s="30"/>
      <c r="H16" s="30"/>
      <c r="I16" s="5"/>
      <c r="J16" s="5"/>
      <c r="K16" s="34"/>
      <c r="L16" s="5"/>
    </row>
    <row r="17" spans="1:12" ht="13.4" customHeight="1">
      <c r="A17" s="8">
        <f>'shipper master'!C19</f>
        <v>0</v>
      </c>
      <c r="B17" s="37"/>
      <c r="C17" s="37"/>
      <c r="D17" s="37"/>
      <c r="E17" s="462"/>
      <c r="F17" s="463"/>
      <c r="G17" s="463"/>
      <c r="H17" s="463"/>
      <c r="I17" s="463"/>
      <c r="J17" s="464"/>
      <c r="K17" s="34"/>
      <c r="L17" s="5"/>
    </row>
    <row r="18" spans="1:12" ht="13.25" customHeight="1">
      <c r="A18" s="30" t="s">
        <v>14</v>
      </c>
      <c r="B18" s="5"/>
      <c r="C18" s="5"/>
      <c r="D18" s="5"/>
      <c r="E18" s="5"/>
      <c r="F18" s="5"/>
      <c r="G18" s="5"/>
      <c r="H18" s="5"/>
      <c r="I18" s="5"/>
      <c r="J18" s="5"/>
      <c r="K18" s="34"/>
      <c r="L18" s="5"/>
    </row>
    <row r="19" spans="1:12" ht="13.25" customHeight="1">
      <c r="A19" s="8" t="str">
        <f>'shipper master'!C21</f>
        <v xml:space="preserve"> NO COMMERCIAL</v>
      </c>
      <c r="B19" s="37"/>
      <c r="C19" s="37"/>
      <c r="D19" s="37"/>
      <c r="E19" s="37"/>
      <c r="F19" s="37"/>
      <c r="G19" s="37"/>
      <c r="H19" s="37"/>
      <c r="I19" s="37"/>
      <c r="J19" s="37"/>
      <c r="K19" s="66"/>
      <c r="L19" s="37"/>
    </row>
    <row r="20" spans="1:12" ht="13.25" customHeight="1">
      <c r="A20" s="30" t="s">
        <v>15</v>
      </c>
      <c r="B20" s="5"/>
      <c r="C20" s="39" t="s">
        <v>16</v>
      </c>
      <c r="D20" s="40"/>
      <c r="E20" s="30" t="s">
        <v>17</v>
      </c>
      <c r="F20" s="30"/>
      <c r="G20" s="30"/>
      <c r="H20" s="30"/>
      <c r="I20" s="41" t="s">
        <v>1</v>
      </c>
      <c r="J20" s="42"/>
      <c r="K20" s="30" t="s">
        <v>18</v>
      </c>
      <c r="L20" s="5"/>
    </row>
    <row r="21" spans="1:12" s="1" customFormat="1" ht="13.25" customHeight="1" thickBot="1">
      <c r="A21" s="3" t="str">
        <f>'shipper master'!C24</f>
        <v xml:space="preserve"> AIRCRAFT</v>
      </c>
      <c r="B21" s="29"/>
      <c r="C21" s="43" t="str">
        <f>'shipper master'!C32</f>
        <v xml:space="preserve"> TOKYO, JAPAN</v>
      </c>
      <c r="D21" s="7"/>
      <c r="E21" s="7"/>
      <c r="F21" s="7" t="str">
        <f>'shipper master'!C33</f>
        <v xml:space="preserve"> HOCHIMINH-CITY, VIETNAM</v>
      </c>
      <c r="G21" s="3"/>
      <c r="H21" s="3"/>
      <c r="I21" s="29"/>
      <c r="J21" s="29"/>
      <c r="K21" s="7"/>
      <c r="L21" s="29"/>
    </row>
    <row r="22" spans="1:12" s="55" customFormat="1" ht="16.25" customHeight="1">
      <c r="A22" s="52" t="s">
        <v>23</v>
      </c>
      <c r="B22" s="52" t="s">
        <v>25</v>
      </c>
      <c r="C22" s="53" t="s">
        <v>26</v>
      </c>
      <c r="D22" s="52" t="s">
        <v>28</v>
      </c>
      <c r="E22" s="53"/>
      <c r="F22" s="53"/>
      <c r="G22" s="53" t="s">
        <v>24</v>
      </c>
      <c r="H22" s="53"/>
      <c r="I22" s="53"/>
      <c r="J22" s="59" t="s">
        <v>20</v>
      </c>
      <c r="K22" s="52" t="s">
        <v>22</v>
      </c>
      <c r="L22" s="54" t="s">
        <v>21</v>
      </c>
    </row>
    <row r="23" spans="1:12" ht="13.4" customHeight="1">
      <c r="A23" s="13"/>
      <c r="B23" s="14"/>
      <c r="C23" s="5"/>
      <c r="D23" s="14"/>
      <c r="E23" s="5"/>
      <c r="F23" s="5"/>
      <c r="G23" s="5"/>
      <c r="H23" s="5"/>
      <c r="I23" s="5"/>
      <c r="J23" s="60"/>
      <c r="K23" s="5"/>
      <c r="L23" s="34"/>
    </row>
    <row r="24" spans="1:12" s="1" customFormat="1" ht="13.4" customHeight="1">
      <c r="A24" s="16"/>
      <c r="B24" s="17" t="str">
        <f>'shipper master'!C36</f>
        <v>FABRIC &amp; PARTS FOR WEAR &amp; SAMPLE CLOTHES</v>
      </c>
      <c r="C24" s="7"/>
      <c r="D24" s="7"/>
      <c r="E24" s="7"/>
      <c r="F24" s="7"/>
      <c r="G24" s="7"/>
      <c r="H24" s="7"/>
      <c r="I24" s="7"/>
      <c r="J24" s="61"/>
      <c r="K24" s="75" t="str">
        <f>'shipper master'!C48</f>
        <v>F.O.B. TOKYO IN YEN</v>
      </c>
      <c r="L24" s="44"/>
    </row>
    <row r="25" spans="1:12" s="1" customFormat="1" ht="13.4" customHeight="1">
      <c r="A25" s="16"/>
      <c r="B25" s="17"/>
      <c r="C25" s="7"/>
      <c r="D25" s="7"/>
      <c r="E25" s="7"/>
      <c r="F25" s="7"/>
      <c r="G25" s="7"/>
      <c r="H25" s="7"/>
      <c r="I25" s="7"/>
      <c r="J25" s="61"/>
      <c r="K25" s="158"/>
      <c r="L25" s="44"/>
    </row>
    <row r="26" spans="1:12" s="1" customFormat="1" ht="13.4" customHeight="1">
      <c r="A26" s="18"/>
      <c r="B26" s="17">
        <f>'shipper master'!C37</f>
        <v>0</v>
      </c>
      <c r="C26" s="7"/>
      <c r="D26" s="7"/>
      <c r="E26" s="3"/>
      <c r="F26" s="3"/>
      <c r="G26" s="3"/>
      <c r="H26" s="3"/>
      <c r="I26" s="3"/>
      <c r="J26" s="89"/>
      <c r="K26" s="45"/>
      <c r="L26" s="44"/>
    </row>
    <row r="27" spans="1:12" s="1" customFormat="1" ht="13.4" customHeight="1">
      <c r="A27" s="26"/>
      <c r="B27" s="7"/>
      <c r="C27" s="3"/>
      <c r="D27" s="7"/>
      <c r="E27" s="7"/>
      <c r="F27" s="7"/>
      <c r="G27" s="7"/>
      <c r="H27" s="7"/>
      <c r="I27" s="7"/>
      <c r="J27" s="159">
        <f>'NARITA '!E35</f>
        <v>36</v>
      </c>
      <c r="K27" s="235" t="str">
        <f>'NARITA '!F35</f>
        <v>M.</v>
      </c>
      <c r="L27" s="161">
        <f>'NARITA '!H35</f>
        <v>138600</v>
      </c>
    </row>
    <row r="28" spans="1:12" s="1" customFormat="1" ht="13.4" customHeight="1">
      <c r="A28" s="19"/>
      <c r="B28" s="131" t="str">
        <f>'shipper master'!C38</f>
        <v>- DETAILS AS PER ATTACHED SHEET -</v>
      </c>
      <c r="C28" s="3"/>
      <c r="D28" s="7"/>
      <c r="E28" s="3"/>
      <c r="F28" s="3"/>
      <c r="G28" s="3"/>
      <c r="H28" s="3"/>
      <c r="I28" s="3"/>
      <c r="J28" s="159">
        <f>'NARITA (2)'!E71</f>
        <v>999</v>
      </c>
      <c r="K28" s="235" t="str">
        <f>'NARITA (2)'!F71</f>
        <v>M.</v>
      </c>
      <c r="L28" s="161">
        <f>'NARITA (2)'!H71</f>
        <v>229320</v>
      </c>
    </row>
    <row r="29" spans="1:12" s="1" customFormat="1" ht="13.4" customHeight="1">
      <c r="A29" s="19"/>
      <c r="B29" s="131"/>
      <c r="C29" s="3"/>
      <c r="D29" s="7"/>
      <c r="E29" s="3"/>
      <c r="F29" s="3"/>
      <c r="G29" s="3"/>
      <c r="H29" s="3"/>
      <c r="I29" s="3"/>
      <c r="J29" s="162">
        <f>'NARITA '!E36</f>
        <v>936</v>
      </c>
      <c r="K29" s="235" t="str">
        <f>'NARITA '!F36</f>
        <v>PCS.</v>
      </c>
      <c r="L29" s="171">
        <f>'NARITA '!H36</f>
        <v>992500</v>
      </c>
    </row>
    <row r="30" spans="1:12" s="1" customFormat="1" ht="13.4" customHeight="1">
      <c r="A30" s="19"/>
      <c r="B30" s="131"/>
      <c r="C30" s="3"/>
      <c r="D30" s="7"/>
      <c r="E30" s="3"/>
      <c r="F30" s="3"/>
      <c r="G30" s="3"/>
      <c r="H30" s="3"/>
      <c r="I30" s="3"/>
      <c r="J30" s="162">
        <f>'NARITA (2)'!E72</f>
        <v>1695</v>
      </c>
      <c r="K30" s="235" t="str">
        <f>'NARITA (2)'!F72</f>
        <v>PCS.</v>
      </c>
      <c r="L30" s="171">
        <f>'NARITA (2)'!H72</f>
        <v>178318</v>
      </c>
    </row>
    <row r="31" spans="1:12" s="1" customFormat="1" ht="13.4" customHeight="1">
      <c r="A31" s="19"/>
      <c r="B31" s="131"/>
      <c r="C31" s="3"/>
      <c r="D31" s="7"/>
      <c r="E31" s="3"/>
      <c r="F31" s="3"/>
      <c r="G31" s="3"/>
      <c r="H31" s="3"/>
      <c r="I31" s="3"/>
      <c r="J31" s="162">
        <f>'NARITA '!E37</f>
        <v>0</v>
      </c>
      <c r="K31" s="160" t="s">
        <v>144</v>
      </c>
      <c r="L31" s="171">
        <f>'NARITA '!H37</f>
        <v>0</v>
      </c>
    </row>
    <row r="32" spans="1:12" s="1" customFormat="1" ht="13.4" customHeight="1">
      <c r="A32" s="27"/>
      <c r="B32" s="9"/>
      <c r="C32" s="8"/>
      <c r="D32" s="9"/>
      <c r="E32" s="8"/>
      <c r="F32" s="8"/>
      <c r="G32" s="8"/>
      <c r="H32" s="8"/>
      <c r="I32" s="8"/>
      <c r="J32" s="162">
        <f>'NARITA (2)'!E73</f>
        <v>130</v>
      </c>
      <c r="K32" s="244" t="s">
        <v>144</v>
      </c>
      <c r="L32" s="163">
        <f>'NARITA (2)'!H73</f>
        <v>4600</v>
      </c>
    </row>
    <row r="33" spans="1:12" s="1" customFormat="1" ht="17.25" customHeight="1" thickBot="1">
      <c r="A33" s="20"/>
      <c r="B33" s="21" t="s">
        <v>27</v>
      </c>
      <c r="C33" s="218">
        <f>J28+J27</f>
        <v>1035</v>
      </c>
      <c r="D33" s="218" t="s">
        <v>117</v>
      </c>
      <c r="E33" s="465">
        <f>J29+J30</f>
        <v>2631</v>
      </c>
      <c r="F33" s="465"/>
      <c r="G33" s="465"/>
      <c r="H33" s="164">
        <f>H29</f>
        <v>0</v>
      </c>
      <c r="I33" s="165" t="s">
        <v>64</v>
      </c>
      <c r="J33" s="164">
        <f>J31+J32</f>
        <v>130</v>
      </c>
      <c r="K33" s="165" t="s">
        <v>144</v>
      </c>
      <c r="L33" s="166">
        <f>SUM(L27:L32)</f>
        <v>1543338</v>
      </c>
    </row>
    <row r="34" spans="1:12" s="1" customFormat="1" ht="13.4" customHeight="1" thickTop="1">
      <c r="A34" s="22"/>
      <c r="B34" s="23"/>
      <c r="C34" s="3"/>
      <c r="D34" s="57"/>
      <c r="E34" s="3"/>
      <c r="F34" s="57"/>
      <c r="G34" s="3"/>
      <c r="H34" s="3"/>
      <c r="I34" s="3"/>
      <c r="J34" s="19"/>
      <c r="K34" s="46"/>
      <c r="L34" s="22"/>
    </row>
    <row r="35" spans="1:12" s="1" customFormat="1" ht="13.4" customHeight="1">
      <c r="A35" s="3"/>
      <c r="B35" s="7"/>
      <c r="C35" s="3"/>
      <c r="D35" s="3"/>
      <c r="E35" s="3"/>
      <c r="F35" s="3"/>
      <c r="G35" s="3"/>
      <c r="H35" s="3"/>
      <c r="I35" s="3"/>
      <c r="J35" s="58"/>
      <c r="K35" s="46"/>
      <c r="L35" s="56"/>
    </row>
    <row r="36" spans="1:12" s="1" customFormat="1" ht="13.4" customHeight="1">
      <c r="A36" s="3" t="str">
        <f>'shipper master'!C63</f>
        <v>" THESE GOODS WILL BE RETURN TO JAPAN</v>
      </c>
      <c r="B36" s="91"/>
      <c r="C36" s="91"/>
      <c r="D36" s="91"/>
      <c r="E36" s="91"/>
      <c r="F36" s="3"/>
      <c r="G36" s="3"/>
      <c r="H36" s="3" t="s">
        <v>97</v>
      </c>
      <c r="I36" s="3"/>
      <c r="J36" s="58" t="s">
        <v>112</v>
      </c>
      <c r="K36" s="46"/>
      <c r="L36" s="3"/>
    </row>
    <row r="37" spans="1:12" s="1" customFormat="1" ht="13.4" customHeight="1">
      <c r="A37" s="457" t="str">
        <f>'shipper master'!C64</f>
        <v xml:space="preserve">  AFTER MANUFACTURED AT VIET NAM "</v>
      </c>
      <c r="B37" s="457"/>
      <c r="C37" s="457"/>
      <c r="D37" s="7"/>
      <c r="E37" s="3"/>
      <c r="F37" s="3"/>
      <c r="G37" s="3"/>
      <c r="H37" s="3" t="s">
        <v>98</v>
      </c>
      <c r="I37" s="3"/>
      <c r="J37" s="58" t="s">
        <v>115</v>
      </c>
      <c r="K37" s="46"/>
      <c r="L37" s="56"/>
    </row>
    <row r="38" spans="1:12" s="1" customFormat="1" ht="13.4" customHeight="1">
      <c r="A38" s="3"/>
      <c r="B38" s="7"/>
      <c r="C38" s="7">
        <f>'shipper master'!C58</f>
        <v>0</v>
      </c>
      <c r="D38" s="7"/>
      <c r="E38" s="3"/>
      <c r="F38" s="3"/>
      <c r="G38" s="3"/>
      <c r="H38" s="3"/>
      <c r="I38" s="3"/>
      <c r="J38" s="19"/>
      <c r="K38" s="46"/>
      <c r="L38" s="3"/>
    </row>
    <row r="39" spans="1:12" s="1" customFormat="1" ht="13.4" customHeight="1">
      <c r="A39" s="7" t="str">
        <f>'shipper master'!C60</f>
        <v>COUNTRY OF ORIGIN : JAPAN</v>
      </c>
      <c r="B39" s="7"/>
      <c r="C39" s="7"/>
      <c r="D39" s="7"/>
      <c r="E39" s="3"/>
      <c r="F39" s="3"/>
      <c r="G39" s="3"/>
      <c r="H39" s="3"/>
      <c r="I39" s="3"/>
      <c r="J39" s="19"/>
      <c r="K39" s="46"/>
      <c r="L39" s="3"/>
    </row>
    <row r="40" spans="1:12" s="1" customFormat="1" ht="13.4" customHeight="1">
      <c r="A40" s="7"/>
      <c r="B40" s="7"/>
      <c r="C40" s="7"/>
      <c r="D40" s="7"/>
      <c r="E40" s="3"/>
      <c r="F40" s="3"/>
      <c r="G40" s="3"/>
      <c r="H40" s="3"/>
      <c r="I40" s="3"/>
      <c r="J40" s="19"/>
      <c r="K40" s="46"/>
      <c r="L40" s="3"/>
    </row>
    <row r="41" spans="1:12" s="1" customFormat="1" ht="13.4" customHeight="1">
      <c r="A41" s="132" t="s">
        <v>134</v>
      </c>
      <c r="B41" s="109"/>
      <c r="C41" s="227" t="s">
        <v>264</v>
      </c>
      <c r="D41" s="7"/>
      <c r="E41" s="3"/>
      <c r="F41" s="3"/>
      <c r="G41" s="3"/>
      <c r="H41" s="3"/>
      <c r="I41" s="3"/>
      <c r="J41" s="19"/>
      <c r="K41" s="46"/>
      <c r="L41" s="3"/>
    </row>
    <row r="42" spans="1:12" s="1" customFormat="1" ht="13.4" customHeight="1">
      <c r="A42" s="132" t="s">
        <v>135</v>
      </c>
      <c r="B42" s="109"/>
      <c r="C42" s="157" t="s">
        <v>153</v>
      </c>
      <c r="D42" s="7"/>
      <c r="E42" s="3"/>
      <c r="F42" s="3"/>
      <c r="G42" s="3"/>
      <c r="H42" s="3"/>
      <c r="I42" s="3"/>
      <c r="J42" s="19"/>
      <c r="K42" s="46"/>
      <c r="L42" s="3"/>
    </row>
    <row r="43" spans="1:12" s="1" customFormat="1" ht="13.4" customHeight="1">
      <c r="A43" s="45"/>
      <c r="B43" s="17"/>
      <c r="C43" s="69"/>
      <c r="D43" s="17"/>
      <c r="E43" s="67"/>
      <c r="F43" s="67"/>
      <c r="G43" s="67"/>
      <c r="H43" s="3"/>
      <c r="I43" s="3"/>
      <c r="J43" s="19"/>
      <c r="K43" s="46"/>
      <c r="L43" s="3"/>
    </row>
    <row r="44" spans="1:12" ht="18" customHeight="1">
      <c r="A44" s="45"/>
      <c r="B44" s="5"/>
      <c r="C44" s="5"/>
      <c r="D44" s="5"/>
      <c r="E44" s="5"/>
      <c r="F44" s="5"/>
      <c r="G44" s="14"/>
      <c r="H44" s="5"/>
      <c r="I44" s="5"/>
      <c r="J44" s="14"/>
      <c r="K44" s="47"/>
      <c r="L44" s="5"/>
    </row>
    <row r="45" spans="1:12" ht="13.4" customHeight="1">
      <c r="A45" s="5"/>
      <c r="B45" s="48"/>
      <c r="C45" s="5"/>
      <c r="D45" s="5"/>
      <c r="E45" s="5"/>
      <c r="F45" s="5"/>
      <c r="G45" s="5"/>
      <c r="H45" s="5"/>
      <c r="I45" s="5"/>
      <c r="J45" s="24"/>
      <c r="K45" s="47"/>
      <c r="L45" s="5"/>
    </row>
    <row r="46" spans="1:12" ht="13.4" customHeight="1">
      <c r="A46" s="5"/>
      <c r="B46" s="48"/>
      <c r="C46" s="5"/>
      <c r="D46" s="5"/>
      <c r="E46" s="5"/>
      <c r="F46" s="5"/>
      <c r="G46" s="5"/>
      <c r="H46" s="5"/>
      <c r="I46" s="5"/>
      <c r="J46" s="24"/>
      <c r="K46" s="47"/>
      <c r="L46" s="5"/>
    </row>
    <row r="47" spans="1:12" ht="13.4" customHeight="1">
      <c r="A47" s="5"/>
      <c r="B47" s="5"/>
      <c r="C47" s="5"/>
      <c r="D47" s="5"/>
      <c r="E47" s="5"/>
      <c r="F47" s="5"/>
      <c r="G47" s="37"/>
      <c r="H47" s="37"/>
      <c r="I47" s="37"/>
      <c r="J47" s="49"/>
      <c r="K47" s="50"/>
      <c r="L47" s="37"/>
    </row>
    <row r="48" spans="1:12" ht="13.4" customHeight="1">
      <c r="A48" s="5"/>
      <c r="B48" s="5"/>
      <c r="C48" s="5"/>
      <c r="D48" s="5"/>
      <c r="E48" s="5"/>
      <c r="F48" s="5"/>
      <c r="G48" s="5"/>
      <c r="H48" s="5"/>
      <c r="I48" s="5"/>
      <c r="J48" s="24"/>
      <c r="K48" s="47"/>
      <c r="L48" s="5"/>
    </row>
    <row r="49" spans="1:12" ht="13.4" customHeight="1">
      <c r="A49" s="5"/>
      <c r="B49" s="5"/>
      <c r="C49" s="5"/>
      <c r="D49" s="5"/>
      <c r="E49" s="5"/>
      <c r="F49" s="5"/>
      <c r="G49" s="5"/>
      <c r="H49" s="5"/>
      <c r="I49" s="5"/>
      <c r="J49" s="24"/>
      <c r="K49" s="47"/>
      <c r="L49" s="5"/>
    </row>
    <row r="50" spans="1:12" ht="13.4" customHeight="1">
      <c r="A50" s="5"/>
      <c r="B50" s="5"/>
      <c r="C50" s="5"/>
      <c r="D50" s="5"/>
      <c r="E50" s="5"/>
      <c r="F50" s="5"/>
      <c r="G50" s="5"/>
      <c r="H50" s="5"/>
      <c r="I50" s="5"/>
      <c r="J50" s="24"/>
      <c r="K50" s="47"/>
      <c r="L50" s="5"/>
    </row>
    <row r="51" spans="1:12">
      <c r="A51" s="5"/>
      <c r="B51" s="5"/>
      <c r="C51" s="5"/>
      <c r="D51" s="5"/>
      <c r="E51" s="5"/>
      <c r="F51" s="5"/>
      <c r="G51" s="5"/>
      <c r="H51" s="5"/>
      <c r="I51" s="5"/>
      <c r="J51" s="24"/>
      <c r="K51" s="47"/>
      <c r="L51" s="5"/>
    </row>
    <row r="52" spans="1:12">
      <c r="A52" s="5"/>
      <c r="B52" s="5"/>
      <c r="C52" s="5"/>
      <c r="D52" s="5"/>
      <c r="E52" s="5"/>
      <c r="F52" s="5"/>
      <c r="G52" s="5"/>
      <c r="H52" s="5"/>
      <c r="I52" s="5"/>
      <c r="J52" s="24"/>
      <c r="K52" s="51"/>
      <c r="L52" s="5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24"/>
      <c r="K53" s="51"/>
      <c r="L53" s="5"/>
    </row>
    <row r="54" spans="1:12">
      <c r="A54" s="5"/>
      <c r="B54" s="5"/>
      <c r="C54" s="5"/>
      <c r="D54" s="5"/>
      <c r="E54" s="5"/>
      <c r="F54" s="5"/>
      <c r="G54" s="5"/>
      <c r="H54" s="5"/>
      <c r="I54" s="5"/>
      <c r="J54" s="24"/>
      <c r="K54" s="51"/>
      <c r="L54" s="5"/>
    </row>
    <row r="55" spans="1:12">
      <c r="A55" s="5"/>
      <c r="B55" s="5"/>
      <c r="C55" s="5"/>
      <c r="D55" s="5"/>
      <c r="E55" s="5"/>
      <c r="F55" s="5"/>
      <c r="G55" s="5"/>
      <c r="H55" s="5"/>
      <c r="I55" s="5"/>
      <c r="J55" s="24"/>
      <c r="K55" s="51"/>
      <c r="L55" s="5"/>
    </row>
    <row r="56" spans="1:12">
      <c r="A56" s="5"/>
      <c r="B56" s="5"/>
      <c r="C56" s="5"/>
      <c r="D56" s="5"/>
      <c r="E56" s="5"/>
      <c r="F56" s="5"/>
      <c r="G56" s="5"/>
      <c r="H56" s="5"/>
      <c r="I56" s="5"/>
      <c r="J56" s="24"/>
      <c r="K56" s="51"/>
      <c r="L56" s="5"/>
    </row>
    <row r="57" spans="1:12">
      <c r="A57" s="5"/>
      <c r="B57" s="5"/>
      <c r="C57" s="5"/>
      <c r="D57" s="5"/>
      <c r="E57" s="5"/>
      <c r="F57" s="5"/>
      <c r="G57" s="5"/>
      <c r="H57" s="5"/>
      <c r="I57" s="5"/>
      <c r="J57" s="24"/>
      <c r="K57" s="51"/>
      <c r="L57" s="5"/>
    </row>
    <row r="58" spans="1:12">
      <c r="A58" s="5"/>
      <c r="B58" s="5"/>
      <c r="C58" s="5"/>
      <c r="D58" s="5"/>
      <c r="E58" s="5"/>
      <c r="F58" s="5"/>
      <c r="G58" s="5"/>
      <c r="H58" s="5"/>
      <c r="I58" s="5"/>
      <c r="J58" s="24"/>
      <c r="K58" s="51"/>
      <c r="L58" s="5"/>
    </row>
    <row r="59" spans="1:12">
      <c r="A59" s="5"/>
      <c r="B59" s="5"/>
      <c r="C59" s="5"/>
      <c r="D59" s="5"/>
      <c r="E59" s="5"/>
      <c r="F59" s="5"/>
      <c r="G59" s="5"/>
      <c r="H59" s="5"/>
      <c r="I59" s="5"/>
      <c r="J59" s="24"/>
      <c r="K59" s="51"/>
      <c r="L59" s="5"/>
    </row>
    <row r="60" spans="1:12">
      <c r="A60" s="5"/>
      <c r="B60" s="5"/>
      <c r="C60" s="5"/>
      <c r="D60" s="5"/>
      <c r="E60" s="5"/>
      <c r="F60" s="5"/>
      <c r="G60" s="5"/>
      <c r="H60" s="5"/>
      <c r="I60" s="5"/>
      <c r="J60" s="24"/>
      <c r="K60" s="51"/>
      <c r="L60" s="5"/>
    </row>
    <row r="61" spans="1:12">
      <c r="A61" s="5"/>
      <c r="B61" s="5"/>
      <c r="C61" s="5"/>
      <c r="D61" s="5"/>
      <c r="E61" s="5"/>
      <c r="F61" s="5"/>
      <c r="G61" s="5"/>
      <c r="H61" s="5"/>
      <c r="I61" s="5"/>
      <c r="J61" s="24"/>
      <c r="K61" s="51"/>
      <c r="L61" s="5"/>
    </row>
    <row r="62" spans="1:12">
      <c r="A62" s="5"/>
      <c r="B62" s="5"/>
      <c r="C62" s="5"/>
      <c r="D62" s="5"/>
      <c r="E62" s="5"/>
      <c r="F62" s="5"/>
      <c r="G62" s="5"/>
      <c r="H62" s="5"/>
      <c r="I62" s="5"/>
      <c r="J62" s="24"/>
      <c r="K62" s="51"/>
      <c r="L62" s="5"/>
    </row>
    <row r="63" spans="1:12">
      <c r="A63" s="5"/>
      <c r="B63" s="5"/>
      <c r="C63" s="5"/>
      <c r="D63" s="5"/>
      <c r="E63" s="5"/>
      <c r="F63" s="5"/>
      <c r="G63" s="5"/>
      <c r="H63" s="5"/>
      <c r="I63" s="5"/>
      <c r="J63" s="24"/>
      <c r="K63" s="51"/>
      <c r="L63" s="5"/>
    </row>
    <row r="64" spans="1:12">
      <c r="A64" s="5"/>
      <c r="B64" s="5"/>
      <c r="C64" s="5"/>
      <c r="D64" s="5"/>
      <c r="E64" s="5"/>
      <c r="F64" s="5"/>
      <c r="G64" s="5"/>
      <c r="H64" s="5"/>
      <c r="I64" s="5"/>
      <c r="J64" s="24"/>
      <c r="K64" s="51"/>
      <c r="L64" s="5"/>
    </row>
    <row r="65" spans="1:12">
      <c r="A65" s="5"/>
      <c r="B65" s="5"/>
      <c r="C65" s="5"/>
      <c r="D65" s="5"/>
      <c r="E65" s="5"/>
      <c r="F65" s="5"/>
      <c r="G65" s="5"/>
      <c r="H65" s="5"/>
      <c r="I65" s="5"/>
      <c r="J65" s="24"/>
      <c r="K65" s="51"/>
      <c r="L65" s="5"/>
    </row>
    <row r="66" spans="1:12">
      <c r="A66" s="5"/>
      <c r="B66" s="5"/>
      <c r="C66" s="5"/>
      <c r="D66" s="5"/>
      <c r="E66" s="5"/>
      <c r="F66" s="5"/>
      <c r="G66" s="5"/>
      <c r="H66" s="5"/>
      <c r="I66" s="5"/>
      <c r="J66" s="24"/>
      <c r="K66" s="51"/>
      <c r="L66" s="5"/>
    </row>
    <row r="67" spans="1:12">
      <c r="A67" s="5"/>
      <c r="B67" s="5"/>
      <c r="C67" s="5"/>
      <c r="D67" s="5"/>
      <c r="E67" s="5"/>
      <c r="F67" s="5"/>
      <c r="G67" s="5"/>
      <c r="H67" s="5"/>
      <c r="I67" s="5"/>
      <c r="J67" s="24"/>
      <c r="K67" s="51"/>
      <c r="L67" s="5"/>
    </row>
    <row r="68" spans="1:12">
      <c r="A68" s="5"/>
      <c r="B68" s="5"/>
      <c r="C68" s="5"/>
      <c r="D68" s="5"/>
      <c r="E68" s="5"/>
      <c r="F68" s="5"/>
      <c r="G68" s="5"/>
      <c r="H68" s="5"/>
      <c r="I68" s="5"/>
      <c r="J68" s="24"/>
      <c r="K68" s="51"/>
      <c r="L68" s="5"/>
    </row>
    <row r="69" spans="1:12">
      <c r="A69" s="5"/>
      <c r="B69" s="5"/>
      <c r="C69" s="5"/>
      <c r="D69" s="5"/>
      <c r="E69" s="5"/>
      <c r="F69" s="5"/>
      <c r="G69" s="5"/>
      <c r="H69" s="5"/>
      <c r="I69" s="5"/>
      <c r="J69" s="24"/>
      <c r="K69" s="51"/>
      <c r="L69" s="5"/>
    </row>
    <row r="70" spans="1:12">
      <c r="A70" s="5"/>
      <c r="B70" s="5"/>
      <c r="C70" s="5"/>
      <c r="D70" s="5"/>
      <c r="E70" s="5"/>
      <c r="F70" s="5"/>
      <c r="G70" s="5"/>
      <c r="H70" s="5"/>
      <c r="I70" s="5"/>
      <c r="J70" s="24"/>
      <c r="K70" s="51"/>
      <c r="L70" s="5"/>
    </row>
    <row r="71" spans="1:12">
      <c r="A71" s="5"/>
      <c r="B71" s="5"/>
      <c r="C71" s="5"/>
      <c r="D71" s="5"/>
      <c r="E71" s="5"/>
      <c r="F71" s="5"/>
      <c r="G71" s="5"/>
      <c r="H71" s="5"/>
      <c r="I71" s="5"/>
      <c r="J71" s="24"/>
      <c r="K71" s="51"/>
      <c r="L71" s="5"/>
    </row>
    <row r="72" spans="1:12">
      <c r="A72" s="5"/>
      <c r="B72" s="5"/>
      <c r="C72" s="5"/>
      <c r="D72" s="5"/>
      <c r="E72" s="5"/>
      <c r="F72" s="5"/>
      <c r="G72" s="5"/>
      <c r="H72" s="5"/>
      <c r="I72" s="5"/>
      <c r="J72" s="24"/>
      <c r="K72" s="51"/>
      <c r="L72" s="5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24"/>
      <c r="K73" s="51"/>
      <c r="L73" s="5"/>
    </row>
    <row r="74" spans="1:12">
      <c r="A74" s="5"/>
      <c r="B74" s="5"/>
      <c r="C74" s="5"/>
      <c r="D74" s="5"/>
      <c r="E74" s="5"/>
      <c r="F74" s="5"/>
      <c r="G74" s="5"/>
      <c r="H74" s="5"/>
      <c r="I74" s="5"/>
      <c r="J74" s="24"/>
      <c r="K74" s="51"/>
      <c r="L74" s="5"/>
    </row>
    <row r="75" spans="1:12">
      <c r="J75" s="25"/>
      <c r="K75" s="11"/>
    </row>
    <row r="76" spans="1:12">
      <c r="J76" s="25"/>
      <c r="K76" s="11"/>
    </row>
    <row r="77" spans="1:12">
      <c r="K77" s="11"/>
    </row>
    <row r="78" spans="1:12">
      <c r="K78" s="11"/>
    </row>
    <row r="79" spans="1:12">
      <c r="K79" s="11"/>
    </row>
    <row r="80" spans="1:12">
      <c r="K80" s="11"/>
    </row>
    <row r="81" spans="11:11">
      <c r="K81" s="11"/>
    </row>
    <row r="82" spans="11:11">
      <c r="K82" s="11"/>
    </row>
    <row r="83" spans="11:11">
      <c r="K83" s="11"/>
    </row>
    <row r="84" spans="11:11">
      <c r="K84" s="11"/>
    </row>
    <row r="85" spans="11:11">
      <c r="K85" s="11"/>
    </row>
    <row r="86" spans="11:11">
      <c r="K86" s="11"/>
    </row>
    <row r="87" spans="11:11">
      <c r="K87" s="11"/>
    </row>
    <row r="88" spans="11:11">
      <c r="K88" s="11"/>
    </row>
    <row r="89" spans="11:11">
      <c r="K89" s="11"/>
    </row>
    <row r="90" spans="11:11">
      <c r="K90" s="11"/>
    </row>
    <row r="91" spans="11:11">
      <c r="K91" s="11"/>
    </row>
    <row r="92" spans="11:11">
      <c r="K92" s="11"/>
    </row>
    <row r="93" spans="11:11">
      <c r="K93" s="11"/>
    </row>
    <row r="94" spans="11:11">
      <c r="K94" s="11"/>
    </row>
  </sheetData>
  <mergeCells count="7">
    <mergeCell ref="A37:C37"/>
    <mergeCell ref="A1:L1"/>
    <mergeCell ref="E15:J15"/>
    <mergeCell ref="E11:J11"/>
    <mergeCell ref="E17:J17"/>
    <mergeCell ref="E13:J13"/>
    <mergeCell ref="E33:G33"/>
  </mergeCells>
  <phoneticPr fontId="11"/>
  <pageMargins left="0.39370078740157483" right="0.19685039370078741" top="0.59055118110236227" bottom="0.39370078740157483" header="0.51181102362204722" footer="0.51181102362204722"/>
  <pageSetup paperSize="9" scale="9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2D7-8C5B-4657-9A89-31A2E6BE6E68}">
  <sheetPr>
    <pageSetUpPr fitToPage="1"/>
  </sheetPr>
  <dimension ref="A1:N90"/>
  <sheetViews>
    <sheetView view="pageBreakPreview" zoomScale="70" zoomScaleNormal="90" zoomScaleSheetLayoutView="70" workbookViewId="0">
      <selection activeCell="D44" sqref="D44"/>
    </sheetView>
  </sheetViews>
  <sheetFormatPr defaultRowHeight="15"/>
  <cols>
    <col min="1" max="1" width="7.90625" style="70" customWidth="1"/>
    <col min="2" max="2" width="41.90625" style="131" customWidth="1"/>
    <col min="3" max="3" width="24.08984375" style="70" customWidth="1"/>
    <col min="4" max="4" width="53.1796875" style="3" customWidth="1"/>
    <col min="5" max="5" width="10.1796875" style="70" customWidth="1"/>
    <col min="6" max="6" width="5.6328125" style="70" customWidth="1"/>
    <col min="7" max="7" width="13.453125" style="70" customWidth="1"/>
    <col min="8" max="8" width="13.90625" style="70" customWidth="1"/>
    <col min="9" max="9" width="36" style="70" customWidth="1"/>
    <col min="10" max="10" width="14.453125" style="70" customWidth="1"/>
    <col min="11" max="11" width="11.453125" style="70" customWidth="1"/>
    <col min="12" max="12" width="25.36328125" style="70" customWidth="1"/>
    <col min="13" max="13" width="10.08984375" style="70" customWidth="1"/>
    <col min="14" max="14" width="7" style="70" customWidth="1"/>
  </cols>
  <sheetData>
    <row r="1" spans="1:14">
      <c r="A1" s="26"/>
      <c r="I1" s="26"/>
      <c r="J1" s="26"/>
      <c r="K1" s="26"/>
      <c r="L1" s="26"/>
      <c r="M1" s="26"/>
      <c r="N1" s="26"/>
    </row>
    <row r="2" spans="1:14">
      <c r="A2" s="475" t="s">
        <v>132</v>
      </c>
      <c r="B2" s="475"/>
      <c r="C2" s="475"/>
      <c r="D2" s="475"/>
      <c r="E2" s="475"/>
      <c r="F2" s="475"/>
      <c r="G2" s="475"/>
      <c r="H2" s="475"/>
      <c r="I2" s="239"/>
      <c r="L2" s="103"/>
      <c r="M2" s="103"/>
      <c r="N2" s="103"/>
    </row>
    <row r="3" spans="1:14" ht="15.5" thickBot="1">
      <c r="A3" s="240"/>
      <c r="B3" s="241"/>
      <c r="C3" s="240"/>
      <c r="D3" s="240"/>
      <c r="E3" s="240"/>
      <c r="F3" s="240"/>
      <c r="G3" s="240"/>
      <c r="H3" s="240"/>
      <c r="I3" s="239"/>
      <c r="L3" s="103"/>
      <c r="M3" s="103"/>
      <c r="N3" s="103"/>
    </row>
    <row r="4" spans="1:14" ht="21.75" customHeight="1" thickBot="1">
      <c r="A4" s="168" t="s">
        <v>60</v>
      </c>
      <c r="B4" s="144" t="s">
        <v>130</v>
      </c>
      <c r="C4" s="133" t="s">
        <v>119</v>
      </c>
      <c r="D4" s="134" t="s">
        <v>120</v>
      </c>
      <c r="E4" s="133" t="s">
        <v>121</v>
      </c>
      <c r="F4" s="476" t="s">
        <v>122</v>
      </c>
      <c r="G4" s="477"/>
      <c r="H4" s="135" t="s">
        <v>123</v>
      </c>
      <c r="I4" s="123" t="s">
        <v>124</v>
      </c>
      <c r="J4" s="119" t="s">
        <v>125</v>
      </c>
      <c r="K4" s="120" t="s">
        <v>126</v>
      </c>
      <c r="L4" s="124" t="s">
        <v>148</v>
      </c>
      <c r="M4" s="124" t="s">
        <v>127</v>
      </c>
      <c r="N4" s="125" t="s">
        <v>128</v>
      </c>
    </row>
    <row r="5" spans="1:14">
      <c r="A5" s="250"/>
      <c r="B5" s="145"/>
      <c r="C5" s="100"/>
      <c r="D5" s="136"/>
      <c r="E5" s="100"/>
      <c r="F5" s="100"/>
      <c r="G5" s="98"/>
      <c r="H5" s="98"/>
      <c r="I5" s="251"/>
      <c r="J5" s="112"/>
      <c r="K5" s="112"/>
      <c r="L5" s="112"/>
      <c r="M5" s="112"/>
      <c r="N5" s="252"/>
    </row>
    <row r="6" spans="1:14">
      <c r="A6" s="253"/>
      <c r="B6" s="254" t="s">
        <v>131</v>
      </c>
      <c r="C6" s="100"/>
      <c r="D6" s="106" t="str">
        <f>[2]invoice!B24</f>
        <v>FABRIC &amp; PARTS FOR WEAR &amp; SAMPLE CLOTHES</v>
      </c>
      <c r="E6" s="98"/>
      <c r="F6" s="98"/>
      <c r="G6" s="311" t="str">
        <f>'[1]shipper master'!C48</f>
        <v>F.O.B. TOKYO IN YEN</v>
      </c>
      <c r="H6" s="98"/>
      <c r="I6" s="255"/>
      <c r="J6" s="94"/>
      <c r="K6" s="94"/>
      <c r="L6" s="94"/>
      <c r="M6" s="94"/>
      <c r="N6" s="256"/>
    </row>
    <row r="7" spans="1:14" ht="15.5" thickBot="1">
      <c r="A7" s="257"/>
      <c r="B7" s="148"/>
      <c r="C7" s="149"/>
      <c r="D7" s="150" t="s">
        <v>149</v>
      </c>
      <c r="E7" s="149"/>
      <c r="F7" s="149"/>
      <c r="G7" s="312"/>
      <c r="H7" s="104"/>
      <c r="I7" s="258"/>
      <c r="J7" s="259"/>
      <c r="K7" s="259"/>
      <c r="L7" s="259"/>
      <c r="M7" s="260"/>
      <c r="N7" s="261"/>
    </row>
    <row r="8" spans="1:14" ht="15.4" customHeight="1">
      <c r="A8" s="478" t="s">
        <v>177</v>
      </c>
      <c r="B8" s="262"/>
      <c r="C8" s="262"/>
      <c r="D8" s="246" t="s">
        <v>169</v>
      </c>
      <c r="E8" s="285"/>
      <c r="F8" s="285"/>
      <c r="G8" s="313"/>
      <c r="H8" s="147"/>
      <c r="I8" s="469" t="s">
        <v>258</v>
      </c>
      <c r="J8" s="358"/>
      <c r="K8" s="147"/>
      <c r="L8" s="147"/>
      <c r="M8" s="147"/>
      <c r="N8" s="472">
        <v>1</v>
      </c>
    </row>
    <row r="9" spans="1:14">
      <c r="A9" s="479"/>
      <c r="B9" s="263" t="s">
        <v>163</v>
      </c>
      <c r="C9" s="264" t="s">
        <v>164</v>
      </c>
      <c r="D9" s="265" t="s">
        <v>155</v>
      </c>
      <c r="E9" s="286">
        <v>36</v>
      </c>
      <c r="F9" s="141" t="s">
        <v>117</v>
      </c>
      <c r="G9" s="353">
        <v>3850</v>
      </c>
      <c r="H9" s="354">
        <f>E9*G9</f>
        <v>138600</v>
      </c>
      <c r="I9" s="470"/>
      <c r="J9" s="359"/>
      <c r="K9" s="98"/>
      <c r="L9" s="309"/>
      <c r="M9" s="98"/>
      <c r="N9" s="473"/>
    </row>
    <row r="10" spans="1:14">
      <c r="A10" s="479"/>
      <c r="B10" s="126" t="s">
        <v>155</v>
      </c>
      <c r="C10" s="264"/>
      <c r="D10" s="265" t="s">
        <v>165</v>
      </c>
      <c r="E10" s="286"/>
      <c r="F10" s="141"/>
      <c r="G10" s="353"/>
      <c r="H10" s="354"/>
      <c r="I10" s="470"/>
      <c r="J10" s="360"/>
      <c r="K10" s="98"/>
      <c r="L10" s="98"/>
      <c r="M10" s="98"/>
      <c r="N10" s="473"/>
    </row>
    <row r="11" spans="1:14" ht="16.5">
      <c r="A11" s="479"/>
      <c r="B11" s="267" t="s">
        <v>156</v>
      </c>
      <c r="C11" s="264"/>
      <c r="D11" s="266" t="s">
        <v>166</v>
      </c>
      <c r="E11" s="286"/>
      <c r="F11" s="141"/>
      <c r="G11" s="353"/>
      <c r="H11" s="354"/>
      <c r="I11" s="470"/>
      <c r="J11" s="361"/>
      <c r="K11" s="98"/>
      <c r="L11" s="98"/>
      <c r="M11" s="98"/>
      <c r="N11" s="473"/>
    </row>
    <row r="12" spans="1:14" ht="15.5" thickBot="1">
      <c r="A12" s="480"/>
      <c r="B12" s="293" t="s">
        <v>154</v>
      </c>
      <c r="C12" s="268"/>
      <c r="D12" s="269"/>
      <c r="E12" s="287"/>
      <c r="F12" s="287"/>
      <c r="G12" s="355"/>
      <c r="H12" s="356"/>
      <c r="I12" s="471"/>
      <c r="J12" s="362"/>
      <c r="K12" s="101"/>
      <c r="L12" s="101"/>
      <c r="M12" s="101"/>
      <c r="N12" s="474"/>
    </row>
    <row r="13" spans="1:14" ht="15.5" thickBot="1">
      <c r="A13" s="352"/>
      <c r="B13" s="308"/>
      <c r="C13" s="306"/>
      <c r="D13" s="303"/>
      <c r="E13" s="307"/>
      <c r="F13" s="307"/>
      <c r="G13" s="370"/>
      <c r="H13" s="121"/>
      <c r="I13" s="89"/>
      <c r="J13" s="357"/>
      <c r="K13" s="89"/>
      <c r="L13" s="89"/>
      <c r="M13" s="89"/>
      <c r="N13" s="242"/>
    </row>
    <row r="14" spans="1:14" ht="15.4" customHeight="1">
      <c r="A14" s="466" t="s">
        <v>178</v>
      </c>
      <c r="B14" s="385"/>
      <c r="C14" s="262"/>
      <c r="D14" s="246" t="s">
        <v>169</v>
      </c>
      <c r="E14" s="285"/>
      <c r="F14" s="285"/>
      <c r="G14" s="313"/>
      <c r="H14" s="147"/>
      <c r="I14" s="469" t="s">
        <v>176</v>
      </c>
      <c r="J14" s="430"/>
      <c r="K14" s="147"/>
      <c r="L14" s="147"/>
      <c r="M14" s="436"/>
      <c r="N14" s="472">
        <v>13</v>
      </c>
    </row>
    <row r="15" spans="1:14">
      <c r="A15" s="467"/>
      <c r="B15" s="386" t="s">
        <v>167</v>
      </c>
      <c r="C15" s="264" t="s">
        <v>160</v>
      </c>
      <c r="D15" s="265"/>
      <c r="E15" s="286">
        <v>81</v>
      </c>
      <c r="F15" s="141" t="s">
        <v>118</v>
      </c>
      <c r="G15" s="353">
        <v>3000</v>
      </c>
      <c r="H15" s="354">
        <f>E15*G15</f>
        <v>243000</v>
      </c>
      <c r="I15" s="470"/>
      <c r="J15" s="431"/>
      <c r="K15" s="98"/>
      <c r="L15" s="309"/>
      <c r="M15" s="437"/>
      <c r="N15" s="473"/>
    </row>
    <row r="16" spans="1:14">
      <c r="A16" s="467"/>
      <c r="B16" s="387" t="s">
        <v>157</v>
      </c>
      <c r="C16" s="264"/>
      <c r="D16" s="265"/>
      <c r="E16" s="286"/>
      <c r="F16" s="141"/>
      <c r="G16" s="353"/>
      <c r="H16" s="354"/>
      <c r="I16" s="470"/>
      <c r="J16" s="432"/>
      <c r="K16" s="98"/>
      <c r="L16" s="98"/>
      <c r="M16" s="437"/>
      <c r="N16" s="473"/>
    </row>
    <row r="17" spans="1:14">
      <c r="A17" s="467"/>
      <c r="B17" s="388" t="s">
        <v>168</v>
      </c>
      <c r="C17" s="264"/>
      <c r="D17" s="266"/>
      <c r="E17" s="286"/>
      <c r="F17" s="141"/>
      <c r="G17" s="353"/>
      <c r="H17" s="354"/>
      <c r="I17" s="470"/>
      <c r="J17" s="433"/>
      <c r="K17" s="98"/>
      <c r="L17" s="98"/>
      <c r="M17" s="437"/>
      <c r="N17" s="473"/>
    </row>
    <row r="18" spans="1:14" ht="15.5" thickBot="1">
      <c r="A18" s="467"/>
      <c r="B18" s="389"/>
      <c r="C18" s="268"/>
      <c r="D18" s="269"/>
      <c r="E18" s="287"/>
      <c r="F18" s="287"/>
      <c r="G18" s="355"/>
      <c r="H18" s="356"/>
      <c r="I18" s="470"/>
      <c r="J18" s="434"/>
      <c r="K18" s="101"/>
      <c r="L18" s="101"/>
      <c r="M18" s="438"/>
      <c r="N18" s="473"/>
    </row>
    <row r="19" spans="1:14" ht="15.5" thickBot="1">
      <c r="A19" s="467"/>
      <c r="B19" s="308"/>
      <c r="C19" s="306"/>
      <c r="D19" s="303"/>
      <c r="E19" s="307"/>
      <c r="F19" s="307"/>
      <c r="G19" s="370"/>
      <c r="H19" s="121"/>
      <c r="I19" s="470"/>
      <c r="J19" s="435"/>
      <c r="K19" s="89"/>
      <c r="L19" s="89"/>
      <c r="M19" s="439"/>
      <c r="N19" s="473"/>
    </row>
    <row r="20" spans="1:14" ht="15.4" customHeight="1">
      <c r="A20" s="467"/>
      <c r="B20" s="385"/>
      <c r="C20" s="262"/>
      <c r="D20" s="246" t="s">
        <v>169</v>
      </c>
      <c r="E20" s="285"/>
      <c r="F20" s="285"/>
      <c r="G20" s="313"/>
      <c r="H20" s="147"/>
      <c r="I20" s="470"/>
      <c r="J20" s="430"/>
      <c r="K20" s="147"/>
      <c r="L20" s="147"/>
      <c r="M20" s="436"/>
      <c r="N20" s="473"/>
    </row>
    <row r="21" spans="1:14">
      <c r="A21" s="467"/>
      <c r="B21" s="386" t="s">
        <v>170</v>
      </c>
      <c r="C21" s="264" t="s">
        <v>160</v>
      </c>
      <c r="D21" s="265"/>
      <c r="E21" s="286">
        <v>112</v>
      </c>
      <c r="F21" s="141" t="s">
        <v>118</v>
      </c>
      <c r="G21" s="353">
        <v>3000</v>
      </c>
      <c r="H21" s="354">
        <f>E21*G21</f>
        <v>336000</v>
      </c>
      <c r="I21" s="470"/>
      <c r="J21" s="431"/>
      <c r="K21" s="98"/>
      <c r="L21" s="309"/>
      <c r="M21" s="437"/>
      <c r="N21" s="473"/>
    </row>
    <row r="22" spans="1:14">
      <c r="A22" s="467"/>
      <c r="B22" s="387" t="s">
        <v>157</v>
      </c>
      <c r="C22" s="264"/>
      <c r="D22" s="265"/>
      <c r="E22" s="286"/>
      <c r="F22" s="141"/>
      <c r="G22" s="353"/>
      <c r="H22" s="354"/>
      <c r="I22" s="470"/>
      <c r="J22" s="432"/>
      <c r="K22" s="98"/>
      <c r="L22" s="98"/>
      <c r="M22" s="437"/>
      <c r="N22" s="473"/>
    </row>
    <row r="23" spans="1:14">
      <c r="A23" s="467"/>
      <c r="B23" s="388" t="s">
        <v>168</v>
      </c>
      <c r="C23" s="264"/>
      <c r="D23" s="266"/>
      <c r="E23" s="286"/>
      <c r="F23" s="141"/>
      <c r="G23" s="353"/>
      <c r="H23" s="354"/>
      <c r="I23" s="470"/>
      <c r="J23" s="433"/>
      <c r="K23" s="98"/>
      <c r="L23" s="98"/>
      <c r="M23" s="437"/>
      <c r="N23" s="473"/>
    </row>
    <row r="24" spans="1:14" ht="15.5" thickBot="1">
      <c r="A24" s="467"/>
      <c r="B24" s="389"/>
      <c r="C24" s="268"/>
      <c r="D24" s="269"/>
      <c r="E24" s="287"/>
      <c r="F24" s="287"/>
      <c r="G24" s="355"/>
      <c r="H24" s="356"/>
      <c r="I24" s="470"/>
      <c r="J24" s="434"/>
      <c r="K24" s="101"/>
      <c r="L24" s="101"/>
      <c r="M24" s="438"/>
      <c r="N24" s="473"/>
    </row>
    <row r="25" spans="1:14" ht="15.5" thickBot="1">
      <c r="A25" s="467"/>
      <c r="B25" s="308"/>
      <c r="C25" s="306"/>
      <c r="D25" s="303"/>
      <c r="E25" s="307"/>
      <c r="F25" s="307"/>
      <c r="G25" s="370"/>
      <c r="H25" s="121"/>
      <c r="I25" s="470"/>
      <c r="J25" s="435"/>
      <c r="K25" s="89"/>
      <c r="L25" s="89"/>
      <c r="M25" s="439"/>
      <c r="N25" s="473"/>
    </row>
    <row r="26" spans="1:14" ht="15.4" customHeight="1">
      <c r="A26" s="467"/>
      <c r="B26" s="385"/>
      <c r="C26" s="262"/>
      <c r="D26" s="246" t="s">
        <v>173</v>
      </c>
      <c r="E26" s="285"/>
      <c r="F26" s="285"/>
      <c r="G26" s="313"/>
      <c r="H26" s="147"/>
      <c r="I26" s="470"/>
      <c r="J26" s="430"/>
      <c r="K26" s="147"/>
      <c r="L26" s="147"/>
      <c r="M26" s="445"/>
      <c r="N26" s="473"/>
    </row>
    <row r="27" spans="1:14">
      <c r="A27" s="467"/>
      <c r="B27" s="386" t="s">
        <v>171</v>
      </c>
      <c r="C27" s="264" t="s">
        <v>158</v>
      </c>
      <c r="D27" s="265"/>
      <c r="E27" s="286">
        <v>193</v>
      </c>
      <c r="F27" s="141" t="s">
        <v>118</v>
      </c>
      <c r="G27" s="353">
        <v>2000</v>
      </c>
      <c r="H27" s="354">
        <f>E27*G27</f>
        <v>386000</v>
      </c>
      <c r="I27" s="470"/>
      <c r="J27" s="431"/>
      <c r="K27" s="98"/>
      <c r="L27" s="309"/>
      <c r="M27" s="446"/>
      <c r="N27" s="473"/>
    </row>
    <row r="28" spans="1:14">
      <c r="A28" s="467"/>
      <c r="B28" s="387" t="s">
        <v>172</v>
      </c>
      <c r="C28" s="264"/>
      <c r="D28" s="265"/>
      <c r="E28" s="286"/>
      <c r="F28" s="141"/>
      <c r="G28" s="353"/>
      <c r="H28" s="354"/>
      <c r="I28" s="470"/>
      <c r="J28" s="432"/>
      <c r="K28" s="98"/>
      <c r="L28" s="98"/>
      <c r="M28" s="446"/>
      <c r="N28" s="473"/>
    </row>
    <row r="29" spans="1:14">
      <c r="A29" s="467"/>
      <c r="B29" s="388" t="s">
        <v>168</v>
      </c>
      <c r="C29" s="264"/>
      <c r="D29" s="266"/>
      <c r="E29" s="286"/>
      <c r="F29" s="141"/>
      <c r="G29" s="353"/>
      <c r="H29" s="354"/>
      <c r="I29" s="470"/>
      <c r="J29" s="433"/>
      <c r="K29" s="98"/>
      <c r="L29" s="98"/>
      <c r="M29" s="446"/>
      <c r="N29" s="473"/>
    </row>
    <row r="30" spans="1:14" ht="15.5" thickBot="1">
      <c r="A30" s="467"/>
      <c r="B30" s="389"/>
      <c r="C30" s="268"/>
      <c r="D30" s="269"/>
      <c r="E30" s="287"/>
      <c r="F30" s="287"/>
      <c r="G30" s="355"/>
      <c r="H30" s="356"/>
      <c r="I30" s="470"/>
      <c r="J30" s="434"/>
      <c r="K30" s="101"/>
      <c r="L30" s="101"/>
      <c r="M30" s="447"/>
      <c r="N30" s="473"/>
    </row>
    <row r="31" spans="1:14" ht="15.65" customHeight="1" thickBot="1">
      <c r="A31" s="467"/>
      <c r="B31" s="390"/>
      <c r="C31" s="127"/>
      <c r="D31" s="118"/>
      <c r="E31" s="382"/>
      <c r="F31" s="383"/>
      <c r="G31" s="384"/>
      <c r="H31" s="421"/>
      <c r="I31" s="470"/>
      <c r="J31" s="440"/>
      <c r="K31" s="441"/>
      <c r="L31" s="441"/>
      <c r="M31" s="442"/>
      <c r="N31" s="473"/>
    </row>
    <row r="32" spans="1:14" ht="15.65" customHeight="1" thickBot="1">
      <c r="A32" s="468"/>
      <c r="B32" s="429" t="s">
        <v>175</v>
      </c>
      <c r="C32" s="423"/>
      <c r="D32" s="424" t="s">
        <v>174</v>
      </c>
      <c r="E32" s="425">
        <v>550</v>
      </c>
      <c r="F32" s="426" t="s">
        <v>118</v>
      </c>
      <c r="G32" s="427">
        <v>50</v>
      </c>
      <c r="H32" s="427">
        <f t="shared" ref="H32" si="0">E32*G32</f>
        <v>27500</v>
      </c>
      <c r="I32" s="471"/>
      <c r="J32" s="362"/>
      <c r="K32" s="443"/>
      <c r="L32" s="443"/>
      <c r="M32" s="444"/>
      <c r="N32" s="474"/>
    </row>
    <row r="33" spans="1:14">
      <c r="A33" s="352"/>
      <c r="B33" s="308"/>
      <c r="C33" s="306"/>
      <c r="D33" s="303"/>
      <c r="E33" s="307"/>
      <c r="F33" s="307"/>
      <c r="G33" s="370"/>
      <c r="H33" s="121"/>
      <c r="I33" s="89"/>
      <c r="J33" s="357"/>
      <c r="K33" s="89"/>
      <c r="L33" s="89"/>
      <c r="M33" s="89"/>
      <c r="N33" s="242"/>
    </row>
    <row r="34" spans="1:14" ht="15.5" thickBot="1">
      <c r="A34" s="320"/>
      <c r="B34" s="321"/>
      <c r="C34" s="317"/>
      <c r="D34" s="376"/>
      <c r="E34" s="392"/>
      <c r="F34" s="234"/>
      <c r="G34" s="393"/>
      <c r="H34" s="394"/>
      <c r="I34" s="304"/>
      <c r="J34" s="302"/>
      <c r="K34" s="234"/>
      <c r="L34" s="234"/>
      <c r="M34" s="234"/>
      <c r="N34" s="380"/>
    </row>
    <row r="35" spans="1:14">
      <c r="A35" s="237"/>
      <c r="B35" s="130" t="s">
        <v>129</v>
      </c>
      <c r="C35" s="167" t="s">
        <v>179</v>
      </c>
      <c r="D35" s="111"/>
      <c r="E35" s="314">
        <f>SUMIF($F$8:$F$33,"M.",$E$8:$E$33)</f>
        <v>36</v>
      </c>
      <c r="F35" s="141" t="s">
        <v>117</v>
      </c>
      <c r="G35" s="236"/>
      <c r="H35" s="315">
        <f>SUMIF($F$8:$F$33,"M.",$H$8:$H$33)</f>
        <v>138600</v>
      </c>
      <c r="I35" s="236"/>
      <c r="J35" s="238"/>
      <c r="K35" s="114"/>
      <c r="L35" s="114"/>
      <c r="M35" s="114"/>
      <c r="N35" s="349"/>
    </row>
    <row r="36" spans="1:14">
      <c r="A36" s="98"/>
      <c r="B36" s="126"/>
      <c r="C36" s="98"/>
      <c r="D36" s="138"/>
      <c r="E36" s="314">
        <f>SUMIF($F$8:$F$33,"PCS.",$E$8:$E$33)</f>
        <v>936</v>
      </c>
      <c r="F36" s="137" t="s">
        <v>118</v>
      </c>
      <c r="G36" s="310"/>
      <c r="H36" s="315">
        <f>SUMIF($F$8:$F$33,"PCS.",$H$8:$H$33)</f>
        <v>992500</v>
      </c>
      <c r="I36" s="98"/>
      <c r="J36" s="156"/>
      <c r="K36" s="98"/>
      <c r="L36" s="98"/>
      <c r="M36" s="98"/>
      <c r="N36" s="105"/>
    </row>
    <row r="37" spans="1:14">
      <c r="A37" s="98"/>
      <c r="B37" s="126"/>
      <c r="C37" s="98"/>
      <c r="D37" s="138"/>
      <c r="E37" s="314">
        <f>SUMIF($F$8:$F$33,"SET.",$E$8:$E$33)</f>
        <v>0</v>
      </c>
      <c r="F37" s="137" t="s">
        <v>144</v>
      </c>
      <c r="G37" s="98"/>
      <c r="H37" s="315">
        <f>SUMIF($F$8:$F$33,"SET.",$H$8:$H$33)</f>
        <v>0</v>
      </c>
      <c r="I37" s="98"/>
      <c r="J37" s="156"/>
      <c r="K37" s="98"/>
      <c r="L37" s="98"/>
      <c r="M37" s="98"/>
      <c r="N37" s="105"/>
    </row>
    <row r="38" spans="1:14">
      <c r="A38" s="98"/>
      <c r="B38" s="126"/>
      <c r="C38" s="98"/>
      <c r="D38" s="139"/>
      <c r="E38" s="156"/>
      <c r="F38" s="137"/>
      <c r="G38" s="310"/>
      <c r="H38" s="310">
        <f>SUM(H35:H37)</f>
        <v>1131100</v>
      </c>
      <c r="I38" s="98"/>
      <c r="J38" s="156"/>
      <c r="K38" s="98"/>
      <c r="L38" s="98"/>
      <c r="M38" s="98"/>
      <c r="N38" s="105"/>
    </row>
    <row r="42" spans="1:14">
      <c r="C42" s="3"/>
    </row>
    <row r="43" spans="1:14">
      <c r="C43" s="3"/>
    </row>
    <row r="90" spans="1:1">
      <c r="A90" s="70" t="s">
        <v>133</v>
      </c>
    </row>
  </sheetData>
  <mergeCells count="8">
    <mergeCell ref="A14:A32"/>
    <mergeCell ref="I14:I32"/>
    <mergeCell ref="N14:N32"/>
    <mergeCell ref="A2:H2"/>
    <mergeCell ref="F4:G4"/>
    <mergeCell ref="A8:A12"/>
    <mergeCell ref="N8:N12"/>
    <mergeCell ref="I8:I12"/>
  </mergeCells>
  <phoneticPr fontId="11"/>
  <pageMargins left="0.51181102362204722" right="0" top="0.74803149606299213" bottom="0.74803149606299213" header="0.31496062992125984" footer="0.31496062992125984"/>
  <pageSetup paperSize="9" scale="33" fitToHeight="0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BBBA8-CB5B-43C7-BCF3-855F02AD8C8D}">
  <sheetPr>
    <pageSetUpPr fitToPage="1"/>
  </sheetPr>
  <dimension ref="A1:O171"/>
  <sheetViews>
    <sheetView view="pageBreakPreview" topLeftCell="A37" zoomScale="70" zoomScaleNormal="60" zoomScaleSheetLayoutView="70" workbookViewId="0">
      <selection activeCell="I21" sqref="I21:I69"/>
    </sheetView>
  </sheetViews>
  <sheetFormatPr defaultRowHeight="15"/>
  <cols>
    <col min="1" max="1" width="7.90625" customWidth="1"/>
    <col min="2" max="2" width="31.90625" style="142" customWidth="1"/>
    <col min="3" max="3" width="27.453125" style="93" customWidth="1"/>
    <col min="4" max="4" width="69.1796875" customWidth="1"/>
    <col min="5" max="5" width="10.453125" customWidth="1"/>
    <col min="6" max="6" width="5.6328125" style="93" customWidth="1"/>
    <col min="7" max="7" width="15.453125" customWidth="1"/>
    <col min="8" max="8" width="13.90625" style="93" customWidth="1"/>
    <col min="9" max="9" width="24.453125" customWidth="1"/>
    <col min="10" max="10" width="14.453125" customWidth="1"/>
    <col min="11" max="11" width="11.453125" style="93" customWidth="1"/>
    <col min="12" max="12" width="25.36328125" style="97" customWidth="1"/>
    <col min="13" max="13" width="10.08984375" style="93" customWidth="1"/>
    <col min="14" max="14" width="7" style="93" customWidth="1"/>
  </cols>
  <sheetData>
    <row r="1" spans="1:14">
      <c r="A1" s="45"/>
      <c r="I1" s="45"/>
      <c r="J1" s="45"/>
      <c r="K1" s="26"/>
      <c r="L1" s="95"/>
      <c r="M1" s="26"/>
      <c r="N1" s="26"/>
    </row>
    <row r="2" spans="1:14" ht="18" thickBot="1">
      <c r="A2" s="481" t="s">
        <v>132</v>
      </c>
      <c r="B2" s="481"/>
      <c r="C2" s="481"/>
      <c r="D2" s="481"/>
      <c r="E2" s="481"/>
      <c r="F2" s="481"/>
      <c r="G2" s="481"/>
      <c r="H2" s="481"/>
      <c r="I2" s="67"/>
      <c r="J2" s="3"/>
      <c r="K2" s="70"/>
      <c r="L2" s="102"/>
      <c r="M2" s="103"/>
      <c r="N2" s="103"/>
    </row>
    <row r="3" spans="1:14" ht="18" thickBot="1">
      <c r="A3" s="128"/>
      <c r="B3" s="143"/>
      <c r="C3" s="128"/>
      <c r="D3" s="128"/>
      <c r="E3" s="128"/>
      <c r="F3" s="128"/>
      <c r="G3" s="128"/>
      <c r="H3" s="128"/>
      <c r="I3" s="67"/>
      <c r="J3" s="3"/>
      <c r="K3" s="70"/>
      <c r="L3" s="102"/>
      <c r="M3" s="103"/>
      <c r="N3" s="103"/>
    </row>
    <row r="4" spans="1:14" ht="21.75" customHeight="1" thickBot="1">
      <c r="A4" s="245" t="s">
        <v>60</v>
      </c>
      <c r="B4" s="144" t="s">
        <v>130</v>
      </c>
      <c r="C4" s="133" t="s">
        <v>119</v>
      </c>
      <c r="D4" s="134" t="s">
        <v>120</v>
      </c>
      <c r="E4" s="133" t="s">
        <v>121</v>
      </c>
      <c r="F4" s="482" t="s">
        <v>122</v>
      </c>
      <c r="G4" s="483"/>
      <c r="H4" s="135" t="s">
        <v>123</v>
      </c>
      <c r="I4" s="123" t="s">
        <v>124</v>
      </c>
      <c r="J4" s="119" t="s">
        <v>125</v>
      </c>
      <c r="K4" s="120" t="s">
        <v>126</v>
      </c>
      <c r="L4" s="270" t="s">
        <v>150</v>
      </c>
      <c r="M4" s="223" t="s">
        <v>127</v>
      </c>
      <c r="N4" s="219" t="s">
        <v>128</v>
      </c>
    </row>
    <row r="5" spans="1:14">
      <c r="A5" s="228"/>
      <c r="B5" s="145"/>
      <c r="C5" s="100"/>
      <c r="D5" s="136"/>
      <c r="E5" s="106"/>
      <c r="F5" s="100"/>
      <c r="G5" s="99"/>
      <c r="H5" s="98"/>
      <c r="I5" s="271"/>
      <c r="J5" s="272"/>
      <c r="K5" s="112"/>
      <c r="L5" s="113"/>
      <c r="M5" s="224"/>
      <c r="N5" s="220"/>
    </row>
    <row r="6" spans="1:14">
      <c r="A6" s="229"/>
      <c r="B6" s="175" t="s">
        <v>131</v>
      </c>
      <c r="C6" s="149"/>
      <c r="D6" s="150" t="str">
        <f>'NARITA '!D6</f>
        <v>FABRIC &amp; PARTS FOR WEAR &amp; SAMPLE CLOTHES</v>
      </c>
      <c r="E6" s="273"/>
      <c r="F6" s="176"/>
      <c r="G6" s="151" t="str">
        <f>'[3]shipper master'!C48</f>
        <v>F.O.B. TOKYO IN YEN</v>
      </c>
      <c r="H6" s="104"/>
      <c r="I6" s="274"/>
      <c r="J6" s="177"/>
      <c r="K6" s="94"/>
      <c r="L6" s="96"/>
      <c r="M6" s="225"/>
      <c r="N6" s="221"/>
    </row>
    <row r="7" spans="1:14">
      <c r="A7" s="229"/>
      <c r="B7" s="148"/>
      <c r="C7" s="149"/>
      <c r="D7" s="150" t="s">
        <v>151</v>
      </c>
      <c r="E7" s="150"/>
      <c r="F7" s="149"/>
      <c r="G7" s="151"/>
      <c r="H7" s="104"/>
      <c r="I7" s="275"/>
      <c r="J7" s="104"/>
      <c r="K7" s="178"/>
      <c r="L7" s="122"/>
      <c r="M7" s="226"/>
      <c r="N7" s="221"/>
    </row>
    <row r="8" spans="1:14" ht="15.5" thickBot="1">
      <c r="A8" s="276"/>
      <c r="B8" s="127"/>
      <c r="C8" s="127"/>
      <c r="D8" s="118"/>
      <c r="E8" s="117"/>
      <c r="F8" s="89"/>
      <c r="G8" s="121"/>
      <c r="H8" s="146"/>
      <c r="I8" s="247"/>
      <c r="J8" s="277"/>
      <c r="K8" s="288"/>
      <c r="L8" s="277"/>
      <c r="M8" s="116"/>
      <c r="N8" s="289"/>
    </row>
    <row r="9" spans="1:14" ht="15" customHeight="1">
      <c r="A9" s="488">
        <v>15</v>
      </c>
      <c r="B9" s="413"/>
      <c r="C9" s="416"/>
      <c r="D9" s="397" t="s">
        <v>180</v>
      </c>
      <c r="E9" s="546"/>
      <c r="F9" s="381"/>
      <c r="G9" s="379"/>
      <c r="H9" s="451"/>
      <c r="I9" s="491" t="s">
        <v>185</v>
      </c>
      <c r="J9" s="402"/>
      <c r="K9" s="405"/>
      <c r="L9" s="405"/>
      <c r="M9" s="484">
        <v>1</v>
      </c>
      <c r="N9" s="346"/>
    </row>
    <row r="10" spans="1:14">
      <c r="A10" s="489"/>
      <c r="B10" s="395" t="s">
        <v>181</v>
      </c>
      <c r="C10" s="130" t="s">
        <v>182</v>
      </c>
      <c r="D10" s="377" t="s">
        <v>183</v>
      </c>
      <c r="E10" s="547"/>
      <c r="F10" s="114"/>
      <c r="G10" s="378"/>
      <c r="H10" s="375"/>
      <c r="I10" s="492"/>
      <c r="J10" s="403"/>
      <c r="K10" s="404"/>
      <c r="L10" s="404"/>
      <c r="M10" s="470"/>
      <c r="N10" s="347"/>
    </row>
    <row r="11" spans="1:14">
      <c r="A11" s="489"/>
      <c r="B11" s="395"/>
      <c r="C11" s="130"/>
      <c r="D11" s="377" t="s">
        <v>184</v>
      </c>
      <c r="E11" s="547">
        <v>250</v>
      </c>
      <c r="F11" s="114" t="s">
        <v>159</v>
      </c>
      <c r="G11" s="378">
        <v>280</v>
      </c>
      <c r="H11" s="375">
        <v>70000</v>
      </c>
      <c r="I11" s="492"/>
      <c r="J11" s="403"/>
      <c r="K11" s="404"/>
      <c r="L11" s="404"/>
      <c r="M11" s="470"/>
      <c r="N11" s="347"/>
    </row>
    <row r="12" spans="1:14" ht="16" customHeight="1" thickBot="1">
      <c r="A12" s="490"/>
      <c r="B12" s="414"/>
      <c r="C12" s="417"/>
      <c r="D12" s="371"/>
      <c r="E12" s="548"/>
      <c r="F12" s="234"/>
      <c r="G12" s="396"/>
      <c r="H12" s="398"/>
      <c r="I12" s="493"/>
      <c r="J12" s="449"/>
      <c r="K12" s="450"/>
      <c r="L12" s="450"/>
      <c r="M12" s="470"/>
      <c r="N12" s="347"/>
    </row>
    <row r="13" spans="1:14" ht="16" customHeight="1" thickBot="1">
      <c r="A13" s="420"/>
      <c r="B13" s="415"/>
      <c r="C13" s="418"/>
      <c r="D13" s="372"/>
      <c r="E13" s="549"/>
      <c r="F13" s="89"/>
      <c r="G13" s="399"/>
      <c r="H13" s="373"/>
      <c r="I13" s="448"/>
      <c r="J13" s="403"/>
      <c r="K13" s="404"/>
      <c r="L13" s="404"/>
      <c r="M13" s="559"/>
      <c r="N13" s="347"/>
    </row>
    <row r="14" spans="1:14" ht="15" customHeight="1">
      <c r="A14" s="488">
        <v>16</v>
      </c>
      <c r="B14" s="413"/>
      <c r="C14" s="416"/>
      <c r="D14" s="397" t="s">
        <v>260</v>
      </c>
      <c r="E14" s="546"/>
      <c r="F14" s="381"/>
      <c r="G14" s="379"/>
      <c r="H14" s="451"/>
      <c r="I14" s="485" t="s">
        <v>257</v>
      </c>
      <c r="J14" s="402"/>
      <c r="K14" s="405"/>
      <c r="L14" s="405"/>
      <c r="M14" s="484">
        <v>1</v>
      </c>
      <c r="N14" s="346"/>
    </row>
    <row r="15" spans="1:14">
      <c r="A15" s="489"/>
      <c r="B15" s="395" t="s">
        <v>186</v>
      </c>
      <c r="C15" s="130" t="s">
        <v>182</v>
      </c>
      <c r="D15" s="452" t="s">
        <v>187</v>
      </c>
      <c r="E15" s="547"/>
      <c r="F15" s="114"/>
      <c r="G15" s="378"/>
      <c r="H15" s="375"/>
      <c r="I15" s="486"/>
      <c r="J15" s="403"/>
      <c r="K15" s="404"/>
      <c r="L15" s="404"/>
      <c r="M15" s="470"/>
      <c r="N15" s="347"/>
    </row>
    <row r="16" spans="1:14">
      <c r="A16" s="489"/>
      <c r="B16" s="395"/>
      <c r="C16" s="130"/>
      <c r="D16" s="377" t="s">
        <v>188</v>
      </c>
      <c r="E16" s="547">
        <v>302</v>
      </c>
      <c r="F16" s="114" t="s">
        <v>189</v>
      </c>
      <c r="G16" s="378">
        <v>50</v>
      </c>
      <c r="H16" s="375">
        <f>E16*G16</f>
        <v>15100</v>
      </c>
      <c r="I16" s="486"/>
      <c r="J16" s="403"/>
      <c r="K16" s="404"/>
      <c r="L16" s="404"/>
      <c r="M16" s="470"/>
      <c r="N16" s="347"/>
    </row>
    <row r="17" spans="1:14" ht="16" customHeight="1" thickBot="1">
      <c r="A17" s="489"/>
      <c r="B17" s="414"/>
      <c r="C17" s="417"/>
      <c r="D17" s="371"/>
      <c r="E17" s="548"/>
      <c r="F17" s="234"/>
      <c r="G17" s="396"/>
      <c r="H17" s="398"/>
      <c r="I17" s="486"/>
      <c r="J17" s="403"/>
      <c r="K17" s="404"/>
      <c r="L17" s="404"/>
      <c r="M17" s="470"/>
      <c r="N17" s="347"/>
    </row>
    <row r="18" spans="1:14" ht="15.65" customHeight="1" thickBot="1">
      <c r="A18" s="489"/>
      <c r="B18" s="390"/>
      <c r="C18" s="127"/>
      <c r="D18" s="118"/>
      <c r="E18" s="550"/>
      <c r="F18" s="383"/>
      <c r="G18" s="384"/>
      <c r="H18" s="384"/>
      <c r="I18" s="486"/>
      <c r="J18" s="357"/>
      <c r="K18" s="422"/>
      <c r="L18" s="422"/>
      <c r="M18" s="470"/>
      <c r="N18" s="347"/>
    </row>
    <row r="19" spans="1:14" ht="15.65" customHeight="1" thickBot="1">
      <c r="A19" s="490"/>
      <c r="B19" s="429" t="s">
        <v>190</v>
      </c>
      <c r="C19" s="423"/>
      <c r="D19" s="424" t="s">
        <v>191</v>
      </c>
      <c r="E19" s="551">
        <v>345</v>
      </c>
      <c r="F19" s="426" t="s">
        <v>118</v>
      </c>
      <c r="G19" s="453">
        <v>50</v>
      </c>
      <c r="H19" s="453">
        <f t="shared" ref="H19" si="0">E19*G19</f>
        <v>17250</v>
      </c>
      <c r="I19" s="487"/>
      <c r="J19" s="391"/>
      <c r="K19" s="428"/>
      <c r="L19" s="428"/>
      <c r="M19" s="471"/>
      <c r="N19" s="347"/>
    </row>
    <row r="20" spans="1:14" ht="15.65" customHeight="1" thickBot="1">
      <c r="A20" s="420"/>
      <c r="B20" s="390"/>
      <c r="C20" s="127"/>
      <c r="D20" s="118"/>
      <c r="E20" s="550"/>
      <c r="F20" s="383"/>
      <c r="G20" s="384"/>
      <c r="H20" s="384"/>
      <c r="I20" s="454"/>
      <c r="J20" s="455"/>
      <c r="K20" s="456"/>
      <c r="L20" s="456"/>
      <c r="M20" s="560"/>
      <c r="N20" s="347"/>
    </row>
    <row r="21" spans="1:14" ht="15.5" thickBot="1">
      <c r="A21" s="562" t="s">
        <v>261</v>
      </c>
      <c r="B21" s="494"/>
      <c r="C21" s="520"/>
      <c r="D21" s="495" t="s">
        <v>233</v>
      </c>
      <c r="E21" s="494"/>
      <c r="F21" s="494"/>
      <c r="G21" s="494"/>
      <c r="H21" s="494"/>
      <c r="I21" s="485" t="s">
        <v>256</v>
      </c>
      <c r="J21" s="403"/>
      <c r="K21" s="404"/>
      <c r="L21" s="404"/>
      <c r="M21" s="484">
        <v>3</v>
      </c>
      <c r="N21" s="347"/>
    </row>
    <row r="22" spans="1:14">
      <c r="A22" s="563"/>
      <c r="B22" s="496" t="s">
        <v>192</v>
      </c>
      <c r="C22" s="521" t="s">
        <v>193</v>
      </c>
      <c r="D22" s="535" t="s">
        <v>237</v>
      </c>
      <c r="E22" s="497">
        <v>100</v>
      </c>
      <c r="F22" s="540" t="s">
        <v>253</v>
      </c>
      <c r="G22" s="498">
        <v>8</v>
      </c>
      <c r="H22" s="498">
        <f>E22*G22</f>
        <v>800</v>
      </c>
      <c r="I22" s="486"/>
      <c r="J22" s="403"/>
      <c r="K22" s="404"/>
      <c r="L22" s="404"/>
      <c r="M22" s="470"/>
      <c r="N22" s="347"/>
    </row>
    <row r="23" spans="1:14" ht="16.25" customHeight="1">
      <c r="A23" s="563"/>
      <c r="B23" s="517" t="s">
        <v>194</v>
      </c>
      <c r="C23" s="522" t="s">
        <v>193</v>
      </c>
      <c r="D23" s="535" t="s">
        <v>238</v>
      </c>
      <c r="E23" s="500">
        <v>100</v>
      </c>
      <c r="F23" s="541" t="s">
        <v>253</v>
      </c>
      <c r="G23" s="501">
        <v>8</v>
      </c>
      <c r="H23" s="498">
        <f t="shared" ref="H23:H65" si="1">E23*G23</f>
        <v>800</v>
      </c>
      <c r="I23" s="486"/>
      <c r="J23" s="403"/>
      <c r="K23" s="404"/>
      <c r="L23" s="404"/>
      <c r="M23" s="470"/>
      <c r="N23" s="347"/>
    </row>
    <row r="24" spans="1:14" ht="16.25" customHeight="1">
      <c r="A24" s="563"/>
      <c r="B24" s="517">
        <v>1200</v>
      </c>
      <c r="C24" s="523"/>
      <c r="D24" s="499" t="s">
        <v>239</v>
      </c>
      <c r="E24" s="500"/>
      <c r="F24" s="541"/>
      <c r="G24" s="501"/>
      <c r="H24" s="498"/>
      <c r="I24" s="486"/>
      <c r="J24" s="403"/>
      <c r="K24" s="404"/>
      <c r="L24" s="404"/>
      <c r="M24" s="470"/>
      <c r="N24" s="347"/>
    </row>
    <row r="25" spans="1:14">
      <c r="A25" s="563"/>
      <c r="B25" s="518"/>
      <c r="C25" s="523"/>
      <c r="D25" s="499" t="s">
        <v>229</v>
      </c>
      <c r="E25" s="500">
        <v>132</v>
      </c>
      <c r="F25" s="541" t="s">
        <v>254</v>
      </c>
      <c r="G25" s="501">
        <v>30</v>
      </c>
      <c r="H25" s="498">
        <f t="shared" si="1"/>
        <v>3960</v>
      </c>
      <c r="I25" s="486"/>
      <c r="J25" s="403"/>
      <c r="K25" s="404"/>
      <c r="L25" s="404"/>
      <c r="M25" s="470"/>
      <c r="N25" s="347"/>
    </row>
    <row r="26" spans="1:14" ht="18">
      <c r="A26" s="563"/>
      <c r="B26" s="517" t="s">
        <v>195</v>
      </c>
      <c r="C26" s="523"/>
      <c r="D26" s="536" t="s">
        <v>240</v>
      </c>
      <c r="E26" s="500"/>
      <c r="F26" s="541"/>
      <c r="G26" s="501"/>
      <c r="H26" s="498"/>
      <c r="I26" s="486"/>
      <c r="J26" s="403"/>
      <c r="K26" s="404"/>
      <c r="L26" s="404"/>
      <c r="M26" s="470"/>
      <c r="N26" s="347"/>
    </row>
    <row r="27" spans="1:14">
      <c r="A27" s="563"/>
      <c r="B27" s="506"/>
      <c r="C27" s="524"/>
      <c r="D27" s="502" t="s">
        <v>230</v>
      </c>
      <c r="E27" s="503">
        <v>194</v>
      </c>
      <c r="F27" s="542" t="s">
        <v>253</v>
      </c>
      <c r="G27" s="504">
        <v>7</v>
      </c>
      <c r="H27" s="498">
        <f t="shared" si="1"/>
        <v>1358</v>
      </c>
      <c r="I27" s="486"/>
      <c r="J27" s="400"/>
      <c r="K27" s="404"/>
      <c r="L27" s="404"/>
      <c r="M27" s="470"/>
      <c r="N27" s="347"/>
    </row>
    <row r="28" spans="1:14" ht="18">
      <c r="A28" s="563"/>
      <c r="B28" s="506" t="s">
        <v>196</v>
      </c>
      <c r="C28" s="524"/>
      <c r="D28" s="537" t="s">
        <v>241</v>
      </c>
      <c r="E28" s="503"/>
      <c r="F28" s="542"/>
      <c r="G28" s="504"/>
      <c r="H28" s="498"/>
      <c r="I28" s="486"/>
      <c r="J28" s="400"/>
      <c r="K28" s="404"/>
      <c r="L28" s="404"/>
      <c r="M28" s="470"/>
      <c r="N28" s="347"/>
    </row>
    <row r="29" spans="1:14" ht="15.5" thickBot="1">
      <c r="A29" s="563"/>
      <c r="B29" s="506"/>
      <c r="C29" s="524"/>
      <c r="D29" s="502" t="s">
        <v>231</v>
      </c>
      <c r="E29" s="503">
        <v>14</v>
      </c>
      <c r="F29" s="542" t="s">
        <v>254</v>
      </c>
      <c r="G29" s="504">
        <v>450</v>
      </c>
      <c r="H29" s="498">
        <f t="shared" si="1"/>
        <v>6300</v>
      </c>
      <c r="I29" s="486"/>
      <c r="J29" s="404"/>
      <c r="K29" s="404"/>
      <c r="L29" s="404"/>
      <c r="M29" s="470"/>
      <c r="N29" s="292"/>
    </row>
    <row r="30" spans="1:14" ht="13.5" customHeight="1" thickBot="1">
      <c r="A30" s="563"/>
      <c r="B30" s="506"/>
      <c r="C30" s="524"/>
      <c r="D30" s="502"/>
      <c r="E30" s="505"/>
      <c r="F30" s="542"/>
      <c r="G30" s="507"/>
      <c r="H30" s="508"/>
      <c r="I30" s="486"/>
      <c r="J30" s="403"/>
      <c r="K30" s="404"/>
      <c r="L30" s="404"/>
      <c r="M30" s="470"/>
      <c r="N30" s="346"/>
    </row>
    <row r="31" spans="1:14" ht="15.5" thickBot="1">
      <c r="A31" s="563"/>
      <c r="B31" s="494"/>
      <c r="C31" s="520"/>
      <c r="D31" s="495" t="s">
        <v>234</v>
      </c>
      <c r="E31" s="494"/>
      <c r="F31" s="545"/>
      <c r="G31" s="494"/>
      <c r="H31" s="494"/>
      <c r="I31" s="486"/>
      <c r="J31" s="403"/>
      <c r="K31" s="404"/>
      <c r="L31" s="404"/>
      <c r="M31" s="470"/>
      <c r="N31" s="347"/>
    </row>
    <row r="32" spans="1:14">
      <c r="A32" s="563"/>
      <c r="B32" s="506">
        <v>8070</v>
      </c>
      <c r="C32" s="525" t="s">
        <v>197</v>
      </c>
      <c r="D32" s="502" t="s">
        <v>198</v>
      </c>
      <c r="E32" s="503">
        <v>44</v>
      </c>
      <c r="F32" s="542" t="s">
        <v>254</v>
      </c>
      <c r="G32" s="509">
        <v>600</v>
      </c>
      <c r="H32" s="498">
        <f t="shared" si="1"/>
        <v>26400</v>
      </c>
      <c r="I32" s="486"/>
      <c r="J32" s="403"/>
      <c r="K32" s="404"/>
      <c r="L32" s="404"/>
      <c r="M32" s="470"/>
      <c r="N32" s="347"/>
    </row>
    <row r="33" spans="1:14" ht="16.25" customHeight="1">
      <c r="A33" s="563"/>
      <c r="B33" s="506" t="s">
        <v>199</v>
      </c>
      <c r="C33" s="525" t="s">
        <v>200</v>
      </c>
      <c r="D33" s="502" t="s">
        <v>242</v>
      </c>
      <c r="E33" s="503">
        <v>45</v>
      </c>
      <c r="F33" s="542" t="s">
        <v>254</v>
      </c>
      <c r="G33" s="509">
        <v>50</v>
      </c>
      <c r="H33" s="498">
        <f t="shared" si="1"/>
        <v>2250</v>
      </c>
      <c r="I33" s="486"/>
      <c r="J33" s="403"/>
      <c r="K33" s="404"/>
      <c r="L33" s="404"/>
      <c r="M33" s="470"/>
      <c r="N33" s="347"/>
    </row>
    <row r="34" spans="1:14" ht="16.25" customHeight="1">
      <c r="A34" s="563"/>
      <c r="B34" s="506" t="s">
        <v>201</v>
      </c>
      <c r="C34" s="525" t="s">
        <v>202</v>
      </c>
      <c r="D34" s="502" t="s">
        <v>243</v>
      </c>
      <c r="E34" s="503">
        <v>40</v>
      </c>
      <c r="F34" s="542" t="s">
        <v>253</v>
      </c>
      <c r="G34" s="504">
        <v>125</v>
      </c>
      <c r="H34" s="498">
        <f t="shared" si="1"/>
        <v>5000</v>
      </c>
      <c r="I34" s="486"/>
      <c r="J34" s="403"/>
      <c r="K34" s="404"/>
      <c r="L34" s="404"/>
      <c r="M34" s="470"/>
      <c r="N34" s="347"/>
    </row>
    <row r="35" spans="1:14" ht="15.5" thickBot="1">
      <c r="A35" s="563"/>
      <c r="B35" s="506"/>
      <c r="C35" s="525"/>
      <c r="D35" s="502"/>
      <c r="E35" s="505"/>
      <c r="F35" s="542"/>
      <c r="G35" s="507"/>
      <c r="H35" s="508"/>
      <c r="I35" s="486"/>
      <c r="J35" s="403"/>
      <c r="K35" s="404"/>
      <c r="L35" s="404"/>
      <c r="M35" s="470"/>
      <c r="N35" s="347"/>
    </row>
    <row r="36" spans="1:14" ht="15.5" thickBot="1">
      <c r="A36" s="563"/>
      <c r="B36" s="494"/>
      <c r="C36" s="520"/>
      <c r="D36" s="495" t="s">
        <v>203</v>
      </c>
      <c r="E36" s="494"/>
      <c r="F36" s="545"/>
      <c r="G36" s="494"/>
      <c r="H36" s="494"/>
      <c r="I36" s="486"/>
      <c r="J36" s="403"/>
      <c r="K36" s="404"/>
      <c r="L36" s="404"/>
      <c r="M36" s="470"/>
      <c r="N36" s="347"/>
    </row>
    <row r="37" spans="1:14">
      <c r="A37" s="563"/>
      <c r="B37" s="506">
        <v>1000</v>
      </c>
      <c r="C37" s="525" t="s">
        <v>204</v>
      </c>
      <c r="D37" s="502" t="s">
        <v>198</v>
      </c>
      <c r="E37" s="503">
        <v>4</v>
      </c>
      <c r="F37" s="542" t="s">
        <v>254</v>
      </c>
      <c r="G37" s="509">
        <v>480</v>
      </c>
      <c r="H37" s="498">
        <f t="shared" si="1"/>
        <v>1920</v>
      </c>
      <c r="I37" s="486"/>
      <c r="J37" s="400"/>
      <c r="K37" s="404"/>
      <c r="L37" s="404"/>
      <c r="M37" s="470"/>
      <c r="N37" s="347"/>
    </row>
    <row r="38" spans="1:14" ht="20">
      <c r="A38" s="563"/>
      <c r="B38" s="506" t="s">
        <v>205</v>
      </c>
      <c r="C38" s="525" t="s">
        <v>206</v>
      </c>
      <c r="D38" s="502" t="s">
        <v>244</v>
      </c>
      <c r="E38" s="503">
        <v>30</v>
      </c>
      <c r="F38" s="542" t="s">
        <v>253</v>
      </c>
      <c r="G38" s="504">
        <v>65</v>
      </c>
      <c r="H38" s="498">
        <f t="shared" si="1"/>
        <v>1950</v>
      </c>
      <c r="I38" s="486"/>
      <c r="J38" s="400"/>
      <c r="K38" s="404"/>
      <c r="L38" s="404"/>
      <c r="M38" s="470"/>
      <c r="N38" s="347"/>
    </row>
    <row r="39" spans="1:14" ht="18.5" thickBot="1">
      <c r="A39" s="563"/>
      <c r="B39" s="506" t="s">
        <v>207</v>
      </c>
      <c r="C39" s="526" t="s">
        <v>193</v>
      </c>
      <c r="D39" s="538" t="s">
        <v>245</v>
      </c>
      <c r="E39" s="510">
        <v>30</v>
      </c>
      <c r="F39" s="543" t="s">
        <v>255</v>
      </c>
      <c r="G39" s="511">
        <v>80</v>
      </c>
      <c r="H39" s="498">
        <f t="shared" si="1"/>
        <v>2400</v>
      </c>
      <c r="I39" s="486"/>
      <c r="J39" s="404"/>
      <c r="K39" s="404"/>
      <c r="L39" s="404"/>
      <c r="M39" s="470"/>
      <c r="N39" s="292"/>
    </row>
    <row r="40" spans="1:14" ht="13.5" customHeight="1" thickBot="1">
      <c r="A40" s="563"/>
      <c r="B40" s="506"/>
      <c r="C40" s="526"/>
      <c r="D40" s="499"/>
      <c r="E40" s="510"/>
      <c r="F40" s="543"/>
      <c r="G40" s="512"/>
      <c r="H40" s="508"/>
      <c r="I40" s="486"/>
      <c r="J40" s="403"/>
      <c r="K40" s="404"/>
      <c r="L40" s="404"/>
      <c r="M40" s="470"/>
      <c r="N40" s="346"/>
    </row>
    <row r="41" spans="1:14" ht="15.5" thickBot="1">
      <c r="A41" s="563"/>
      <c r="B41" s="494"/>
      <c r="C41" s="520"/>
      <c r="D41" s="495" t="s">
        <v>235</v>
      </c>
      <c r="E41" s="494"/>
      <c r="F41" s="545"/>
      <c r="G41" s="494"/>
      <c r="H41" s="494"/>
      <c r="I41" s="486"/>
      <c r="J41" s="403"/>
      <c r="K41" s="404"/>
      <c r="L41" s="404"/>
      <c r="M41" s="470"/>
      <c r="N41" s="347"/>
    </row>
    <row r="42" spans="1:14">
      <c r="A42" s="563"/>
      <c r="B42" s="506" t="s">
        <v>208</v>
      </c>
      <c r="C42" s="526"/>
      <c r="D42" s="513" t="s">
        <v>209</v>
      </c>
      <c r="E42" s="510"/>
      <c r="F42" s="543"/>
      <c r="G42" s="512"/>
      <c r="H42" s="498"/>
      <c r="I42" s="486"/>
      <c r="J42" s="403"/>
      <c r="K42" s="404"/>
      <c r="L42" s="404"/>
      <c r="M42" s="470"/>
      <c r="N42" s="347"/>
    </row>
    <row r="43" spans="1:14" ht="16.25" customHeight="1">
      <c r="A43" s="563"/>
      <c r="B43" s="506"/>
      <c r="C43" s="526"/>
      <c r="D43" s="499" t="s">
        <v>232</v>
      </c>
      <c r="E43" s="510">
        <v>55</v>
      </c>
      <c r="F43" s="543" t="s">
        <v>254</v>
      </c>
      <c r="G43" s="512">
        <v>410</v>
      </c>
      <c r="H43" s="498">
        <f t="shared" si="1"/>
        <v>22550</v>
      </c>
      <c r="I43" s="486"/>
      <c r="J43" s="403"/>
      <c r="K43" s="404"/>
      <c r="L43" s="404"/>
      <c r="M43" s="470"/>
      <c r="N43" s="347"/>
    </row>
    <row r="44" spans="1:14" ht="16.25" customHeight="1">
      <c r="A44" s="563"/>
      <c r="B44" s="506" t="s">
        <v>210</v>
      </c>
      <c r="C44" s="526"/>
      <c r="D44" s="499" t="s">
        <v>246</v>
      </c>
      <c r="E44" s="510"/>
      <c r="F44" s="543"/>
      <c r="G44" s="511"/>
      <c r="H44" s="498"/>
      <c r="I44" s="486"/>
      <c r="J44" s="406"/>
      <c r="K44" s="404"/>
      <c r="L44" s="404"/>
      <c r="M44" s="470"/>
      <c r="N44" s="347"/>
    </row>
    <row r="45" spans="1:14">
      <c r="A45" s="563"/>
      <c r="B45" s="506"/>
      <c r="C45" s="526"/>
      <c r="D45" s="499" t="s">
        <v>211</v>
      </c>
      <c r="E45" s="510">
        <v>462</v>
      </c>
      <c r="F45" s="543" t="s">
        <v>253</v>
      </c>
      <c r="G45" s="511">
        <v>60</v>
      </c>
      <c r="H45" s="498">
        <f t="shared" si="1"/>
        <v>27720</v>
      </c>
      <c r="I45" s="486"/>
      <c r="J45" s="403"/>
      <c r="K45" s="404"/>
      <c r="L45" s="404"/>
      <c r="M45" s="470"/>
      <c r="N45" s="347"/>
    </row>
    <row r="46" spans="1:14" ht="15.5" thickBot="1">
      <c r="A46" s="563"/>
      <c r="B46" s="506"/>
      <c r="C46" s="526"/>
      <c r="D46" s="499"/>
      <c r="E46" s="510"/>
      <c r="F46" s="543"/>
      <c r="G46" s="512"/>
      <c r="H46" s="508"/>
      <c r="I46" s="486"/>
      <c r="J46" s="403"/>
      <c r="K46" s="404"/>
      <c r="L46" s="404"/>
      <c r="M46" s="470"/>
      <c r="N46" s="347"/>
    </row>
    <row r="47" spans="1:14" ht="15.5" thickBot="1">
      <c r="A47" s="563"/>
      <c r="B47" s="494"/>
      <c r="C47" s="520"/>
      <c r="D47" s="495" t="s">
        <v>212</v>
      </c>
      <c r="E47" s="494"/>
      <c r="F47" s="545"/>
      <c r="G47" s="494"/>
      <c r="H47" s="494"/>
      <c r="I47" s="486"/>
      <c r="J47" s="400"/>
      <c r="K47" s="404"/>
      <c r="L47" s="404"/>
      <c r="M47" s="470"/>
      <c r="N47" s="347"/>
    </row>
    <row r="48" spans="1:14" ht="18">
      <c r="A48" s="563"/>
      <c r="B48" s="506">
        <v>620</v>
      </c>
      <c r="C48" s="526"/>
      <c r="D48" s="538" t="s">
        <v>247</v>
      </c>
      <c r="E48" s="510"/>
      <c r="F48" s="543"/>
      <c r="G48" s="511"/>
      <c r="H48" s="498"/>
      <c r="I48" s="486"/>
      <c r="J48" s="400"/>
      <c r="K48" s="404"/>
      <c r="L48" s="404"/>
      <c r="M48" s="470"/>
      <c r="N48" s="347"/>
    </row>
    <row r="49" spans="1:14" ht="15.5" thickBot="1">
      <c r="A49" s="563"/>
      <c r="B49" s="506"/>
      <c r="C49" s="526"/>
      <c r="D49" s="499" t="s">
        <v>213</v>
      </c>
      <c r="E49" s="510">
        <v>13</v>
      </c>
      <c r="F49" s="543" t="s">
        <v>253</v>
      </c>
      <c r="G49" s="511">
        <v>600</v>
      </c>
      <c r="H49" s="498">
        <f t="shared" si="1"/>
        <v>7800</v>
      </c>
      <c r="I49" s="486"/>
      <c r="J49" s="404"/>
      <c r="K49" s="404"/>
      <c r="L49" s="404"/>
      <c r="M49" s="470"/>
      <c r="N49" s="292"/>
    </row>
    <row r="50" spans="1:14" ht="13.5" customHeight="1">
      <c r="A50" s="563"/>
      <c r="B50" s="506"/>
      <c r="C50" s="526"/>
      <c r="D50" s="499" t="s">
        <v>214</v>
      </c>
      <c r="E50" s="510">
        <v>7</v>
      </c>
      <c r="F50" s="543" t="s">
        <v>253</v>
      </c>
      <c r="G50" s="511">
        <v>600</v>
      </c>
      <c r="H50" s="498">
        <f t="shared" si="1"/>
        <v>4200</v>
      </c>
      <c r="I50" s="486"/>
      <c r="J50" s="403"/>
      <c r="K50" s="404"/>
      <c r="L50" s="404"/>
      <c r="M50" s="470"/>
      <c r="N50" s="346"/>
    </row>
    <row r="51" spans="1:14" ht="18">
      <c r="A51" s="563"/>
      <c r="B51" s="506">
        <v>5900</v>
      </c>
      <c r="C51" s="526" t="s">
        <v>200</v>
      </c>
      <c r="D51" s="538" t="s">
        <v>248</v>
      </c>
      <c r="E51" s="510">
        <v>72</v>
      </c>
      <c r="F51" s="543" t="s">
        <v>254</v>
      </c>
      <c r="G51" s="511">
        <v>155</v>
      </c>
      <c r="H51" s="498">
        <f t="shared" si="1"/>
        <v>11160</v>
      </c>
      <c r="I51" s="486"/>
      <c r="J51" s="403"/>
      <c r="K51" s="404"/>
      <c r="L51" s="404"/>
      <c r="M51" s="470"/>
      <c r="N51" s="347"/>
    </row>
    <row r="52" spans="1:14" ht="16.5">
      <c r="A52" s="563"/>
      <c r="B52" s="506" t="s">
        <v>215</v>
      </c>
      <c r="C52" s="526"/>
      <c r="D52" s="374" t="s">
        <v>249</v>
      </c>
      <c r="E52" s="510"/>
      <c r="F52" s="543"/>
      <c r="G52" s="511"/>
      <c r="H52" s="498"/>
      <c r="I52" s="486"/>
      <c r="J52" s="403"/>
      <c r="K52" s="404"/>
      <c r="L52" s="404"/>
      <c r="M52" s="470"/>
      <c r="N52" s="347"/>
    </row>
    <row r="53" spans="1:14" ht="16.25" customHeight="1">
      <c r="A53" s="563"/>
      <c r="B53" s="506"/>
      <c r="C53" s="526"/>
      <c r="D53" s="499" t="s">
        <v>216</v>
      </c>
      <c r="E53" s="510">
        <v>26</v>
      </c>
      <c r="F53" s="543" t="s">
        <v>253</v>
      </c>
      <c r="G53" s="511">
        <v>120</v>
      </c>
      <c r="H53" s="498">
        <f t="shared" si="1"/>
        <v>3120</v>
      </c>
      <c r="I53" s="486"/>
      <c r="J53" s="403"/>
      <c r="K53" s="404"/>
      <c r="L53" s="404"/>
      <c r="M53" s="470"/>
      <c r="N53" s="347"/>
    </row>
    <row r="54" spans="1:14" ht="16.25" customHeight="1">
      <c r="A54" s="563"/>
      <c r="B54" s="506"/>
      <c r="C54" s="526"/>
      <c r="D54" s="499" t="s">
        <v>217</v>
      </c>
      <c r="E54" s="510">
        <v>14</v>
      </c>
      <c r="F54" s="543" t="s">
        <v>253</v>
      </c>
      <c r="G54" s="511">
        <v>120</v>
      </c>
      <c r="H54" s="498">
        <f t="shared" si="1"/>
        <v>1680</v>
      </c>
      <c r="I54" s="486"/>
      <c r="J54" s="403"/>
      <c r="K54" s="404"/>
      <c r="L54" s="404"/>
      <c r="M54" s="470"/>
      <c r="N54" s="347"/>
    </row>
    <row r="55" spans="1:14">
      <c r="A55" s="563"/>
      <c r="B55" s="506" t="s">
        <v>215</v>
      </c>
      <c r="C55" s="526"/>
      <c r="D55" s="499" t="s">
        <v>218</v>
      </c>
      <c r="E55" s="510">
        <v>26</v>
      </c>
      <c r="F55" s="543" t="s">
        <v>253</v>
      </c>
      <c r="G55" s="511">
        <v>250</v>
      </c>
      <c r="H55" s="498">
        <f t="shared" si="1"/>
        <v>6500</v>
      </c>
      <c r="I55" s="486"/>
      <c r="J55" s="403"/>
      <c r="K55" s="404"/>
      <c r="L55" s="404"/>
      <c r="M55" s="470"/>
      <c r="N55" s="347"/>
    </row>
    <row r="56" spans="1:14">
      <c r="A56" s="563"/>
      <c r="B56" s="506"/>
      <c r="C56" s="526"/>
      <c r="D56" s="499" t="s">
        <v>219</v>
      </c>
      <c r="E56" s="510">
        <v>14</v>
      </c>
      <c r="F56" s="543" t="s">
        <v>253</v>
      </c>
      <c r="G56" s="511">
        <v>250</v>
      </c>
      <c r="H56" s="498">
        <f t="shared" si="1"/>
        <v>3500</v>
      </c>
      <c r="I56" s="486"/>
      <c r="J56" s="403"/>
      <c r="K56" s="404"/>
      <c r="L56" s="404"/>
      <c r="M56" s="470"/>
      <c r="N56" s="347"/>
    </row>
    <row r="57" spans="1:14" ht="15.5" thickBot="1">
      <c r="A57" s="563"/>
      <c r="B57" s="506"/>
      <c r="C57" s="526"/>
      <c r="D57" s="499"/>
      <c r="E57" s="510"/>
      <c r="F57" s="543"/>
      <c r="G57" s="512"/>
      <c r="H57" s="508"/>
      <c r="I57" s="486"/>
      <c r="J57" s="400"/>
      <c r="K57" s="404"/>
      <c r="L57" s="404"/>
      <c r="M57" s="470"/>
      <c r="N57" s="347"/>
    </row>
    <row r="58" spans="1:14" ht="15.5" thickBot="1">
      <c r="A58" s="563"/>
      <c r="B58" s="494"/>
      <c r="C58" s="520"/>
      <c r="D58" s="495" t="s">
        <v>220</v>
      </c>
      <c r="E58" s="494"/>
      <c r="F58" s="545"/>
      <c r="G58" s="494"/>
      <c r="H58" s="494"/>
      <c r="I58" s="486"/>
      <c r="J58" s="400"/>
      <c r="K58" s="404"/>
      <c r="L58" s="404"/>
      <c r="M58" s="470"/>
      <c r="N58" s="347"/>
    </row>
    <row r="59" spans="1:14" ht="15.5" thickBot="1">
      <c r="A59" s="563"/>
      <c r="B59" s="506">
        <v>8070</v>
      </c>
      <c r="C59" s="525" t="s">
        <v>197</v>
      </c>
      <c r="D59" s="502" t="s">
        <v>198</v>
      </c>
      <c r="E59" s="510">
        <v>162</v>
      </c>
      <c r="F59" s="543" t="s">
        <v>254</v>
      </c>
      <c r="G59" s="512">
        <v>600</v>
      </c>
      <c r="H59" s="498">
        <f t="shared" si="1"/>
        <v>97200</v>
      </c>
      <c r="I59" s="486"/>
      <c r="J59" s="404"/>
      <c r="K59" s="404"/>
      <c r="L59" s="404"/>
      <c r="M59" s="470"/>
      <c r="N59" s="292"/>
    </row>
    <row r="60" spans="1:14" ht="13.5" customHeight="1">
      <c r="A60" s="563"/>
      <c r="B60" s="506" t="s">
        <v>221</v>
      </c>
      <c r="C60" s="526" t="s">
        <v>222</v>
      </c>
      <c r="D60" s="499" t="s">
        <v>209</v>
      </c>
      <c r="E60" s="510">
        <v>43</v>
      </c>
      <c r="F60" s="543" t="s">
        <v>254</v>
      </c>
      <c r="G60" s="512">
        <v>560</v>
      </c>
      <c r="H60" s="498">
        <f t="shared" si="1"/>
        <v>24080</v>
      </c>
      <c r="I60" s="486"/>
      <c r="J60" s="403"/>
      <c r="K60" s="404"/>
      <c r="L60" s="404"/>
      <c r="M60" s="470"/>
      <c r="N60" s="346"/>
    </row>
    <row r="61" spans="1:14" ht="18">
      <c r="A61" s="563"/>
      <c r="B61" s="506" t="s">
        <v>223</v>
      </c>
      <c r="C61" s="526" t="s">
        <v>224</v>
      </c>
      <c r="D61" s="538" t="s">
        <v>250</v>
      </c>
      <c r="E61" s="510">
        <v>74</v>
      </c>
      <c r="F61" s="543" t="s">
        <v>253</v>
      </c>
      <c r="G61" s="511">
        <v>360</v>
      </c>
      <c r="H61" s="498">
        <f t="shared" si="1"/>
        <v>26640</v>
      </c>
      <c r="I61" s="486"/>
      <c r="J61" s="403"/>
      <c r="K61" s="404"/>
      <c r="L61" s="404"/>
      <c r="M61" s="470"/>
      <c r="N61" s="347"/>
    </row>
    <row r="62" spans="1:14" ht="18">
      <c r="A62" s="563"/>
      <c r="B62" s="506">
        <v>6250</v>
      </c>
      <c r="C62" s="526" t="s">
        <v>225</v>
      </c>
      <c r="D62" s="538" t="s">
        <v>251</v>
      </c>
      <c r="E62" s="510">
        <v>110</v>
      </c>
      <c r="F62" s="543" t="s">
        <v>254</v>
      </c>
      <c r="G62" s="511">
        <v>80</v>
      </c>
      <c r="H62" s="498">
        <f t="shared" si="1"/>
        <v>8800</v>
      </c>
      <c r="I62" s="486"/>
      <c r="J62" s="403"/>
      <c r="K62" s="404"/>
      <c r="L62" s="404"/>
      <c r="M62" s="470"/>
      <c r="N62" s="347"/>
    </row>
    <row r="63" spans="1:14" ht="16.25" customHeight="1" thickBot="1">
      <c r="A63" s="563"/>
      <c r="B63" s="506"/>
      <c r="C63" s="526"/>
      <c r="D63" s="499"/>
      <c r="E63" s="510"/>
      <c r="F63" s="543"/>
      <c r="G63" s="512"/>
      <c r="H63" s="508"/>
      <c r="I63" s="486"/>
      <c r="J63" s="403"/>
      <c r="K63" s="404"/>
      <c r="L63" s="404"/>
      <c r="M63" s="470"/>
      <c r="N63" s="347"/>
    </row>
    <row r="64" spans="1:14" ht="16.25" customHeight="1" thickBot="1">
      <c r="A64" s="563"/>
      <c r="B64" s="494"/>
      <c r="C64" s="520"/>
      <c r="D64" s="495" t="s">
        <v>226</v>
      </c>
      <c r="E64" s="494"/>
      <c r="F64" s="545"/>
      <c r="G64" s="494"/>
      <c r="H64" s="494"/>
      <c r="I64" s="486"/>
      <c r="J64" s="403"/>
      <c r="K64" s="404"/>
      <c r="L64" s="404"/>
      <c r="M64" s="470"/>
      <c r="N64" s="347"/>
    </row>
    <row r="65" spans="1:14">
      <c r="A65" s="563"/>
      <c r="B65" s="506">
        <v>8070</v>
      </c>
      <c r="C65" s="525" t="s">
        <v>197</v>
      </c>
      <c r="D65" s="502" t="s">
        <v>198</v>
      </c>
      <c r="E65" s="510">
        <v>16</v>
      </c>
      <c r="F65" s="543" t="s">
        <v>254</v>
      </c>
      <c r="G65" s="512">
        <v>600</v>
      </c>
      <c r="H65" s="498">
        <f t="shared" si="1"/>
        <v>9600</v>
      </c>
      <c r="I65" s="486"/>
      <c r="J65" s="403"/>
      <c r="K65" s="404"/>
      <c r="L65" s="404"/>
      <c r="M65" s="470"/>
      <c r="N65" s="347"/>
    </row>
    <row r="66" spans="1:14" ht="15.5" thickBot="1">
      <c r="A66" s="563"/>
      <c r="B66" s="506"/>
      <c r="C66" s="525"/>
      <c r="D66" s="502"/>
      <c r="E66" s="510"/>
      <c r="F66" s="543"/>
      <c r="G66" s="512"/>
      <c r="H66" s="508"/>
      <c r="I66" s="486"/>
      <c r="J66" s="403"/>
      <c r="K66" s="404"/>
      <c r="L66" s="404"/>
      <c r="M66" s="470"/>
      <c r="N66" s="347"/>
    </row>
    <row r="67" spans="1:14" ht="15.5" thickBot="1">
      <c r="A67" s="563"/>
      <c r="B67" s="494"/>
      <c r="C67" s="520"/>
      <c r="D67" s="495" t="s">
        <v>236</v>
      </c>
      <c r="E67" s="494"/>
      <c r="F67" s="545"/>
      <c r="G67" s="494"/>
      <c r="H67" s="494"/>
      <c r="I67" s="486"/>
      <c r="J67" s="400"/>
      <c r="K67" s="404"/>
      <c r="L67" s="404"/>
      <c r="M67" s="470"/>
      <c r="N67" s="347"/>
    </row>
    <row r="68" spans="1:14" ht="18.5" thickBot="1">
      <c r="A68" s="563"/>
      <c r="B68" s="519" t="s">
        <v>227</v>
      </c>
      <c r="C68" s="527" t="s">
        <v>228</v>
      </c>
      <c r="D68" s="539" t="s">
        <v>252</v>
      </c>
      <c r="E68" s="514">
        <v>100</v>
      </c>
      <c r="F68" s="544" t="s">
        <v>255</v>
      </c>
      <c r="G68" s="515">
        <v>22</v>
      </c>
      <c r="H68" s="516">
        <f t="shared" ref="H68" si="2">E68*G68</f>
        <v>2200</v>
      </c>
      <c r="I68" s="486"/>
      <c r="J68" s="400"/>
      <c r="K68" s="404"/>
      <c r="L68" s="404"/>
      <c r="M68" s="470"/>
      <c r="N68" s="347"/>
    </row>
    <row r="69" spans="1:14" ht="15.5" thickBot="1">
      <c r="A69" s="564"/>
      <c r="B69" s="494"/>
      <c r="C69" s="520"/>
      <c r="D69" s="530"/>
      <c r="E69" s="531"/>
      <c r="F69" s="532"/>
      <c r="G69" s="533"/>
      <c r="H69" s="534"/>
      <c r="I69" s="558"/>
      <c r="J69" s="528"/>
      <c r="K69" s="450"/>
      <c r="L69" s="450"/>
      <c r="M69" s="561"/>
      <c r="N69" s="529"/>
    </row>
    <row r="70" spans="1:14" ht="15.5" thickBot="1">
      <c r="A70" s="401"/>
      <c r="B70" s="324"/>
      <c r="C70" s="324"/>
      <c r="D70" s="324"/>
      <c r="E70" s="324"/>
      <c r="F70" s="324"/>
      <c r="G70" s="324"/>
      <c r="H70" s="324"/>
      <c r="I70" s="324"/>
      <c r="J70" s="324"/>
      <c r="K70" s="324"/>
      <c r="L70" s="324"/>
      <c r="M70" s="348"/>
      <c r="N70" s="292"/>
    </row>
    <row r="71" spans="1:14">
      <c r="A71" s="330"/>
      <c r="B71" s="331" t="s">
        <v>129</v>
      </c>
      <c r="C71" s="332" t="s">
        <v>259</v>
      </c>
      <c r="D71" s="318"/>
      <c r="E71" s="552">
        <f>SUMIF($F$9:$F$68,"M.",$E$9:$E$68)</f>
        <v>999</v>
      </c>
      <c r="F71" s="553" t="s">
        <v>117</v>
      </c>
      <c r="G71" s="333"/>
      <c r="H71" s="334">
        <f>SUMIF($F$9:$F$68,"M.",$H$9:$H$68)</f>
        <v>229320</v>
      </c>
      <c r="I71" s="333"/>
      <c r="J71" s="335"/>
      <c r="K71" s="322"/>
      <c r="L71" s="248"/>
      <c r="M71" s="147"/>
      <c r="N71" s="336"/>
    </row>
    <row r="72" spans="1:14">
      <c r="A72" s="337"/>
      <c r="B72" s="126"/>
      <c r="C72" s="98"/>
      <c r="D72" s="138"/>
      <c r="E72" s="554">
        <f>SUMIF($F$9:$F$68,"PCS.",$E$9:$E$68)</f>
        <v>1695</v>
      </c>
      <c r="F72" s="555" t="s">
        <v>118</v>
      </c>
      <c r="G72" s="110"/>
      <c r="H72" s="217">
        <f>SUMIF($F$9:$F$68,"PCS.",$H$9:$H$68)</f>
        <v>178318</v>
      </c>
      <c r="I72" s="99"/>
      <c r="J72" s="280"/>
      <c r="K72" s="115"/>
      <c r="L72" s="140"/>
      <c r="M72" s="98"/>
      <c r="N72" s="278"/>
    </row>
    <row r="73" spans="1:14" ht="15.5" thickBot="1">
      <c r="A73" s="338"/>
      <c r="B73" s="316"/>
      <c r="C73" s="101"/>
      <c r="D73" s="339"/>
      <c r="E73" s="556">
        <f>SUMIF($F$9:$F$68,"SET.",$E$9:$E$68)</f>
        <v>130</v>
      </c>
      <c r="F73" s="557" t="s">
        <v>144</v>
      </c>
      <c r="G73" s="340"/>
      <c r="H73" s="341">
        <f>SUMIF($F$9:$F$68,"SET.",$H$9:$H$68)</f>
        <v>4600</v>
      </c>
      <c r="I73" s="319"/>
      <c r="J73" s="342"/>
      <c r="K73" s="323"/>
      <c r="L73" s="249"/>
      <c r="M73" s="101"/>
      <c r="N73" s="343"/>
    </row>
    <row r="74" spans="1:14" ht="14" customHeight="1" thickBot="1">
      <c r="A74" s="325"/>
      <c r="B74" s="103" t="s">
        <v>129</v>
      </c>
      <c r="C74" s="29"/>
      <c r="D74" s="29"/>
      <c r="E74" s="103"/>
      <c r="F74" s="326"/>
      <c r="G74" s="234" t="s">
        <v>138</v>
      </c>
      <c r="H74" s="327">
        <f>SUM(H9:H68)</f>
        <v>412238</v>
      </c>
      <c r="I74" s="328"/>
      <c r="J74" s="329"/>
      <c r="K74" s="290"/>
      <c r="L74" s="291"/>
      <c r="M74" s="174"/>
      <c r="N74" s="222"/>
    </row>
    <row r="75" spans="1:14">
      <c r="A75" s="281"/>
      <c r="B75" s="26"/>
      <c r="C75" s="179"/>
      <c r="D75" s="3"/>
      <c r="E75" s="180"/>
      <c r="F75" s="155"/>
      <c r="G75" s="181"/>
      <c r="H75" s="182"/>
      <c r="I75" s="71"/>
      <c r="J75" s="70"/>
      <c r="K75"/>
      <c r="L75"/>
      <c r="M75" s="70"/>
      <c r="N75" s="70"/>
    </row>
    <row r="76" spans="1:14">
      <c r="A76" s="281"/>
      <c r="B76" s="26"/>
      <c r="C76" s="179"/>
      <c r="D76" s="3"/>
      <c r="E76" s="180"/>
      <c r="F76" s="155"/>
      <c r="G76" s="181"/>
      <c r="H76" s="182"/>
      <c r="I76" s="71"/>
      <c r="J76" s="70"/>
      <c r="K76"/>
      <c r="L76"/>
      <c r="M76" s="70"/>
      <c r="N76" s="70"/>
    </row>
    <row r="77" spans="1:14">
      <c r="A77" s="281"/>
      <c r="B77" s="26"/>
      <c r="C77" s="179"/>
      <c r="D77" s="3"/>
      <c r="E77" s="180"/>
      <c r="F77" s="155"/>
      <c r="G77" s="181"/>
      <c r="H77" s="182"/>
      <c r="I77" s="71"/>
      <c r="J77" s="70"/>
      <c r="K77"/>
      <c r="L77"/>
      <c r="M77" s="70"/>
      <c r="N77" s="70"/>
    </row>
    <row r="78" spans="1:14">
      <c r="A78" s="281"/>
      <c r="B78" s="26"/>
      <c r="C78" s="179"/>
      <c r="D78" s="3"/>
      <c r="E78" s="180"/>
      <c r="F78" s="70"/>
      <c r="G78" s="181"/>
      <c r="H78" s="182"/>
      <c r="I78" s="71"/>
      <c r="J78" s="70"/>
      <c r="K78"/>
      <c r="L78"/>
      <c r="M78" s="70"/>
      <c r="N78" s="70"/>
    </row>
    <row r="79" spans="1:14">
      <c r="A79" s="281"/>
      <c r="B79" s="183"/>
      <c r="C79" s="70"/>
      <c r="D79" s="3"/>
      <c r="E79" s="184"/>
      <c r="F79" s="185"/>
      <c r="G79" s="186"/>
      <c r="H79" s="182"/>
      <c r="I79" s="71"/>
      <c r="J79" s="70"/>
      <c r="K79"/>
      <c r="L79"/>
      <c r="M79" s="70"/>
      <c r="N79" s="70"/>
    </row>
    <row r="80" spans="1:14">
      <c r="A80" s="281"/>
      <c r="B80" s="26"/>
      <c r="C80" s="179"/>
      <c r="D80" s="3"/>
      <c r="E80" s="180"/>
      <c r="F80" s="155"/>
      <c r="G80" s="181"/>
      <c r="H80" s="182"/>
      <c r="I80" s="71"/>
      <c r="J80" s="70"/>
      <c r="K80"/>
      <c r="L80"/>
      <c r="M80" s="70"/>
      <c r="N80" s="70"/>
    </row>
    <row r="81" spans="1:14" s="187" customFormat="1">
      <c r="A81" s="281"/>
      <c r="B81" s="183"/>
      <c r="C81" s="70"/>
      <c r="D81" s="3"/>
      <c r="E81" s="184"/>
      <c r="F81" s="185"/>
      <c r="G81" s="186"/>
      <c r="H81" s="182"/>
      <c r="I81" s="279"/>
      <c r="J81"/>
      <c r="K81"/>
      <c r="L81"/>
      <c r="M81" s="70"/>
      <c r="N81" s="70"/>
    </row>
    <row r="82" spans="1:14" s="187" customFormat="1">
      <c r="A82" s="281"/>
      <c r="B82" s="183"/>
      <c r="C82" s="70"/>
      <c r="D82" s="3"/>
      <c r="E82" s="184"/>
      <c r="F82" s="185"/>
      <c r="G82" s="186"/>
      <c r="H82" s="182"/>
      <c r="I82" s="279"/>
      <c r="J82"/>
      <c r="K82"/>
      <c r="L82"/>
      <c r="M82" s="70"/>
      <c r="N82" s="70"/>
    </row>
    <row r="83" spans="1:14">
      <c r="A83" s="281"/>
      <c r="B83" s="183"/>
      <c r="C83" s="70"/>
      <c r="D83" s="3"/>
      <c r="E83" s="184"/>
      <c r="F83" s="185"/>
      <c r="G83" s="186"/>
      <c r="H83" s="182"/>
      <c r="I83" s="279"/>
      <c r="K83"/>
      <c r="L83"/>
      <c r="M83" s="70"/>
      <c r="N83" s="70"/>
    </row>
    <row r="84" spans="1:14" ht="14" customHeight="1">
      <c r="A84" s="282"/>
      <c r="B84" s="188"/>
      <c r="C84" s="189"/>
      <c r="D84" s="190"/>
      <c r="E84" s="191"/>
      <c r="F84" s="191"/>
      <c r="G84" s="189"/>
      <c r="H84" s="1"/>
      <c r="I84" s="71"/>
      <c r="J84" s="192"/>
      <c r="K84"/>
      <c r="L84"/>
      <c r="M84" s="70"/>
      <c r="N84" s="70"/>
    </row>
    <row r="85" spans="1:14">
      <c r="A85" s="281"/>
      <c r="B85" s="26"/>
      <c r="C85" s="179"/>
      <c r="D85" s="3"/>
      <c r="E85" s="180"/>
      <c r="F85" s="155"/>
      <c r="G85" s="181"/>
      <c r="H85" s="182"/>
      <c r="I85" s="71"/>
      <c r="J85" s="70"/>
      <c r="K85"/>
      <c r="L85"/>
      <c r="M85" s="70"/>
      <c r="N85" s="70"/>
    </row>
    <row r="86" spans="1:14">
      <c r="A86" s="281"/>
      <c r="B86" s="26"/>
      <c r="C86" s="179"/>
      <c r="D86" s="3"/>
      <c r="E86" s="180"/>
      <c r="F86" s="155"/>
      <c r="G86" s="181"/>
      <c r="H86" s="182"/>
      <c r="I86" s="71"/>
      <c r="J86" s="70"/>
      <c r="K86"/>
      <c r="L86"/>
      <c r="M86" s="70"/>
      <c r="N86" s="70"/>
    </row>
    <row r="87" spans="1:14">
      <c r="A87" s="281"/>
      <c r="B87" s="26"/>
      <c r="C87" s="179"/>
      <c r="D87" s="3"/>
      <c r="E87" s="180"/>
      <c r="F87" s="155"/>
      <c r="G87" s="181"/>
      <c r="H87" s="182"/>
      <c r="I87" s="71"/>
      <c r="J87" s="70"/>
      <c r="K87"/>
      <c r="L87"/>
      <c r="M87" s="70"/>
      <c r="N87" s="70"/>
    </row>
    <row r="88" spans="1:14">
      <c r="A88" s="19"/>
      <c r="B88" s="193"/>
      <c r="C88" s="70"/>
      <c r="D88" s="3"/>
      <c r="E88" s="184"/>
      <c r="F88" s="185"/>
      <c r="G88" s="186"/>
      <c r="H88" s="182"/>
      <c r="I88" s="71"/>
      <c r="J88" s="70"/>
      <c r="K88"/>
      <c r="L88"/>
      <c r="M88" s="70"/>
      <c r="N88" s="70"/>
    </row>
    <row r="89" spans="1:14">
      <c r="A89" s="281"/>
      <c r="B89" s="26"/>
      <c r="C89" s="179"/>
      <c r="D89" s="3"/>
      <c r="E89" s="180"/>
      <c r="F89" s="185"/>
      <c r="G89" s="186"/>
      <c r="H89" s="182"/>
      <c r="I89" s="71"/>
      <c r="J89" s="70"/>
      <c r="K89"/>
      <c r="L89"/>
      <c r="M89" s="70"/>
      <c r="N89" s="70"/>
    </row>
    <row r="90" spans="1:14">
      <c r="A90" s="281"/>
      <c r="B90" s="26"/>
      <c r="C90" s="179"/>
      <c r="D90" s="3"/>
      <c r="E90" s="180"/>
      <c r="F90" s="185"/>
      <c r="G90" s="186"/>
      <c r="H90" s="182"/>
      <c r="I90" s="71"/>
      <c r="J90" s="70"/>
      <c r="K90"/>
      <c r="L90"/>
      <c r="M90" s="70"/>
      <c r="N90" s="70"/>
    </row>
    <row r="91" spans="1:14">
      <c r="A91" s="294"/>
      <c r="B91" s="295"/>
      <c r="C91" s="296"/>
      <c r="D91" s="297"/>
      <c r="E91" s="298"/>
      <c r="F91" s="299"/>
      <c r="G91" s="300"/>
      <c r="H91" s="301"/>
      <c r="K91"/>
      <c r="L91"/>
      <c r="M91"/>
      <c r="N91"/>
    </row>
    <row r="92" spans="1:14">
      <c r="A92" s="281"/>
      <c r="B92" s="26"/>
      <c r="C92" s="179"/>
      <c r="D92" s="3"/>
      <c r="E92" s="180"/>
      <c r="F92" s="155"/>
      <c r="G92" s="181"/>
      <c r="H92" s="182"/>
      <c r="I92" s="71"/>
      <c r="J92" s="70"/>
      <c r="K92"/>
      <c r="L92"/>
      <c r="M92" s="70"/>
      <c r="N92" s="70"/>
    </row>
    <row r="93" spans="1:14">
      <c r="A93" s="281"/>
      <c r="B93" s="26"/>
      <c r="C93" s="179"/>
      <c r="D93" s="3"/>
      <c r="E93" s="180"/>
      <c r="F93" s="70"/>
      <c r="G93" s="181"/>
      <c r="H93" s="182"/>
      <c r="I93" s="71"/>
      <c r="J93" s="70"/>
      <c r="K93"/>
      <c r="L93"/>
      <c r="M93" s="70"/>
      <c r="N93" s="70"/>
    </row>
    <row r="94" spans="1:14">
      <c r="A94" s="281"/>
      <c r="B94" s="183"/>
      <c r="C94" s="70"/>
      <c r="D94" s="3"/>
      <c r="E94" s="184"/>
      <c r="F94" s="185"/>
      <c r="G94" s="186"/>
      <c r="H94" s="182"/>
      <c r="I94" s="71"/>
      <c r="J94" s="70"/>
      <c r="K94"/>
      <c r="L94"/>
      <c r="M94" s="70"/>
      <c r="N94" s="70"/>
    </row>
    <row r="95" spans="1:14">
      <c r="A95" s="281"/>
      <c r="B95" s="26"/>
      <c r="C95" s="179"/>
      <c r="D95" s="3"/>
      <c r="E95" s="180"/>
      <c r="F95" s="155"/>
      <c r="G95" s="181"/>
      <c r="H95" s="182"/>
      <c r="I95" s="71"/>
      <c r="J95" s="70"/>
      <c r="K95"/>
      <c r="L95"/>
      <c r="M95" s="70"/>
      <c r="N95" s="70"/>
    </row>
    <row r="96" spans="1:14" s="187" customFormat="1">
      <c r="A96" s="281"/>
      <c r="B96" s="183"/>
      <c r="C96" s="70"/>
      <c r="D96" s="3"/>
      <c r="E96" s="184"/>
      <c r="F96" s="185"/>
      <c r="G96" s="186"/>
      <c r="H96" s="182"/>
      <c r="I96" s="279"/>
      <c r="J96"/>
      <c r="K96"/>
      <c r="L96"/>
      <c r="M96" s="70"/>
      <c r="N96" s="70"/>
    </row>
    <row r="97" spans="1:14">
      <c r="A97" s="281"/>
      <c r="B97" s="26"/>
      <c r="C97" s="179"/>
      <c r="D97" s="3"/>
      <c r="E97" s="180"/>
      <c r="F97" s="155"/>
      <c r="G97" s="181"/>
      <c r="H97" s="182"/>
      <c r="I97" s="71"/>
      <c r="J97" s="70"/>
      <c r="K97"/>
      <c r="L97"/>
      <c r="M97" s="70"/>
      <c r="N97" s="70"/>
    </row>
    <row r="98" spans="1:14" ht="14" customHeight="1">
      <c r="A98" s="282"/>
      <c r="B98" s="188"/>
      <c r="C98" s="189"/>
      <c r="D98" s="190"/>
      <c r="E98" s="194"/>
      <c r="F98" s="194"/>
      <c r="G98" s="195"/>
      <c r="H98" s="196"/>
      <c r="I98" s="71"/>
      <c r="J98" s="192"/>
      <c r="K98"/>
      <c r="L98"/>
      <c r="M98" s="70"/>
      <c r="N98" s="70"/>
    </row>
    <row r="99" spans="1:14" ht="14" customHeight="1">
      <c r="A99" s="282"/>
      <c r="B99" s="183"/>
      <c r="C99" s="70"/>
      <c r="D99" s="197"/>
      <c r="E99" s="198"/>
      <c r="F99" s="199"/>
      <c r="G99" s="200"/>
      <c r="H99" s="201"/>
      <c r="I99" s="71"/>
      <c r="J99" s="192"/>
      <c r="K99"/>
      <c r="L99"/>
      <c r="M99" s="70"/>
      <c r="N99" s="70"/>
    </row>
    <row r="100" spans="1:14" ht="14" customHeight="1">
      <c r="A100" s="282"/>
      <c r="B100" s="183"/>
      <c r="C100" s="70"/>
      <c r="D100" s="197"/>
      <c r="E100" s="198"/>
      <c r="F100" s="199"/>
      <c r="G100" s="200"/>
      <c r="H100" s="201"/>
      <c r="I100" s="71"/>
      <c r="J100" s="192"/>
      <c r="K100"/>
      <c r="L100"/>
      <c r="M100" s="70"/>
      <c r="N100" s="70"/>
    </row>
    <row r="101" spans="1:14">
      <c r="A101" s="281"/>
      <c r="B101" s="183"/>
      <c r="C101" s="70"/>
      <c r="D101" s="197"/>
      <c r="E101" s="198"/>
      <c r="F101" s="199"/>
      <c r="G101" s="200"/>
      <c r="H101" s="201"/>
      <c r="I101" s="279"/>
      <c r="K101"/>
      <c r="L101"/>
      <c r="M101" s="70"/>
      <c r="N101" s="70"/>
    </row>
    <row r="102" spans="1:14" ht="14" customHeight="1">
      <c r="A102" s="282"/>
      <c r="B102" s="188"/>
      <c r="C102" s="189"/>
      <c r="D102" s="190"/>
      <c r="E102" s="194"/>
      <c r="F102" s="194"/>
      <c r="G102" s="195"/>
      <c r="H102" s="196"/>
      <c r="I102" s="71"/>
      <c r="J102" s="192"/>
      <c r="K102"/>
      <c r="L102"/>
      <c r="M102" s="70"/>
      <c r="N102" s="70"/>
    </row>
    <row r="103" spans="1:14">
      <c r="A103" s="281"/>
      <c r="B103" s="26"/>
      <c r="C103" s="179"/>
      <c r="D103" s="197"/>
      <c r="E103" s="202"/>
      <c r="F103" s="203"/>
      <c r="G103" s="204"/>
      <c r="H103" s="201"/>
      <c r="I103" s="71"/>
      <c r="J103" s="70"/>
      <c r="K103"/>
      <c r="L103"/>
      <c r="M103" s="70"/>
      <c r="N103" s="70"/>
    </row>
    <row r="104" spans="1:14">
      <c r="A104" s="281"/>
      <c r="B104" s="26"/>
      <c r="C104" s="179"/>
      <c r="D104" s="197"/>
      <c r="E104" s="202"/>
      <c r="F104" s="203"/>
      <c r="G104" s="204"/>
      <c r="H104" s="201"/>
      <c r="I104" s="71"/>
      <c r="J104" s="70"/>
      <c r="K104"/>
      <c r="L104"/>
      <c r="M104" s="70"/>
      <c r="N104" s="70"/>
    </row>
    <row r="105" spans="1:14">
      <c r="A105" s="281"/>
      <c r="B105" s="26"/>
      <c r="C105" s="179"/>
      <c r="D105" s="197"/>
      <c r="E105" s="202"/>
      <c r="F105" s="203"/>
      <c r="G105" s="204"/>
      <c r="H105" s="201"/>
      <c r="I105" s="71"/>
      <c r="J105" s="70"/>
      <c r="K105"/>
      <c r="L105"/>
      <c r="M105" s="70"/>
      <c r="N105" s="70"/>
    </row>
    <row r="106" spans="1:14">
      <c r="A106" s="19"/>
      <c r="B106" s="193"/>
      <c r="C106" s="70"/>
      <c r="D106" s="197"/>
      <c r="E106" s="198"/>
      <c r="F106" s="199"/>
      <c r="G106" s="200"/>
      <c r="H106" s="201"/>
      <c r="I106" s="71"/>
      <c r="J106" s="70"/>
      <c r="K106"/>
      <c r="L106"/>
      <c r="M106" s="70"/>
      <c r="N106" s="70"/>
    </row>
    <row r="107" spans="1:14">
      <c r="A107" s="281"/>
      <c r="B107" s="26"/>
      <c r="C107" s="179"/>
      <c r="D107" s="197"/>
      <c r="E107" s="202"/>
      <c r="F107" s="199"/>
      <c r="G107" s="200"/>
      <c r="H107" s="201"/>
      <c r="I107" s="71"/>
      <c r="J107" s="70"/>
      <c r="K107"/>
      <c r="L107"/>
      <c r="M107" s="70"/>
      <c r="N107" s="70"/>
    </row>
    <row r="108" spans="1:14">
      <c r="A108" s="281"/>
      <c r="B108" s="26"/>
      <c r="C108" s="179"/>
      <c r="D108" s="197"/>
      <c r="E108" s="202"/>
      <c r="F108" s="205"/>
      <c r="G108" s="204"/>
      <c r="H108" s="201"/>
      <c r="I108" s="71"/>
      <c r="J108" s="70"/>
      <c r="K108"/>
      <c r="L108"/>
      <c r="M108" s="70"/>
      <c r="N108" s="70"/>
    </row>
    <row r="109" spans="1:14">
      <c r="A109" s="281"/>
      <c r="B109" s="183"/>
      <c r="C109" s="70"/>
      <c r="D109" s="197"/>
      <c r="E109" s="198"/>
      <c r="F109" s="199"/>
      <c r="G109" s="200"/>
      <c r="H109" s="201"/>
      <c r="I109" s="71"/>
      <c r="J109" s="70"/>
      <c r="K109"/>
      <c r="L109"/>
      <c r="M109" s="70"/>
      <c r="N109" s="70"/>
    </row>
    <row r="110" spans="1:14">
      <c r="A110" s="281"/>
      <c r="B110" s="26"/>
      <c r="C110" s="179"/>
      <c r="D110" s="197"/>
      <c r="E110" s="202"/>
      <c r="F110" s="199"/>
      <c r="G110" s="204"/>
      <c r="H110" s="201"/>
      <c r="I110" s="71"/>
      <c r="J110" s="70"/>
      <c r="K110"/>
      <c r="L110"/>
      <c r="M110" s="70"/>
      <c r="N110" s="70"/>
    </row>
    <row r="111" spans="1:14">
      <c r="A111" s="281"/>
      <c r="B111" s="26"/>
      <c r="C111" s="179"/>
      <c r="D111" s="197"/>
      <c r="E111" s="202"/>
      <c r="F111" s="199"/>
      <c r="G111" s="204"/>
      <c r="H111" s="201"/>
      <c r="I111" s="71"/>
      <c r="J111" s="70"/>
      <c r="K111"/>
      <c r="L111"/>
      <c r="M111" s="70"/>
      <c r="N111" s="70"/>
    </row>
    <row r="112" spans="1:14">
      <c r="A112" s="281"/>
      <c r="B112" s="188"/>
      <c r="C112" s="188"/>
      <c r="D112" s="190"/>
      <c r="E112" s="206"/>
      <c r="F112" s="194"/>
      <c r="G112" s="195"/>
      <c r="H112" s="196"/>
      <c r="I112" s="71"/>
      <c r="J112" s="192"/>
      <c r="K112"/>
      <c r="L112"/>
      <c r="M112" s="70"/>
      <c r="N112" s="70"/>
    </row>
    <row r="113" spans="1:14">
      <c r="A113" s="231"/>
      <c r="B113" s="70"/>
      <c r="C113" s="70"/>
      <c r="D113" s="197"/>
      <c r="E113" s="198"/>
      <c r="F113" s="199"/>
      <c r="G113" s="204"/>
      <c r="H113" s="201"/>
      <c r="I113" s="71"/>
      <c r="J113" s="192"/>
      <c r="K113"/>
      <c r="L113"/>
      <c r="M113" s="70"/>
      <c r="N113" s="70"/>
    </row>
    <row r="114" spans="1:14">
      <c r="A114" s="230"/>
      <c r="B114" s="188"/>
      <c r="C114" s="188"/>
      <c r="D114" s="190"/>
      <c r="E114" s="198"/>
      <c r="F114" s="205"/>
      <c r="G114" s="204"/>
      <c r="H114" s="201"/>
      <c r="K114"/>
      <c r="L114"/>
      <c r="M114" s="70"/>
      <c r="N114" s="70"/>
    </row>
    <row r="115" spans="1:14">
      <c r="A115" s="232"/>
      <c r="B115" s="70"/>
      <c r="C115" s="70"/>
      <c r="D115" s="207"/>
      <c r="E115" s="198"/>
      <c r="F115" s="205"/>
      <c r="G115" s="204"/>
      <c r="H115" s="201"/>
      <c r="I115" s="283"/>
      <c r="J115" s="208"/>
      <c r="K115"/>
      <c r="L115"/>
      <c r="M115" s="70"/>
      <c r="N115" s="70"/>
    </row>
    <row r="116" spans="1:14">
      <c r="A116" s="26"/>
      <c r="B116" s="26"/>
      <c r="C116" s="70"/>
      <c r="D116" s="207"/>
      <c r="E116" s="202"/>
      <c r="F116" s="205"/>
      <c r="G116" s="204"/>
      <c r="H116" s="201"/>
      <c r="K116"/>
      <c r="L116"/>
      <c r="M116" s="70"/>
      <c r="N116" s="70"/>
    </row>
    <row r="117" spans="1:14">
      <c r="A117" s="233"/>
      <c r="B117" s="131"/>
      <c r="C117" s="109"/>
      <c r="D117" s="197"/>
      <c r="E117" s="209"/>
      <c r="F117" s="203"/>
      <c r="G117" s="201"/>
      <c r="H117" s="209"/>
      <c r="I117" s="182"/>
      <c r="J117" s="3"/>
      <c r="K117" s="70"/>
      <c r="L117" s="43"/>
      <c r="M117" s="70"/>
    </row>
    <row r="118" spans="1:14">
      <c r="A118" s="3"/>
      <c r="B118" s="131"/>
      <c r="C118" s="70"/>
      <c r="D118" s="170"/>
      <c r="E118" s="209"/>
      <c r="F118" s="203"/>
      <c r="G118" s="201"/>
      <c r="H118" s="209"/>
      <c r="I118" s="3"/>
      <c r="J118" s="3"/>
      <c r="K118" s="70"/>
      <c r="L118" s="43"/>
      <c r="M118" s="70"/>
    </row>
    <row r="119" spans="1:14">
      <c r="A119" s="187"/>
      <c r="B119" s="210"/>
      <c r="C119" s="173"/>
      <c r="D119" s="211"/>
      <c r="E119" s="284"/>
      <c r="F119" s="212"/>
      <c r="G119" s="213"/>
      <c r="H119" s="214"/>
      <c r="I119" s="8"/>
      <c r="J119" s="8"/>
      <c r="K119" s="173"/>
      <c r="L119" s="215"/>
      <c r="M119" s="173"/>
      <c r="N119" s="216"/>
    </row>
    <row r="120" spans="1:14">
      <c r="E120" s="107"/>
      <c r="F120" s="107"/>
      <c r="G120" s="107"/>
      <c r="H120" s="108"/>
    </row>
    <row r="123" spans="1:14">
      <c r="C123" s="107"/>
      <c r="D123" s="107"/>
      <c r="I123" s="107"/>
      <c r="J123" s="107"/>
      <c r="K123" s="108"/>
      <c r="L123" s="107"/>
    </row>
    <row r="124" spans="1:14">
      <c r="C124" s="107"/>
      <c r="D124" s="107"/>
      <c r="I124" s="107"/>
      <c r="J124" s="107"/>
      <c r="K124" s="108"/>
      <c r="L124" s="107"/>
    </row>
    <row r="171" spans="1:15" s="142" customFormat="1" ht="20">
      <c r="A171" s="129" t="s">
        <v>133</v>
      </c>
      <c r="C171" s="93"/>
      <c r="D171"/>
      <c r="E171"/>
      <c r="F171" s="93"/>
      <c r="G171"/>
      <c r="H171" s="93"/>
      <c r="I171"/>
      <c r="J171"/>
      <c r="K171" s="93"/>
      <c r="L171" s="97"/>
      <c r="M171" s="93"/>
      <c r="N171" s="93"/>
      <c r="O171"/>
    </row>
  </sheetData>
  <mergeCells count="11">
    <mergeCell ref="M9:M12"/>
    <mergeCell ref="M14:M19"/>
    <mergeCell ref="M21:M69"/>
    <mergeCell ref="A2:H2"/>
    <mergeCell ref="F4:G4"/>
    <mergeCell ref="A9:A12"/>
    <mergeCell ref="I9:I12"/>
    <mergeCell ref="A14:A19"/>
    <mergeCell ref="I14:I19"/>
    <mergeCell ref="A21:A69"/>
    <mergeCell ref="I21:I69"/>
  </mergeCells>
  <phoneticPr fontId="11"/>
  <pageMargins left="0.51181102362204722" right="0" top="0.74803149606299213" bottom="0.74803149606299213" header="0.31496062992125984" footer="0.31496062992125984"/>
  <pageSetup paperSize="9" scale="35" fitToHeight="0" orientation="portrait" r:id="rId1"/>
  <headerFooter>
    <oddFooter>&amp;C&amp;"Century Gothic,太字"&amp;10&amp;  -   P A G E  3- &amp;P  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A473-424C-4035-B9FF-5BA4CCEB664D}">
  <sheetPr>
    <pageSetUpPr fitToPage="1"/>
  </sheetPr>
  <dimension ref="A1:D178"/>
  <sheetViews>
    <sheetView view="pageBreakPreview" zoomScale="80" zoomScaleNormal="70" zoomScaleSheetLayoutView="80" workbookViewId="0">
      <selection activeCell="H34" sqref="H34"/>
    </sheetView>
  </sheetViews>
  <sheetFormatPr defaultRowHeight="15"/>
  <cols>
    <col min="1" max="1" width="7.90625" customWidth="1"/>
    <col min="2" max="2" width="38.08984375" style="142" customWidth="1"/>
    <col min="3" max="3" width="81.6328125" customWidth="1"/>
    <col min="4" max="4" width="23.6328125" customWidth="1"/>
  </cols>
  <sheetData>
    <row r="1" spans="1:4" ht="17.399999999999999" customHeight="1">
      <c r="A1" s="45"/>
    </row>
    <row r="2" spans="1:4" ht="15" customHeight="1">
      <c r="A2" s="481" t="s">
        <v>152</v>
      </c>
      <c r="B2" s="481"/>
      <c r="C2" s="305"/>
    </row>
    <row r="3" spans="1:4" ht="15.65" customHeight="1" thickBot="1">
      <c r="A3" s="128"/>
      <c r="B3" s="143"/>
      <c r="C3" s="128"/>
    </row>
    <row r="4" spans="1:4" ht="21.75" customHeight="1" thickBot="1">
      <c r="A4" s="152" t="s">
        <v>60</v>
      </c>
      <c r="B4" s="144" t="s">
        <v>130</v>
      </c>
      <c r="C4" s="134" t="s">
        <v>120</v>
      </c>
      <c r="D4" s="153" t="s">
        <v>136</v>
      </c>
    </row>
    <row r="5" spans="1:4" ht="16.25" customHeight="1">
      <c r="A5" s="478" t="s">
        <v>177</v>
      </c>
      <c r="B5" s="262"/>
      <c r="C5" s="246" t="s">
        <v>169</v>
      </c>
      <c r="D5" s="365"/>
    </row>
    <row r="6" spans="1:4" ht="15" customHeight="1">
      <c r="A6" s="479"/>
      <c r="B6" s="263" t="s">
        <v>163</v>
      </c>
      <c r="C6" s="265" t="s">
        <v>155</v>
      </c>
      <c r="D6" s="366" t="s">
        <v>137</v>
      </c>
    </row>
    <row r="7" spans="1:4" ht="15" customHeight="1">
      <c r="A7" s="479"/>
      <c r="B7" s="126" t="s">
        <v>155</v>
      </c>
      <c r="C7" s="265" t="s">
        <v>165</v>
      </c>
      <c r="D7" s="367" t="s">
        <v>91</v>
      </c>
    </row>
    <row r="8" spans="1:4" ht="15" customHeight="1">
      <c r="A8" s="479"/>
      <c r="B8" s="267" t="s">
        <v>156</v>
      </c>
      <c r="C8" s="266" t="s">
        <v>166</v>
      </c>
      <c r="D8" s="367"/>
    </row>
    <row r="9" spans="1:4" ht="15" customHeight="1" thickBot="1">
      <c r="A9" s="480"/>
      <c r="B9" s="293" t="s">
        <v>154</v>
      </c>
      <c r="C9" s="269"/>
      <c r="D9" s="345"/>
    </row>
    <row r="10" spans="1:4" ht="15" customHeight="1" thickBot="1">
      <c r="A10" s="352"/>
      <c r="B10" s="363"/>
      <c r="C10" s="364"/>
      <c r="D10" s="344"/>
    </row>
    <row r="11" spans="1:4" ht="19.5" customHeight="1" thickBot="1">
      <c r="A11" s="152"/>
      <c r="B11" s="144" t="s">
        <v>130</v>
      </c>
      <c r="C11" s="134" t="s">
        <v>120</v>
      </c>
      <c r="D11" s="153" t="s">
        <v>136</v>
      </c>
    </row>
    <row r="12" spans="1:4" ht="16.25" customHeight="1">
      <c r="A12" s="466" t="s">
        <v>178</v>
      </c>
      <c r="B12" s="385"/>
      <c r="C12" s="246" t="s">
        <v>169</v>
      </c>
      <c r="D12" s="365"/>
    </row>
    <row r="13" spans="1:4" ht="15" customHeight="1">
      <c r="A13" s="467"/>
      <c r="B13" s="386" t="s">
        <v>167</v>
      </c>
      <c r="C13" s="265"/>
      <c r="D13" s="366" t="s">
        <v>137</v>
      </c>
    </row>
    <row r="14" spans="1:4" ht="15" customHeight="1">
      <c r="A14" s="467"/>
      <c r="B14" s="387" t="s">
        <v>157</v>
      </c>
      <c r="C14" s="265"/>
      <c r="D14" s="367" t="s">
        <v>91</v>
      </c>
    </row>
    <row r="15" spans="1:4" ht="15" customHeight="1">
      <c r="A15" s="467"/>
      <c r="B15" s="388" t="s">
        <v>168</v>
      </c>
      <c r="C15" s="266"/>
      <c r="D15" s="367"/>
    </row>
    <row r="16" spans="1:4" ht="15" customHeight="1" thickBot="1">
      <c r="A16" s="467"/>
      <c r="B16" s="389"/>
      <c r="C16" s="269"/>
      <c r="D16" s="345"/>
    </row>
    <row r="17" spans="1:4" ht="15" customHeight="1" thickBot="1">
      <c r="A17" s="467"/>
      <c r="B17" s="308"/>
      <c r="C17" s="303"/>
      <c r="D17" s="344"/>
    </row>
    <row r="18" spans="1:4" ht="21.75" customHeight="1" thickBot="1">
      <c r="A18" s="467"/>
      <c r="B18" s="385"/>
      <c r="C18" s="246" t="s">
        <v>169</v>
      </c>
      <c r="D18" s="153" t="s">
        <v>136</v>
      </c>
    </row>
    <row r="19" spans="1:4" ht="16.25" customHeight="1">
      <c r="A19" s="467"/>
      <c r="B19" s="386" t="s">
        <v>170</v>
      </c>
      <c r="C19" s="265"/>
      <c r="D19" s="365"/>
    </row>
    <row r="20" spans="1:4" ht="15" customHeight="1">
      <c r="A20" s="467"/>
      <c r="B20" s="387" t="s">
        <v>157</v>
      </c>
      <c r="C20" s="265"/>
      <c r="D20" s="366" t="s">
        <v>137</v>
      </c>
    </row>
    <row r="21" spans="1:4" ht="15" customHeight="1">
      <c r="A21" s="467"/>
      <c r="B21" s="388" t="s">
        <v>168</v>
      </c>
      <c r="C21" s="266"/>
      <c r="D21" s="367" t="s">
        <v>91</v>
      </c>
    </row>
    <row r="22" spans="1:4" ht="15" customHeight="1" thickBot="1">
      <c r="A22" s="467"/>
      <c r="B22" s="389"/>
      <c r="C22" s="269"/>
      <c r="D22" s="367"/>
    </row>
    <row r="23" spans="1:4" ht="15" customHeight="1" thickBot="1">
      <c r="A23" s="467"/>
      <c r="B23" s="308"/>
      <c r="C23" s="303"/>
      <c r="D23" s="345"/>
    </row>
    <row r="24" spans="1:4" ht="15" customHeight="1" thickBot="1">
      <c r="A24" s="467"/>
      <c r="B24" s="385"/>
      <c r="C24" s="246" t="s">
        <v>173</v>
      </c>
      <c r="D24" s="344"/>
    </row>
    <row r="25" spans="1:4" ht="21.75" customHeight="1" thickBot="1">
      <c r="A25" s="467"/>
      <c r="B25" s="386" t="s">
        <v>171</v>
      </c>
      <c r="C25" s="265"/>
      <c r="D25" s="153" t="s">
        <v>136</v>
      </c>
    </row>
    <row r="26" spans="1:4" ht="16.25" customHeight="1">
      <c r="A26" s="467"/>
      <c r="B26" s="387" t="s">
        <v>172</v>
      </c>
      <c r="C26" s="265"/>
      <c r="D26" s="365"/>
    </row>
    <row r="27" spans="1:4" ht="15" customHeight="1">
      <c r="A27" s="467"/>
      <c r="B27" s="388" t="s">
        <v>168</v>
      </c>
      <c r="C27" s="266"/>
      <c r="D27" s="366" t="s">
        <v>137</v>
      </c>
    </row>
    <row r="28" spans="1:4" ht="15" customHeight="1" thickBot="1">
      <c r="A28" s="467"/>
      <c r="B28" s="389"/>
      <c r="C28" s="269"/>
      <c r="D28" s="367" t="s">
        <v>91</v>
      </c>
    </row>
    <row r="29" spans="1:4" ht="15" customHeight="1" thickBot="1">
      <c r="A29" s="467"/>
      <c r="B29" s="390"/>
      <c r="C29" s="118"/>
      <c r="D29" s="367"/>
    </row>
    <row r="30" spans="1:4" ht="15" customHeight="1" thickBot="1">
      <c r="A30" s="468"/>
      <c r="B30" s="429" t="s">
        <v>175</v>
      </c>
      <c r="C30" s="424" t="s">
        <v>174</v>
      </c>
      <c r="D30" s="345"/>
    </row>
    <row r="31" spans="1:4" ht="15" customHeight="1" thickBot="1">
      <c r="A31" s="368"/>
      <c r="B31" s="363"/>
      <c r="C31" s="364"/>
      <c r="D31" s="344"/>
    </row>
    <row r="32" spans="1:4" ht="21.75" customHeight="1" thickBot="1">
      <c r="A32" s="152" t="s">
        <v>60</v>
      </c>
      <c r="B32" s="144" t="s">
        <v>130</v>
      </c>
      <c r="C32" s="134" t="s">
        <v>120</v>
      </c>
      <c r="D32" s="153" t="s">
        <v>136</v>
      </c>
    </row>
    <row r="33" spans="1:4" ht="16.25" customHeight="1">
      <c r="A33" s="488">
        <v>15</v>
      </c>
      <c r="B33" s="413"/>
      <c r="C33" s="397" t="s">
        <v>180</v>
      </c>
      <c r="D33" s="365"/>
    </row>
    <row r="34" spans="1:4" ht="15" customHeight="1">
      <c r="A34" s="489"/>
      <c r="B34" s="395" t="s">
        <v>181</v>
      </c>
      <c r="C34" s="377" t="s">
        <v>183</v>
      </c>
      <c r="D34" s="366" t="s">
        <v>137</v>
      </c>
    </row>
    <row r="35" spans="1:4" ht="15" customHeight="1">
      <c r="A35" s="489"/>
      <c r="B35" s="395"/>
      <c r="C35" s="377" t="s">
        <v>184</v>
      </c>
      <c r="D35" s="367" t="s">
        <v>91</v>
      </c>
    </row>
    <row r="36" spans="1:4" ht="15" customHeight="1" thickBot="1">
      <c r="A36" s="490"/>
      <c r="B36" s="414"/>
      <c r="C36" s="371"/>
      <c r="D36" s="410"/>
    </row>
    <row r="37" spans="1:4" ht="15" customHeight="1" thickBot="1">
      <c r="A37" s="368"/>
      <c r="B37" s="363"/>
      <c r="C37" s="364"/>
      <c r="D37" s="344"/>
    </row>
    <row r="38" spans="1:4" ht="21.75" customHeight="1" thickBot="1">
      <c r="A38" s="152" t="s">
        <v>60</v>
      </c>
      <c r="B38" s="144" t="s">
        <v>130</v>
      </c>
      <c r="C38" s="134" t="s">
        <v>120</v>
      </c>
      <c r="D38" s="153" t="s">
        <v>136</v>
      </c>
    </row>
    <row r="39" spans="1:4" ht="16.25" customHeight="1">
      <c r="A39" s="488">
        <v>16</v>
      </c>
      <c r="B39" s="413"/>
      <c r="C39" s="397" t="s">
        <v>260</v>
      </c>
      <c r="D39" s="365"/>
    </row>
    <row r="40" spans="1:4" ht="15" customHeight="1">
      <c r="A40" s="489"/>
      <c r="B40" s="395" t="s">
        <v>186</v>
      </c>
      <c r="C40" s="452" t="s">
        <v>187</v>
      </c>
      <c r="D40" s="366" t="s">
        <v>137</v>
      </c>
    </row>
    <row r="41" spans="1:4" ht="15" customHeight="1">
      <c r="A41" s="489"/>
      <c r="B41" s="395"/>
      <c r="C41" s="377" t="s">
        <v>188</v>
      </c>
      <c r="D41" s="367" t="s">
        <v>91</v>
      </c>
    </row>
    <row r="42" spans="1:4" ht="15" customHeight="1" thickBot="1">
      <c r="A42" s="489"/>
      <c r="B42" s="414"/>
      <c r="C42" s="371"/>
      <c r="D42" s="367"/>
    </row>
    <row r="43" spans="1:4" ht="15" customHeight="1" thickBot="1">
      <c r="A43" s="489"/>
      <c r="B43" s="390"/>
      <c r="C43" s="118"/>
      <c r="D43" s="411"/>
    </row>
    <row r="44" spans="1:4" ht="15" customHeight="1" thickBot="1">
      <c r="A44" s="490"/>
      <c r="B44" s="429" t="s">
        <v>190</v>
      </c>
      <c r="C44" s="424" t="s">
        <v>191</v>
      </c>
      <c r="D44" s="344"/>
    </row>
    <row r="45" spans="1:4" ht="15" customHeight="1" thickBot="1">
      <c r="A45" s="369"/>
      <c r="B45" s="363"/>
      <c r="C45" s="364"/>
      <c r="D45" s="344"/>
    </row>
    <row r="46" spans="1:4" ht="21.75" customHeight="1" thickBot="1">
      <c r="A46" s="152" t="s">
        <v>60</v>
      </c>
      <c r="B46" s="144" t="s">
        <v>130</v>
      </c>
      <c r="C46" s="134" t="s">
        <v>120</v>
      </c>
      <c r="D46" s="153" t="s">
        <v>136</v>
      </c>
    </row>
    <row r="47" spans="1:4" ht="16.25" customHeight="1" thickBot="1">
      <c r="A47" s="562" t="s">
        <v>261</v>
      </c>
      <c r="B47" s="494"/>
      <c r="C47" s="495" t="s">
        <v>233</v>
      </c>
      <c r="D47" s="365"/>
    </row>
    <row r="48" spans="1:4" ht="15" customHeight="1">
      <c r="A48" s="563"/>
      <c r="B48" s="496" t="s">
        <v>192</v>
      </c>
      <c r="C48" s="535" t="s">
        <v>237</v>
      </c>
      <c r="D48" s="366"/>
    </row>
    <row r="49" spans="1:4" ht="15" customHeight="1">
      <c r="A49" s="563"/>
      <c r="B49" s="517" t="s">
        <v>194</v>
      </c>
      <c r="C49" s="535" t="s">
        <v>238</v>
      </c>
      <c r="D49" s="366"/>
    </row>
    <row r="50" spans="1:4" ht="15" customHeight="1">
      <c r="A50" s="563"/>
      <c r="B50" s="517">
        <v>1200</v>
      </c>
      <c r="C50" s="499" t="s">
        <v>239</v>
      </c>
      <c r="D50" s="366"/>
    </row>
    <row r="51" spans="1:4" ht="15" customHeight="1">
      <c r="A51" s="563"/>
      <c r="B51" s="518"/>
      <c r="C51" s="499" t="s">
        <v>229</v>
      </c>
      <c r="D51" s="366"/>
    </row>
    <row r="52" spans="1:4" ht="15" customHeight="1">
      <c r="A52" s="563"/>
      <c r="B52" s="517" t="s">
        <v>195</v>
      </c>
      <c r="C52" s="536" t="s">
        <v>240</v>
      </c>
      <c r="D52" s="366"/>
    </row>
    <row r="53" spans="1:4" ht="15" customHeight="1">
      <c r="A53" s="563"/>
      <c r="B53" s="506"/>
      <c r="C53" s="502" t="s">
        <v>230</v>
      </c>
      <c r="D53" s="366"/>
    </row>
    <row r="54" spans="1:4" ht="15" customHeight="1">
      <c r="A54" s="563"/>
      <c r="B54" s="506" t="s">
        <v>196</v>
      </c>
      <c r="C54" s="537" t="s">
        <v>241</v>
      </c>
      <c r="D54" s="366"/>
    </row>
    <row r="55" spans="1:4" ht="15" customHeight="1">
      <c r="A55" s="563"/>
      <c r="B55" s="506"/>
      <c r="C55" s="502" t="s">
        <v>231</v>
      </c>
      <c r="D55" s="366" t="s">
        <v>137</v>
      </c>
    </row>
    <row r="56" spans="1:4" ht="15" customHeight="1" thickBot="1">
      <c r="A56" s="563"/>
      <c r="B56" s="506"/>
      <c r="C56" s="502"/>
      <c r="D56" s="367" t="s">
        <v>91</v>
      </c>
    </row>
    <row r="57" spans="1:4" ht="15" customHeight="1" thickBot="1">
      <c r="A57" s="563"/>
      <c r="B57" s="494"/>
      <c r="C57" s="495" t="s">
        <v>234</v>
      </c>
      <c r="D57" s="366"/>
    </row>
    <row r="58" spans="1:4" ht="15" customHeight="1">
      <c r="A58" s="563"/>
      <c r="B58" s="506">
        <v>8070</v>
      </c>
      <c r="C58" s="502" t="s">
        <v>198</v>
      </c>
      <c r="D58" s="366"/>
    </row>
    <row r="59" spans="1:4" ht="14.5" customHeight="1">
      <c r="A59" s="563"/>
      <c r="B59" s="506" t="s">
        <v>199</v>
      </c>
      <c r="C59" s="502" t="s">
        <v>242</v>
      </c>
      <c r="D59" s="366"/>
    </row>
    <row r="60" spans="1:4" ht="15" customHeight="1">
      <c r="A60" s="563"/>
      <c r="B60" s="506" t="s">
        <v>201</v>
      </c>
      <c r="C60" s="502" t="s">
        <v>243</v>
      </c>
      <c r="D60" s="366"/>
    </row>
    <row r="61" spans="1:4" ht="15" customHeight="1" thickBot="1">
      <c r="A61" s="563"/>
      <c r="B61" s="506"/>
      <c r="C61" s="502"/>
      <c r="D61" s="366"/>
    </row>
    <row r="62" spans="1:4" ht="15" customHeight="1" thickBot="1">
      <c r="A62" s="563"/>
      <c r="B62" s="494"/>
      <c r="C62" s="495" t="s">
        <v>203</v>
      </c>
      <c r="D62" s="366"/>
    </row>
    <row r="63" spans="1:4" ht="15" customHeight="1">
      <c r="A63" s="563"/>
      <c r="B63" s="506">
        <v>1000</v>
      </c>
      <c r="C63" s="502" t="s">
        <v>198</v>
      </c>
      <c r="D63" s="366"/>
    </row>
    <row r="64" spans="1:4" ht="15" customHeight="1">
      <c r="A64" s="563"/>
      <c r="B64" s="506" t="s">
        <v>205</v>
      </c>
      <c r="C64" s="502" t="s">
        <v>244</v>
      </c>
      <c r="D64" s="366"/>
    </row>
    <row r="65" spans="1:4" ht="15" customHeight="1">
      <c r="A65" s="563"/>
      <c r="B65" s="506" t="s">
        <v>207</v>
      </c>
      <c r="C65" s="538" t="s">
        <v>245</v>
      </c>
      <c r="D65" s="367"/>
    </row>
    <row r="66" spans="1:4" ht="15" customHeight="1" thickBot="1">
      <c r="A66" s="563"/>
      <c r="B66" s="506"/>
      <c r="C66" s="499"/>
      <c r="D66" s="367"/>
    </row>
    <row r="67" spans="1:4" ht="15" customHeight="1" thickBot="1">
      <c r="A67" s="563"/>
      <c r="B67" s="494"/>
      <c r="C67" s="495" t="s">
        <v>235</v>
      </c>
      <c r="D67" s="367"/>
    </row>
    <row r="68" spans="1:4" ht="15" customHeight="1">
      <c r="A68" s="563"/>
      <c r="B68" s="506" t="s">
        <v>208</v>
      </c>
      <c r="C68" s="513" t="s">
        <v>209</v>
      </c>
      <c r="D68" s="367"/>
    </row>
    <row r="69" spans="1:4" ht="15" customHeight="1">
      <c r="A69" s="563"/>
      <c r="B69" s="506"/>
      <c r="C69" s="499" t="s">
        <v>232</v>
      </c>
      <c r="D69" s="408"/>
    </row>
    <row r="70" spans="1:4" ht="15" customHeight="1">
      <c r="A70" s="563"/>
      <c r="B70" s="506" t="s">
        <v>210</v>
      </c>
      <c r="C70" s="499" t="s">
        <v>246</v>
      </c>
      <c r="D70" s="412"/>
    </row>
    <row r="71" spans="1:4" ht="15" customHeight="1">
      <c r="A71" s="563"/>
      <c r="B71" s="506"/>
      <c r="C71" s="499" t="s">
        <v>211</v>
      </c>
      <c r="D71" s="409"/>
    </row>
    <row r="72" spans="1:4" ht="15" customHeight="1" thickBot="1">
      <c r="A72" s="563"/>
      <c r="B72" s="506"/>
      <c r="C72" s="499"/>
      <c r="D72" s="409"/>
    </row>
    <row r="73" spans="1:4" ht="15" customHeight="1" thickBot="1">
      <c r="A73" s="563"/>
      <c r="B73" s="494"/>
      <c r="C73" s="495" t="s">
        <v>212</v>
      </c>
      <c r="D73" s="565"/>
    </row>
    <row r="74" spans="1:4" ht="16.5" customHeight="1" thickBot="1">
      <c r="A74" s="563"/>
      <c r="B74" s="506">
        <v>620</v>
      </c>
      <c r="C74" s="374" t="s">
        <v>262</v>
      </c>
      <c r="D74" s="566"/>
    </row>
    <row r="75" spans="1:4" ht="16.25" customHeight="1">
      <c r="A75" s="563"/>
      <c r="B75" s="506"/>
      <c r="C75" s="499" t="s">
        <v>213</v>
      </c>
      <c r="D75" s="407"/>
    </row>
    <row r="76" spans="1:4" ht="15" customHeight="1">
      <c r="A76" s="563"/>
      <c r="B76" s="506"/>
      <c r="C76" s="499" t="s">
        <v>214</v>
      </c>
      <c r="D76" s="408"/>
    </row>
    <row r="77" spans="1:4" ht="15" customHeight="1">
      <c r="A77" s="563"/>
      <c r="B77" s="506">
        <v>5900</v>
      </c>
      <c r="C77" s="538" t="s">
        <v>248</v>
      </c>
      <c r="D77" s="408"/>
    </row>
    <row r="78" spans="1:4" ht="15" customHeight="1">
      <c r="A78" s="563"/>
      <c r="B78" s="506" t="s">
        <v>215</v>
      </c>
      <c r="C78" s="374" t="s">
        <v>249</v>
      </c>
      <c r="D78" s="408"/>
    </row>
    <row r="79" spans="1:4" ht="15" customHeight="1">
      <c r="A79" s="563"/>
      <c r="B79" s="506"/>
      <c r="C79" s="499" t="s">
        <v>216</v>
      </c>
      <c r="D79" s="408"/>
    </row>
    <row r="80" spans="1:4" ht="15" customHeight="1">
      <c r="A80" s="563"/>
      <c r="B80" s="506"/>
      <c r="C80" s="499" t="s">
        <v>217</v>
      </c>
      <c r="D80" s="408"/>
    </row>
    <row r="81" spans="1:4" ht="15" customHeight="1">
      <c r="A81" s="563"/>
      <c r="B81" s="506" t="s">
        <v>215</v>
      </c>
      <c r="C81" s="499" t="s">
        <v>218</v>
      </c>
      <c r="D81" s="408"/>
    </row>
    <row r="82" spans="1:4" ht="15" customHeight="1">
      <c r="A82" s="563"/>
      <c r="B82" s="506"/>
      <c r="C82" s="499" t="s">
        <v>219</v>
      </c>
      <c r="D82" s="408"/>
    </row>
    <row r="83" spans="1:4" ht="15" customHeight="1" thickBot="1">
      <c r="A83" s="563"/>
      <c r="B83" s="506"/>
      <c r="C83" s="499"/>
      <c r="D83" s="408"/>
    </row>
    <row r="84" spans="1:4" ht="15" customHeight="1" thickBot="1">
      <c r="A84" s="563"/>
      <c r="B84" s="494"/>
      <c r="C84" s="495" t="s">
        <v>220</v>
      </c>
      <c r="D84" s="408"/>
    </row>
    <row r="85" spans="1:4" ht="15" customHeight="1">
      <c r="A85" s="563"/>
      <c r="B85" s="506">
        <v>8070</v>
      </c>
      <c r="C85" s="502" t="s">
        <v>198</v>
      </c>
      <c r="D85" s="408"/>
    </row>
    <row r="86" spans="1:4" ht="15" customHeight="1">
      <c r="A86" s="563"/>
      <c r="B86" s="506" t="s">
        <v>221</v>
      </c>
      <c r="C86" s="499" t="s">
        <v>209</v>
      </c>
      <c r="D86" s="408"/>
    </row>
    <row r="87" spans="1:4" ht="15" customHeight="1">
      <c r="A87" s="563"/>
      <c r="B87" s="506" t="s">
        <v>223</v>
      </c>
      <c r="C87" s="538" t="s">
        <v>250</v>
      </c>
      <c r="D87" s="408"/>
    </row>
    <row r="88" spans="1:4" ht="15" customHeight="1">
      <c r="A88" s="563"/>
      <c r="B88" s="506">
        <v>6250</v>
      </c>
      <c r="C88" s="538" t="s">
        <v>251</v>
      </c>
      <c r="D88" s="408"/>
    </row>
    <row r="89" spans="1:4" ht="15" customHeight="1" thickBot="1">
      <c r="A89" s="563"/>
      <c r="B89" s="506"/>
      <c r="C89" s="499"/>
      <c r="D89" s="408"/>
    </row>
    <row r="90" spans="1:4" ht="15" customHeight="1" thickBot="1">
      <c r="A90" s="563"/>
      <c r="B90" s="494"/>
      <c r="C90" s="495" t="s">
        <v>226</v>
      </c>
      <c r="D90" s="408"/>
    </row>
    <row r="91" spans="1:4" ht="15" customHeight="1">
      <c r="A91" s="563"/>
      <c r="B91" s="506">
        <v>8070</v>
      </c>
      <c r="C91" s="502" t="s">
        <v>198</v>
      </c>
      <c r="D91" s="408"/>
    </row>
    <row r="92" spans="1:4" ht="15" customHeight="1" thickBot="1">
      <c r="A92" s="563"/>
      <c r="B92" s="506"/>
      <c r="C92" s="502"/>
      <c r="D92" s="408"/>
    </row>
    <row r="93" spans="1:4" ht="14.5" customHeight="1" thickBot="1">
      <c r="A93" s="563"/>
      <c r="B93" s="494"/>
      <c r="C93" s="495" t="s">
        <v>236</v>
      </c>
      <c r="D93" s="408"/>
    </row>
    <row r="94" spans="1:4" ht="15" customHeight="1" thickBot="1">
      <c r="A94" s="563"/>
      <c r="B94" s="519" t="s">
        <v>227</v>
      </c>
      <c r="C94" s="539" t="s">
        <v>252</v>
      </c>
      <c r="D94" s="408"/>
    </row>
    <row r="95" spans="1:4" ht="15" customHeight="1" thickBot="1">
      <c r="A95" s="564"/>
      <c r="B95" s="494"/>
      <c r="C95" s="371"/>
      <c r="D95" s="410"/>
    </row>
    <row r="96" spans="1:4" ht="21.65" customHeight="1">
      <c r="A96" s="350"/>
      <c r="B96" s="350"/>
      <c r="C96" s="350"/>
      <c r="D96" s="350"/>
    </row>
    <row r="97" spans="1:4" ht="15" customHeight="1">
      <c r="A97" s="350"/>
      <c r="B97" s="350"/>
      <c r="C97" s="350"/>
      <c r="D97" s="350"/>
    </row>
    <row r="98" spans="1:4" ht="16.25" customHeight="1">
      <c r="A98" s="350"/>
      <c r="B98" s="350"/>
      <c r="C98" s="350"/>
      <c r="D98" s="350"/>
    </row>
    <row r="99" spans="1:4" ht="21.65" customHeight="1">
      <c r="A99" s="350"/>
      <c r="B99" s="350"/>
      <c r="C99" s="350"/>
      <c r="D99" s="350"/>
    </row>
    <row r="100" spans="1:4" ht="15" customHeight="1">
      <c r="A100" s="350"/>
      <c r="B100" s="350"/>
      <c r="C100" s="350"/>
      <c r="D100" s="350"/>
    </row>
    <row r="101" spans="1:4" ht="15" customHeight="1">
      <c r="A101" s="350"/>
      <c r="B101" s="350"/>
      <c r="C101" s="350"/>
      <c r="D101" s="350"/>
    </row>
    <row r="102" spans="1:4" ht="15" customHeight="1">
      <c r="A102" s="350"/>
      <c r="B102" s="350"/>
      <c r="C102" s="350"/>
      <c r="D102" s="350"/>
    </row>
    <row r="103" spans="1:4" ht="15" customHeight="1">
      <c r="A103" s="350"/>
      <c r="B103" s="350"/>
      <c r="C103" s="350"/>
      <c r="D103" s="350"/>
    </row>
    <row r="104" spans="1:4" ht="21.65" customHeight="1">
      <c r="A104" s="350"/>
      <c r="B104" s="350"/>
      <c r="C104" s="350"/>
      <c r="D104" s="350"/>
    </row>
    <row r="105" spans="1:4" ht="15" customHeight="1">
      <c r="A105" s="350"/>
      <c r="B105" s="350"/>
      <c r="C105" s="350"/>
      <c r="D105" s="350"/>
    </row>
    <row r="106" spans="1:4" ht="16.25" customHeight="1">
      <c r="A106" s="350"/>
      <c r="B106" s="350"/>
      <c r="C106" s="350"/>
      <c r="D106" s="350"/>
    </row>
    <row r="107" spans="1:4" ht="15" customHeight="1">
      <c r="A107" s="350"/>
      <c r="B107" s="350"/>
      <c r="C107" s="350"/>
      <c r="D107" s="350"/>
    </row>
    <row r="108" spans="1:4" ht="15" customHeight="1">
      <c r="A108" s="350"/>
      <c r="B108" s="350"/>
      <c r="C108" s="350"/>
      <c r="D108" s="350"/>
    </row>
    <row r="109" spans="1:4" ht="15" customHeight="1">
      <c r="A109" s="350"/>
      <c r="B109" s="350"/>
      <c r="C109" s="350"/>
      <c r="D109" s="350"/>
    </row>
    <row r="110" spans="1:4" ht="15" customHeight="1">
      <c r="A110" s="350"/>
      <c r="B110" s="350"/>
      <c r="C110" s="350"/>
      <c r="D110" s="350"/>
    </row>
    <row r="111" spans="1:4" ht="21.65" customHeight="1">
      <c r="A111" s="350"/>
      <c r="B111" s="350"/>
      <c r="C111" s="350"/>
      <c r="D111" s="350"/>
    </row>
    <row r="112" spans="1:4" ht="15" customHeight="1">
      <c r="A112" s="350"/>
      <c r="B112" s="350"/>
      <c r="C112" s="350"/>
      <c r="D112" s="350"/>
    </row>
    <row r="113" spans="1:4" ht="16.25" customHeight="1">
      <c r="A113" s="350"/>
      <c r="B113" s="350"/>
      <c r="C113" s="350"/>
      <c r="D113" s="350"/>
    </row>
    <row r="114" spans="1:4" ht="15" customHeight="1">
      <c r="A114" s="350"/>
      <c r="B114" s="350"/>
      <c r="C114" s="350"/>
      <c r="D114" s="350"/>
    </row>
    <row r="115" spans="1:4" ht="15" customHeight="1">
      <c r="A115" s="350"/>
      <c r="B115" s="350"/>
      <c r="C115" s="350"/>
      <c r="D115" s="350"/>
    </row>
    <row r="116" spans="1:4" ht="15" customHeight="1">
      <c r="A116" s="350"/>
      <c r="B116" s="350"/>
      <c r="C116" s="350"/>
      <c r="D116" s="350"/>
    </row>
    <row r="117" spans="1:4" ht="15" customHeight="1">
      <c r="A117" s="350"/>
      <c r="B117" s="350"/>
      <c r="C117" s="350"/>
      <c r="D117" s="350"/>
    </row>
    <row r="118" spans="1:4" ht="21.65" customHeight="1">
      <c r="A118" s="350"/>
      <c r="B118" s="350"/>
      <c r="C118" s="350"/>
      <c r="D118" s="350"/>
    </row>
    <row r="119" spans="1:4" ht="15" customHeight="1">
      <c r="A119" s="350"/>
      <c r="B119" s="350"/>
      <c r="C119" s="350"/>
      <c r="D119" s="350"/>
    </row>
    <row r="120" spans="1:4" ht="16.25" customHeight="1">
      <c r="A120" s="350"/>
      <c r="B120" s="350"/>
      <c r="C120" s="350"/>
      <c r="D120" s="350"/>
    </row>
    <row r="121" spans="1:4" ht="15" customHeight="1">
      <c r="A121" s="350"/>
      <c r="B121" s="350"/>
      <c r="C121" s="350"/>
      <c r="D121" s="350"/>
    </row>
    <row r="122" spans="1:4" ht="15" customHeight="1">
      <c r="A122" s="350"/>
      <c r="B122" s="350"/>
      <c r="C122" s="350"/>
      <c r="D122" s="350"/>
    </row>
    <row r="123" spans="1:4" ht="15" customHeight="1">
      <c r="A123" s="350"/>
      <c r="B123" s="350"/>
      <c r="C123" s="350"/>
      <c r="D123" s="350"/>
    </row>
    <row r="124" spans="1:4" ht="15" customHeight="1">
      <c r="A124" s="350"/>
      <c r="B124" s="350"/>
      <c r="C124" s="350"/>
      <c r="D124" s="350"/>
    </row>
    <row r="125" spans="1:4" ht="21.65" customHeight="1">
      <c r="A125" s="350"/>
      <c r="B125" s="350"/>
      <c r="C125" s="350"/>
      <c r="D125" s="350"/>
    </row>
    <row r="126" spans="1:4" ht="15" customHeight="1">
      <c r="A126" s="350"/>
      <c r="B126" s="350"/>
      <c r="C126" s="350"/>
      <c r="D126" s="350"/>
    </row>
    <row r="127" spans="1:4" ht="16.25" customHeight="1">
      <c r="A127" s="350"/>
      <c r="B127" s="350"/>
      <c r="C127" s="350"/>
      <c r="D127" s="350"/>
    </row>
    <row r="128" spans="1:4" ht="15" customHeight="1">
      <c r="A128" s="350"/>
      <c r="B128" s="350"/>
      <c r="C128" s="350"/>
      <c r="D128" s="350"/>
    </row>
    <row r="129" spans="1:4" ht="15" customHeight="1">
      <c r="A129" s="350"/>
      <c r="B129" s="350"/>
      <c r="C129" s="350"/>
      <c r="D129" s="350"/>
    </row>
    <row r="130" spans="1:4" ht="15" customHeight="1">
      <c r="A130" s="350"/>
      <c r="B130" s="350"/>
      <c r="C130" s="350"/>
      <c r="D130" s="350"/>
    </row>
    <row r="131" spans="1:4" ht="15" customHeight="1">
      <c r="A131" s="350"/>
      <c r="B131" s="350"/>
      <c r="C131" s="350"/>
      <c r="D131" s="350"/>
    </row>
    <row r="132" spans="1:4" ht="16.25" customHeight="1">
      <c r="A132" s="350"/>
      <c r="B132" s="350"/>
      <c r="C132" s="350"/>
      <c r="D132" s="350"/>
    </row>
    <row r="133" spans="1:4" ht="16.25" customHeight="1">
      <c r="A133" s="350"/>
      <c r="B133" s="350"/>
      <c r="C133" s="350"/>
      <c r="D133" s="350"/>
    </row>
    <row r="134" spans="1:4" ht="15" customHeight="1">
      <c r="A134" s="350"/>
      <c r="B134" s="350"/>
      <c r="C134" s="350"/>
      <c r="D134" s="350"/>
    </row>
    <row r="135" spans="1:4" ht="15" customHeight="1">
      <c r="A135" s="350"/>
      <c r="B135" s="350"/>
      <c r="C135" s="350"/>
      <c r="D135" s="350"/>
    </row>
    <row r="136" spans="1:4" ht="24" customHeight="1">
      <c r="A136" s="350"/>
      <c r="B136" s="350"/>
      <c r="C136" s="350"/>
      <c r="D136" s="350"/>
    </row>
    <row r="137" spans="1:4" ht="21.65" customHeight="1">
      <c r="A137" s="350"/>
      <c r="B137" s="350"/>
      <c r="C137" s="350"/>
      <c r="D137" s="350"/>
    </row>
    <row r="138" spans="1:4" ht="16.25" customHeight="1">
      <c r="A138" s="350"/>
      <c r="B138" s="350"/>
      <c r="C138" s="350"/>
      <c r="D138" s="350"/>
    </row>
    <row r="139" spans="1:4" ht="15" customHeight="1">
      <c r="A139" s="350"/>
      <c r="B139" s="350"/>
      <c r="C139" s="350"/>
      <c r="D139" s="350"/>
    </row>
    <row r="140" spans="1:4" ht="15.65" customHeight="1">
      <c r="A140" s="350"/>
      <c r="B140" s="350"/>
      <c r="C140" s="350"/>
      <c r="D140" s="350"/>
    </row>
    <row r="141" spans="1:4" ht="21.75" customHeight="1">
      <c r="A141" s="350"/>
      <c r="B141" s="350"/>
      <c r="C141" s="350"/>
      <c r="D141" s="350"/>
    </row>
    <row r="142" spans="1:4" ht="15" customHeight="1">
      <c r="A142" s="350"/>
      <c r="B142" s="350"/>
      <c r="C142" s="350"/>
      <c r="D142" s="350"/>
    </row>
    <row r="143" spans="1:4" ht="17.399999999999999" customHeight="1">
      <c r="A143" s="350"/>
      <c r="B143" s="350"/>
      <c r="C143" s="350"/>
      <c r="D143" s="350"/>
    </row>
    <row r="144" spans="1:4" ht="17" customHeight="1">
      <c r="A144" s="350"/>
      <c r="B144" s="350"/>
      <c r="C144" s="350"/>
      <c r="D144" s="350"/>
    </row>
    <row r="145" spans="1:4" ht="21.65" customHeight="1">
      <c r="A145" s="350"/>
      <c r="B145" s="350"/>
      <c r="C145" s="350"/>
      <c r="D145" s="350"/>
    </row>
    <row r="146" spans="1:4" ht="15" customHeight="1">
      <c r="A146" s="350"/>
      <c r="B146" s="350"/>
      <c r="C146" s="350"/>
      <c r="D146" s="350"/>
    </row>
    <row r="147" spans="1:4" ht="15" customHeight="1">
      <c r="A147" s="350"/>
      <c r="B147" s="350"/>
      <c r="C147" s="350"/>
      <c r="D147" s="350"/>
    </row>
    <row r="148" spans="1:4" ht="15" customHeight="1">
      <c r="A148" s="350"/>
      <c r="B148" s="350"/>
      <c r="C148" s="350"/>
      <c r="D148" s="350"/>
    </row>
    <row r="149" spans="1:4" ht="15" customHeight="1">
      <c r="A149" s="350"/>
      <c r="B149" s="350"/>
      <c r="C149" s="350"/>
      <c r="D149" s="350"/>
    </row>
    <row r="150" spans="1:4" ht="15" customHeight="1">
      <c r="A150" s="350"/>
      <c r="B150" s="350"/>
      <c r="C150" s="350"/>
      <c r="D150" s="350"/>
    </row>
    <row r="151" spans="1:4" ht="15" customHeight="1">
      <c r="A151" s="350"/>
      <c r="B151" s="350"/>
      <c r="C151" s="350"/>
      <c r="D151" s="350"/>
    </row>
    <row r="152" spans="1:4" ht="15.65" customHeight="1">
      <c r="A152" s="350"/>
      <c r="B152" s="350"/>
      <c r="C152" s="350"/>
      <c r="D152" s="350"/>
    </row>
    <row r="153" spans="1:4" ht="15" customHeight="1">
      <c r="A153" s="350"/>
      <c r="B153" s="350"/>
      <c r="C153" s="350"/>
      <c r="D153" s="350"/>
    </row>
    <row r="154" spans="1:4" ht="15" customHeight="1">
      <c r="A154" s="350"/>
      <c r="B154" s="350"/>
      <c r="C154" s="350"/>
      <c r="D154" s="350"/>
    </row>
    <row r="155" spans="1:4" ht="15" customHeight="1">
      <c r="A155" s="350"/>
      <c r="B155" s="350"/>
      <c r="C155" s="350"/>
      <c r="D155" s="350"/>
    </row>
    <row r="156" spans="1:4" ht="15" customHeight="1">
      <c r="A156" s="350"/>
      <c r="B156" s="350"/>
      <c r="C156" s="350"/>
      <c r="D156" s="350"/>
    </row>
    <row r="157" spans="1:4" ht="15" customHeight="1">
      <c r="A157" s="350"/>
      <c r="B157" s="350"/>
      <c r="C157" s="350"/>
      <c r="D157" s="350"/>
    </row>
    <row r="158" spans="1:4" ht="15" customHeight="1">
      <c r="A158" s="350"/>
      <c r="B158" s="350"/>
      <c r="C158" s="350"/>
      <c r="D158" s="350"/>
    </row>
    <row r="159" spans="1:4" s="187" customFormat="1" ht="15" customHeight="1">
      <c r="A159" s="350"/>
      <c r="B159" s="350"/>
      <c r="C159" s="350"/>
      <c r="D159" s="350"/>
    </row>
    <row r="160" spans="1:4" s="187" customFormat="1" ht="15" customHeight="1">
      <c r="A160" s="350"/>
      <c r="B160" s="350"/>
      <c r="C160" s="350"/>
      <c r="D160" s="350"/>
    </row>
    <row r="161" spans="1:4" ht="15" customHeight="1">
      <c r="A161" s="350"/>
      <c r="B161" s="350"/>
      <c r="C161" s="350"/>
      <c r="D161" s="350"/>
    </row>
    <row r="162" spans="1:4" ht="14" customHeight="1">
      <c r="A162" s="350"/>
      <c r="B162" s="350"/>
      <c r="C162" s="350"/>
      <c r="D162" s="350"/>
    </row>
    <row r="163" spans="1:4" ht="15" customHeight="1">
      <c r="A163" s="350"/>
      <c r="B163" s="350"/>
      <c r="C163" s="350"/>
      <c r="D163" s="350"/>
    </row>
    <row r="164" spans="1:4" ht="15" customHeight="1">
      <c r="A164" s="350"/>
      <c r="B164" s="350"/>
      <c r="C164" s="350"/>
      <c r="D164" s="350"/>
    </row>
    <row r="165" spans="1:4" ht="15" customHeight="1">
      <c r="A165" s="350"/>
      <c r="B165" s="350"/>
      <c r="C165" s="350"/>
      <c r="D165" s="350"/>
    </row>
    <row r="166" spans="1:4" ht="15" customHeight="1">
      <c r="A166" s="350"/>
      <c r="B166" s="350"/>
      <c r="C166" s="350"/>
      <c r="D166" s="350"/>
    </row>
    <row r="167" spans="1:4" ht="15" customHeight="1">
      <c r="A167" s="350"/>
      <c r="B167" s="350"/>
      <c r="C167" s="350"/>
      <c r="D167" s="350"/>
    </row>
    <row r="168" spans="1:4" ht="15" customHeight="1">
      <c r="A168" s="350"/>
      <c r="B168" s="350"/>
      <c r="C168" s="350"/>
      <c r="D168" s="350"/>
    </row>
    <row r="169" spans="1:4" ht="12.65" customHeight="1">
      <c r="A169" s="350"/>
      <c r="B169" s="350"/>
      <c r="C169" s="350"/>
      <c r="D169" s="350"/>
    </row>
    <row r="170" spans="1:4" ht="15.65" customHeight="1">
      <c r="A170" s="350"/>
      <c r="B170" s="350"/>
      <c r="C170" s="350"/>
      <c r="D170" s="350"/>
    </row>
    <row r="171" spans="1:4" ht="41" customHeight="1">
      <c r="A171" s="350"/>
      <c r="B171" s="350"/>
      <c r="C171" s="350"/>
      <c r="D171" s="350"/>
    </row>
    <row r="172" spans="1:4" ht="21.75" customHeight="1">
      <c r="A172" s="350"/>
      <c r="B172" s="350"/>
      <c r="C172" s="350"/>
      <c r="D172" s="350"/>
    </row>
    <row r="173" spans="1:4" ht="15" customHeight="1" thickBot="1">
      <c r="A173" s="351"/>
      <c r="B173" s="351"/>
      <c r="C173" s="351"/>
      <c r="D173" s="351"/>
    </row>
    <row r="174" spans="1:4" ht="10.25" customHeight="1">
      <c r="A174" s="132"/>
      <c r="B174" s="132"/>
      <c r="C174" s="324"/>
      <c r="D174" s="132"/>
    </row>
    <row r="175" spans="1:4">
      <c r="A175" s="132"/>
      <c r="B175" s="132"/>
      <c r="C175" s="132"/>
      <c r="D175" s="132"/>
    </row>
    <row r="176" spans="1:4">
      <c r="A176" s="132"/>
      <c r="B176" s="132"/>
      <c r="C176" s="132"/>
      <c r="D176" s="132"/>
    </row>
    <row r="177" spans="1:4">
      <c r="A177" s="132"/>
      <c r="B177" s="132"/>
      <c r="C177" s="132"/>
      <c r="D177" s="132"/>
    </row>
    <row r="178" spans="1:4">
      <c r="A178" s="132"/>
      <c r="B178" s="132"/>
      <c r="C178" s="132"/>
      <c r="D178" s="132"/>
    </row>
  </sheetData>
  <mergeCells count="6">
    <mergeCell ref="A2:B2"/>
    <mergeCell ref="A5:A9"/>
    <mergeCell ref="A12:A30"/>
    <mergeCell ref="A33:A36"/>
    <mergeCell ref="A39:A44"/>
    <mergeCell ref="A47:A95"/>
  </mergeCells>
  <phoneticPr fontId="11"/>
  <pageMargins left="0.51181102362204722" right="0" top="0.74803149606299213" bottom="0.74803149606299213" header="0.31496062992125984" footer="0.31496062992125984"/>
  <pageSetup paperSize="9" scale="63" fitToHeight="0" orientation="portrait" r:id="rId1"/>
  <headerFooter>
    <oddFooter>&amp;C&amp;"Century Gothic,太字"&amp;10&amp;  -   P A G E  3- &amp;P   -</oddFooter>
  </headerFooter>
  <rowBreaks count="2" manualBreakCount="2">
    <brk id="44" max="3" man="1"/>
    <brk id="136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shipper master</vt:lpstr>
      <vt:lpstr>case mark </vt:lpstr>
      <vt:lpstr>invoice</vt:lpstr>
      <vt:lpstr>NARITA </vt:lpstr>
      <vt:lpstr>NARITA (2)</vt:lpstr>
      <vt:lpstr>LABEL</vt:lpstr>
      <vt:lpstr>LABEL!Print_Area</vt:lpstr>
      <vt:lpstr>'NARITA '!Print_Area</vt:lpstr>
      <vt:lpstr>'NARITA (2)'!Print_Area</vt:lpstr>
      <vt:lpstr>LABEL!Print_Titles</vt:lpstr>
      <vt:lpstr>'NARITA '!Print_Titles</vt:lpstr>
      <vt:lpstr>'NARITA (2)'!Print_Titles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2023-11-28T07:54:00Z</cp:lastPrinted>
  <dcterms:created xsi:type="dcterms:W3CDTF">2002-07-31T13:14:08Z</dcterms:created>
  <dcterms:modified xsi:type="dcterms:W3CDTF">2024-06-07T10:23:29Z</dcterms:modified>
</cp:coreProperties>
</file>