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F3D33A82-37F6-4F01-9BF2-F2AC01A83FB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NARITA (2)" sheetId="68" r:id="rId5"/>
    <sheet name="サンプル製品カタログ" sheetId="67" r:id="rId6"/>
    <sheet name="LABEL" sheetId="66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pricetable" localSheetId="1">#REF!</definedName>
    <definedName name="pricetable" localSheetId="6">#REF!</definedName>
    <definedName name="pricetable" localSheetId="3">#REF!</definedName>
    <definedName name="pricetable" localSheetId="4">#REF!</definedName>
    <definedName name="pricetable" localSheetId="5">#REF!</definedName>
    <definedName name="pricetable">#REF!</definedName>
    <definedName name="_xlnm.Print_Area" localSheetId="6">LABEL!$A$1:$D$107</definedName>
    <definedName name="_xlnm.Print_Area" localSheetId="3">'NARITA '!$A$1:$N$75</definedName>
    <definedName name="_xlnm.Print_Area" localSheetId="4">'NARITA (2)'!$A$1:$N$50</definedName>
    <definedName name="_xlnm.Print_Area" localSheetId="5">サンプル製品カタログ!$A$2:$I$8</definedName>
    <definedName name="_xlnm.Print_Titles" localSheetId="6">LABEL!$1:$3</definedName>
    <definedName name="_xlnm.Print_Titles" localSheetId="3">'NARITA '!$1:$6</definedName>
    <definedName name="_xlnm.Print_Titles" localSheetId="4">'NARITA (2)'!$1:$6</definedName>
    <definedName name="_xlnm.Print_Titles" localSheetId="5">サンプル製品カタログ!$2:$2</definedName>
  </definedNames>
  <calcPr calcId="191029"/>
</workbook>
</file>

<file path=xl/calcChain.xml><?xml version="1.0" encoding="utf-8"?>
<calcChain xmlns="http://schemas.openxmlformats.org/spreadsheetml/2006/main">
  <c r="M30" i="65" l="1"/>
  <c r="M26" i="65"/>
  <c r="H75" i="60"/>
  <c r="H50" i="68"/>
  <c r="H72" i="60"/>
  <c r="E72" i="60"/>
  <c r="H39" i="60" l="1"/>
  <c r="E49" i="68"/>
  <c r="E48" i="68"/>
  <c r="E47" i="68"/>
  <c r="H49" i="68"/>
  <c r="H48" i="68"/>
  <c r="H47" i="68"/>
  <c r="K26" i="65"/>
  <c r="H68" i="60"/>
  <c r="E74" i="60"/>
  <c r="K28" i="65" s="1"/>
  <c r="E73" i="60"/>
  <c r="K27" i="65" s="1"/>
  <c r="H70" i="60"/>
  <c r="H69" i="60"/>
  <c r="H67" i="60"/>
  <c r="H66" i="60"/>
  <c r="H65" i="60"/>
  <c r="H64" i="60"/>
  <c r="H63" i="60"/>
  <c r="H62" i="60"/>
  <c r="H60" i="60"/>
  <c r="H59" i="60"/>
  <c r="H51" i="60"/>
  <c r="H18" i="60" l="1"/>
  <c r="H17" i="60"/>
  <c r="H16" i="60"/>
  <c r="H15" i="60"/>
  <c r="H14" i="60"/>
  <c r="H13" i="60"/>
  <c r="H12" i="60"/>
  <c r="D30" i="65" l="1"/>
  <c r="H45" i="60"/>
  <c r="H73" i="60" l="1"/>
  <c r="M27" i="65" s="1"/>
  <c r="H57" i="60"/>
  <c r="H56" i="60"/>
  <c r="H74" i="60"/>
  <c r="M28" i="65" s="1"/>
  <c r="K30" i="65" l="1"/>
  <c r="F30" i="65"/>
  <c r="G6" i="68"/>
  <c r="D6" i="68"/>
  <c r="H33" i="60" l="1"/>
  <c r="H27" i="60"/>
  <c r="H22" i="60"/>
  <c r="H21" i="60"/>
  <c r="H11" i="60"/>
  <c r="F9" i="65"/>
  <c r="H10" i="60" l="1"/>
  <c r="F11" i="65" l="1"/>
  <c r="F7" i="65"/>
  <c r="L8" i="65" l="1"/>
  <c r="I13" i="64"/>
  <c r="A13" i="64"/>
  <c r="I2" i="64"/>
  <c r="A2" i="64"/>
  <c r="A36" i="65"/>
  <c r="D35" i="65"/>
  <c r="A34" i="65"/>
  <c r="A33" i="65"/>
  <c r="B28" i="65"/>
  <c r="B26" i="65"/>
  <c r="L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L11" i="65"/>
  <c r="A11" i="65"/>
  <c r="L10" i="65"/>
  <c r="A10" i="65"/>
  <c r="L9" i="65"/>
  <c r="A9" i="65"/>
  <c r="A8" i="65"/>
  <c r="A7" i="65"/>
  <c r="L5" i="65"/>
  <c r="A5" i="65"/>
  <c r="L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H9" i="60" l="1"/>
  <c r="G6" i="60" l="1"/>
  <c r="D6" i="60"/>
  <c r="C45" i="17" l="1"/>
  <c r="A2" i="17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<sst xmlns="http://schemas.openxmlformats.org/spreadsheetml/2006/main" count="652" uniqueCount="345">
  <si>
    <t>SHIPPER NAME</t>
    <phoneticPr fontId="8" type="noConversion"/>
  </si>
  <si>
    <t>S/CODE</t>
    <phoneticPr fontId="8" type="noConversion"/>
  </si>
  <si>
    <t>SHIPPER ADDRESS 2</t>
    <phoneticPr fontId="13"/>
  </si>
  <si>
    <t>SHIPPER ADDRESS 1</t>
    <phoneticPr fontId="13"/>
  </si>
  <si>
    <t>SHIPPER ADDRESS 3</t>
    <phoneticPr fontId="13"/>
  </si>
  <si>
    <t xml:space="preserve">SHIPPER </t>
    <phoneticPr fontId="13"/>
  </si>
  <si>
    <t>TEL</t>
    <phoneticPr fontId="13"/>
  </si>
  <si>
    <t>FAX</t>
    <phoneticPr fontId="13"/>
  </si>
  <si>
    <t>ATTN OR VAT NO.</t>
    <phoneticPr fontId="13"/>
  </si>
  <si>
    <t>TEL/FAX</t>
    <phoneticPr fontId="13"/>
  </si>
  <si>
    <t>ATTN</t>
    <phoneticPr fontId="13"/>
  </si>
  <si>
    <t>CONSIGNEE :</t>
    <phoneticPr fontId="13"/>
  </si>
  <si>
    <t>CONSIGNEE ADDRESS1</t>
    <phoneticPr fontId="13"/>
  </si>
  <si>
    <t>CONSIGNEE ADDRESS2</t>
    <phoneticPr fontId="13"/>
  </si>
  <si>
    <t>CONSIGNEE ADDRESS3</t>
    <phoneticPr fontId="13"/>
  </si>
  <si>
    <t>TEL</t>
    <phoneticPr fontId="13"/>
  </si>
  <si>
    <t>FAX</t>
    <phoneticPr fontId="13"/>
  </si>
  <si>
    <t>PAYMENT 1</t>
    <phoneticPr fontId="13"/>
  </si>
  <si>
    <t>PAYMENT 2</t>
    <phoneticPr fontId="13"/>
  </si>
  <si>
    <t>SHIPPER PER</t>
    <phoneticPr fontId="13"/>
  </si>
  <si>
    <t>INVOICE DATE</t>
    <phoneticPr fontId="13"/>
  </si>
  <si>
    <t>INVOICE NO.</t>
    <phoneticPr fontId="13"/>
  </si>
  <si>
    <t>CONTRACT NO.</t>
    <phoneticPr fontId="13"/>
  </si>
  <si>
    <t>CONTRACT DATE</t>
    <phoneticPr fontId="13"/>
  </si>
  <si>
    <t>ORDER DATE</t>
    <phoneticPr fontId="13"/>
  </si>
  <si>
    <t>ORDER NO.</t>
    <phoneticPr fontId="13"/>
  </si>
  <si>
    <t>L/C DATE</t>
    <phoneticPr fontId="13"/>
  </si>
  <si>
    <t>FROM</t>
    <phoneticPr fontId="13"/>
  </si>
  <si>
    <t xml:space="preserve"> TOKYO, JAPAN</t>
    <phoneticPr fontId="13"/>
  </si>
  <si>
    <t>TO</t>
    <phoneticPr fontId="13"/>
  </si>
  <si>
    <t>VIA</t>
    <phoneticPr fontId="13"/>
  </si>
  <si>
    <t>SHIPPING TERMS</t>
    <phoneticPr fontId="13"/>
  </si>
  <si>
    <t>TITTLE 1</t>
    <phoneticPr fontId="13"/>
  </si>
  <si>
    <t>TITTLE 2</t>
    <phoneticPr fontId="13"/>
  </si>
  <si>
    <t>ATTACHE</t>
    <phoneticPr fontId="13"/>
  </si>
  <si>
    <t>- DETAILS AS PER ATTACHED SHEET -</t>
    <phoneticPr fontId="13"/>
  </si>
  <si>
    <t>C/NO.</t>
    <phoneticPr fontId="13"/>
  </si>
  <si>
    <t>STYLE NO.</t>
    <phoneticPr fontId="13"/>
  </si>
  <si>
    <t>DESCRIPTION</t>
    <phoneticPr fontId="13"/>
  </si>
  <si>
    <t>Q'TY CODE</t>
    <phoneticPr fontId="13"/>
  </si>
  <si>
    <t>QUANTITY</t>
    <phoneticPr fontId="13"/>
  </si>
  <si>
    <t>UNIT PRICE</t>
    <phoneticPr fontId="13"/>
  </si>
  <si>
    <t>AMOUNT</t>
    <phoneticPr fontId="13"/>
  </si>
  <si>
    <t>DISCOUNT</t>
    <phoneticPr fontId="13"/>
  </si>
  <si>
    <t>CASE MARK1</t>
    <phoneticPr fontId="13"/>
  </si>
  <si>
    <t>CASE MARK2</t>
    <phoneticPr fontId="13"/>
  </si>
  <si>
    <t>CASE MARK3</t>
    <phoneticPr fontId="13"/>
  </si>
  <si>
    <t>CASE MARK4</t>
    <phoneticPr fontId="13"/>
  </si>
  <si>
    <t>CASE MARK5</t>
    <phoneticPr fontId="13"/>
  </si>
  <si>
    <t>CASE MARK6</t>
    <phoneticPr fontId="13"/>
  </si>
  <si>
    <t>TOTAL</t>
    <phoneticPr fontId="13"/>
  </si>
  <si>
    <t>MANUFACTURED BY</t>
    <phoneticPr fontId="13"/>
  </si>
  <si>
    <t>ORIGIN</t>
    <phoneticPr fontId="13"/>
  </si>
  <si>
    <t>OUR BANK</t>
    <phoneticPr fontId="13"/>
  </si>
  <si>
    <t>ETD TYO</t>
    <phoneticPr fontId="13"/>
  </si>
  <si>
    <t>DELIVERY SCHEDULES</t>
    <phoneticPr fontId="13"/>
  </si>
  <si>
    <t>INSURANCE</t>
    <phoneticPr fontId="13"/>
  </si>
  <si>
    <t>REMARK 1</t>
    <phoneticPr fontId="13"/>
  </si>
  <si>
    <t>AIR FREIGHT</t>
    <phoneticPr fontId="13"/>
  </si>
  <si>
    <t>YOUR (OUR) FORWARDER</t>
    <phoneticPr fontId="13"/>
  </si>
  <si>
    <t>CUSTOMS AGENT</t>
    <phoneticPr fontId="13"/>
  </si>
  <si>
    <t>FORWARDER</t>
    <phoneticPr fontId="13"/>
  </si>
  <si>
    <t>C/O ISSUED DATE</t>
    <phoneticPr fontId="13"/>
  </si>
  <si>
    <t>COUNTRY</t>
    <phoneticPr fontId="13"/>
  </si>
  <si>
    <t>F.O.B. TOKYO IN YEN</t>
    <phoneticPr fontId="13"/>
  </si>
  <si>
    <t xml:space="preserve"> SHUNYA CO., LTD.</t>
    <phoneticPr fontId="13"/>
  </si>
  <si>
    <t xml:space="preserve"> KENSHIN BLDG., 1F, 1-22-10 DOUGENZAKA,</t>
    <phoneticPr fontId="13"/>
  </si>
  <si>
    <t xml:space="preserve"> SHIBUYA-KU 150-0043</t>
    <phoneticPr fontId="13"/>
  </si>
  <si>
    <t xml:space="preserve"> TEL : +81(0)3-5459-1177</t>
    <phoneticPr fontId="13"/>
  </si>
  <si>
    <t xml:space="preserve"> - SAME AS BUYER -</t>
    <phoneticPr fontId="13"/>
  </si>
  <si>
    <t xml:space="preserve"> HOCHIMINH-CITY, VIETNAM</t>
    <phoneticPr fontId="13"/>
  </si>
  <si>
    <t>VIETNAM</t>
    <phoneticPr fontId="13"/>
  </si>
  <si>
    <t>PREPAID</t>
    <phoneticPr fontId="13"/>
  </si>
  <si>
    <t>COVERED BY SHIPPER</t>
    <phoneticPr fontId="13"/>
  </si>
  <si>
    <t>MEITETSU WORLD TRANSPORT (MR. NAMIKI)</t>
    <phoneticPr fontId="13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</si>
  <si>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3"/>
  </si>
  <si>
    <t>BUYER</t>
    <phoneticPr fontId="13"/>
  </si>
  <si>
    <t>BUYER ADDRESS1</t>
    <phoneticPr fontId="13"/>
  </si>
  <si>
    <t>BUYER ADDRESS2</t>
    <phoneticPr fontId="13"/>
  </si>
  <si>
    <t>BUYER ADDRESS3</t>
    <phoneticPr fontId="13"/>
  </si>
  <si>
    <t xml:space="preserve"> AIRCRAFT</t>
    <phoneticPr fontId="13"/>
  </si>
  <si>
    <t>持ち帰り条件</t>
    <rPh sb="0" eb="1">
      <t>モ</t>
    </rPh>
    <rPh sb="2" eb="3">
      <t>カエ</t>
    </rPh>
    <rPh sb="4" eb="6">
      <t>ジョウケン</t>
    </rPh>
    <phoneticPr fontId="13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</si>
  <si>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3"/>
  </si>
  <si>
    <t xml:space="preserve">  AFTER MANUFACTURED AT VIET NAM "</t>
    <phoneticPr fontId="13"/>
  </si>
  <si>
    <t xml:space="preserve"> NO COMMERCIAL</t>
    <phoneticPr fontId="12"/>
  </si>
  <si>
    <t>PCS.</t>
    <phoneticPr fontId="13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</si>
  <si>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</si>
  <si>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</si>
  <si>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</si>
  <si>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</si>
  <si>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</si>
  <si>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</si>
  <si>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</si>
  <si>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</si>
  <si>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</si>
  <si>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</si>
  <si>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3"/>
  </si>
  <si>
    <t>(H.S. CODE)</t>
    <phoneticPr fontId="13"/>
  </si>
  <si>
    <t>- ATTACHED SHEET -</t>
    <phoneticPr fontId="13"/>
  </si>
  <si>
    <t xml:space="preserve"> </t>
    <phoneticPr fontId="13"/>
  </si>
  <si>
    <t>WOVEN FABRIC</t>
    <phoneticPr fontId="13"/>
  </si>
  <si>
    <t>VIVAN GARMENTS VIET NAM COMPANY LIMITED</t>
    <phoneticPr fontId="13"/>
  </si>
  <si>
    <t>Hamlet 3 , Long Hau Commune , Can Giuoc District,</t>
    <phoneticPr fontId="13"/>
  </si>
  <si>
    <t xml:space="preserve"> Long An Province , VietNam</t>
    <phoneticPr fontId="13"/>
  </si>
  <si>
    <t xml:space="preserve"> TEL : :   ( 084 ) 097 22 00 798  ATTN : MR. TUAN</t>
    <phoneticPr fontId="13"/>
  </si>
  <si>
    <t>FABRIC &amp; PARTS FOR WEAR &amp; SAMPLE CLOTHES</t>
    <phoneticPr fontId="13"/>
  </si>
  <si>
    <t xml:space="preserve"> TEL : ( 084 ) 097 22 00 798  ATTN : MR. TUAN</t>
    <phoneticPr fontId="13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</si>
  <si>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</si>
  <si>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3"/>
  </si>
  <si>
    <t xml:space="preserve"> C/NO.</t>
    <phoneticPr fontId="13"/>
  </si>
  <si>
    <t>INVOICE</t>
    <phoneticPr fontId="13"/>
  </si>
  <si>
    <t>IMPORTER</t>
    <phoneticPr fontId="12"/>
  </si>
  <si>
    <t>INVOICE NO.</t>
    <phoneticPr fontId="12"/>
  </si>
  <si>
    <t>CASE MARK</t>
    <phoneticPr fontId="12"/>
  </si>
  <si>
    <t>INVOICE DATE</t>
    <phoneticPr fontId="12"/>
  </si>
  <si>
    <t>CONTRACT NO.</t>
    <phoneticPr fontId="12"/>
  </si>
  <si>
    <t>CONSIGNEE</t>
    <phoneticPr fontId="12"/>
  </si>
  <si>
    <t xml:space="preserve">ORDER NO. </t>
    <phoneticPr fontId="12"/>
  </si>
  <si>
    <t>MADE  IN JAPAN</t>
    <phoneticPr fontId="13"/>
  </si>
  <si>
    <t>L/C NO.</t>
    <phoneticPr fontId="12"/>
  </si>
  <si>
    <t>PAYMENT METHOD</t>
    <phoneticPr fontId="12"/>
  </si>
  <si>
    <t>SHIPPED PER</t>
    <phoneticPr fontId="12"/>
  </si>
  <si>
    <t>FROM</t>
    <phoneticPr fontId="12"/>
  </si>
  <si>
    <t>TO</t>
    <phoneticPr fontId="12"/>
  </si>
  <si>
    <t xml:space="preserve"> </t>
    <phoneticPr fontId="12"/>
  </si>
  <si>
    <t>VIA</t>
    <phoneticPr fontId="12"/>
  </si>
  <si>
    <t>C/NO.</t>
    <phoneticPr fontId="12"/>
  </si>
  <si>
    <t>ART NO.</t>
    <phoneticPr fontId="13"/>
  </si>
  <si>
    <t xml:space="preserve">  DESCRIPTION  OF  GOODS</t>
    <phoneticPr fontId="12"/>
  </si>
  <si>
    <t>COLOR</t>
    <phoneticPr fontId="13"/>
  </si>
  <si>
    <t>SIZE</t>
    <phoneticPr fontId="13"/>
  </si>
  <si>
    <t>Q'TY</t>
    <phoneticPr fontId="12"/>
  </si>
  <si>
    <t>U/PRICE</t>
    <phoneticPr fontId="12"/>
  </si>
  <si>
    <t>AMOUNT</t>
    <phoneticPr fontId="12"/>
  </si>
  <si>
    <t>" NO COMMER VALUE</t>
    <phoneticPr fontId="13"/>
  </si>
  <si>
    <t>" NO COMMERCIAL VALUE</t>
    <phoneticPr fontId="13"/>
  </si>
  <si>
    <t xml:space="preserve">  VALUE FOR CUSTOMS PURPOSE ONLY "</t>
    <phoneticPr fontId="13"/>
  </si>
  <si>
    <t xml:space="preserve"> VALUE FOR CUSTOMS PURPOSE ONLY "</t>
    <phoneticPr fontId="13"/>
  </si>
  <si>
    <t>TOTAL CARTONS :</t>
    <phoneticPr fontId="13"/>
  </si>
  <si>
    <t>TOTAL GROSS WEIGHT :</t>
    <phoneticPr fontId="13"/>
  </si>
  <si>
    <t>KGS</t>
    <phoneticPr fontId="13"/>
  </si>
  <si>
    <t>LABEL SHEET -</t>
    <phoneticPr fontId="13"/>
  </si>
  <si>
    <t>原産国</t>
    <rPh sb="0" eb="3">
      <t>ゲンサンコク</t>
    </rPh>
    <phoneticPr fontId="13"/>
  </si>
  <si>
    <t>MADE IN JAPAN</t>
    <phoneticPr fontId="13"/>
  </si>
  <si>
    <t>D17 Street , Sai Gon South Residential Area</t>
    <phoneticPr fontId="13"/>
  </si>
  <si>
    <t>TOTAL :</t>
  </si>
  <si>
    <t>PCS.</t>
  </si>
  <si>
    <t>WOVEN FABRIC</t>
  </si>
  <si>
    <t>M.</t>
    <phoneticPr fontId="13"/>
  </si>
  <si>
    <t>短繊維、プリント加工なし</t>
    <rPh sb="0" eb="1">
      <t>タン</t>
    </rPh>
    <rPh sb="1" eb="3">
      <t>センイ</t>
    </rPh>
    <rPh sb="8" eb="9">
      <t>ナ</t>
    </rPh>
    <phoneticPr fontId="13"/>
  </si>
  <si>
    <t>M.</t>
  </si>
  <si>
    <t>ITEM</t>
    <phoneticPr fontId="13"/>
  </si>
  <si>
    <t>NAME</t>
    <phoneticPr fontId="13"/>
  </si>
  <si>
    <t>color</t>
    <phoneticPr fontId="13"/>
  </si>
  <si>
    <t>lady's or men's</t>
    <phoneticPr fontId="13"/>
  </si>
  <si>
    <t>WOVEN or  KNIT</t>
    <phoneticPr fontId="13"/>
  </si>
  <si>
    <t>picture</t>
    <phoneticPr fontId="13"/>
  </si>
  <si>
    <t>Composition</t>
    <phoneticPr fontId="13"/>
  </si>
  <si>
    <t>packingNo.</t>
    <phoneticPr fontId="13"/>
  </si>
  <si>
    <t>men's</t>
    <phoneticPr fontId="13"/>
  </si>
  <si>
    <t>KNIT FABRIC</t>
    <phoneticPr fontId="13"/>
  </si>
  <si>
    <t>c/#BK</t>
    <phoneticPr fontId="13"/>
  </si>
  <si>
    <t>搬入内容</t>
    <rPh sb="0" eb="2">
      <t>ハンニュウ</t>
    </rPh>
    <phoneticPr fontId="13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</si>
  <si>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3"/>
  </si>
  <si>
    <t>SET.</t>
    <phoneticPr fontId="13"/>
  </si>
  <si>
    <t>TOTAL</t>
    <phoneticPr fontId="68"/>
  </si>
  <si>
    <t>men's jacket  SAMPLE CLOTHES</t>
  </si>
  <si>
    <t>men's jacket  SAMPLE CLOTHES</t>
    <phoneticPr fontId="13"/>
  </si>
  <si>
    <t>BK</t>
  </si>
  <si>
    <t>COTTON100%</t>
    <phoneticPr fontId="13"/>
  </si>
  <si>
    <t xml:space="preserve"> C/NO. 1-18</t>
    <phoneticPr fontId="13"/>
  </si>
  <si>
    <t>18CARTONS</t>
    <phoneticPr fontId="13"/>
  </si>
  <si>
    <t>51010</t>
    <phoneticPr fontId="13"/>
  </si>
  <si>
    <t>平織　先染め　タータンチェック</t>
    <rPh sb="0" eb="1">
      <t>ヒラ</t>
    </rPh>
    <rPh sb="1" eb="2">
      <t>オリ</t>
    </rPh>
    <rPh sb="3" eb="4">
      <t>サキ</t>
    </rPh>
    <phoneticPr fontId="13"/>
  </si>
  <si>
    <t>短繊維、プリント加工なし</t>
    <phoneticPr fontId="13"/>
  </si>
  <si>
    <t>c/#514 BROWN</t>
    <phoneticPr fontId="13"/>
  </si>
  <si>
    <t>c/#112 GREEN</t>
    <phoneticPr fontId="13"/>
  </si>
  <si>
    <t>c/#113 GRAY</t>
    <phoneticPr fontId="13"/>
  </si>
  <si>
    <t>c/#202 RED</t>
    <phoneticPr fontId="13"/>
  </si>
  <si>
    <t>c/#308 BLACK</t>
    <phoneticPr fontId="13"/>
  </si>
  <si>
    <t>c/#404 BLACK</t>
    <phoneticPr fontId="13"/>
  </si>
  <si>
    <t>c/#511 BROWN</t>
    <phoneticPr fontId="13"/>
  </si>
  <si>
    <t>c/#512 BEIGE</t>
    <phoneticPr fontId="13"/>
  </si>
  <si>
    <t>c/#601 BLACK</t>
    <phoneticPr fontId="13"/>
  </si>
  <si>
    <t>c/#602 GREEN</t>
    <phoneticPr fontId="13"/>
  </si>
  <si>
    <t>入庫NO.22072947</t>
    <rPh sb="0" eb="2">
      <t>ニュウコ</t>
    </rPh>
    <phoneticPr fontId="13"/>
  </si>
  <si>
    <t>入庫NO.22072951</t>
    <rPh sb="0" eb="2">
      <t>ニュウコ</t>
    </rPh>
    <phoneticPr fontId="13"/>
  </si>
  <si>
    <t>4/21</t>
    <phoneticPr fontId="13"/>
  </si>
  <si>
    <t>1-2</t>
  </si>
  <si>
    <t>1-2</t>
    <phoneticPr fontId="13"/>
  </si>
  <si>
    <t>COTTON100%</t>
  </si>
  <si>
    <r>
      <t>WIDTH:114CM (100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</si>
  <si>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NFD-30</t>
    <phoneticPr fontId="13"/>
  </si>
  <si>
    <t>平織　後染め　タフタ</t>
    <rPh sb="0" eb="1">
      <t>ヒラ</t>
    </rPh>
    <rPh sb="1" eb="2">
      <t>オリ</t>
    </rPh>
    <rPh sb="3" eb="4">
      <t>アト</t>
    </rPh>
    <phoneticPr fontId="13"/>
  </si>
  <si>
    <t>長繊維、プリント加工なし</t>
    <rPh sb="0" eb="1">
      <t>ナガ</t>
    </rPh>
    <rPh sb="1" eb="3">
      <t>センイ</t>
    </rPh>
    <phoneticPr fontId="13"/>
  </si>
  <si>
    <t>c/#F-4 BEIGE</t>
    <phoneticPr fontId="13"/>
  </si>
  <si>
    <t>c/#F-15 CHARCOAL</t>
    <phoneticPr fontId="13"/>
  </si>
  <si>
    <t>STYLE:SH-SV-NGA-1007</t>
    <phoneticPr fontId="13"/>
  </si>
  <si>
    <t>NYLON 100%</t>
    <phoneticPr fontId="13"/>
  </si>
  <si>
    <r>
      <t>WIDTH:145CM (46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</si>
  <si>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3</t>
    <phoneticPr fontId="13"/>
  </si>
  <si>
    <t>入庫NO.22073160</t>
    <rPh sb="0" eb="2">
      <t>ニュウコ</t>
    </rPh>
    <phoneticPr fontId="13"/>
  </si>
  <si>
    <t>5/2</t>
    <phoneticPr fontId="13"/>
  </si>
  <si>
    <t>7070</t>
    <phoneticPr fontId="13"/>
  </si>
  <si>
    <t>綾織　デニム　先染め</t>
    <rPh sb="0" eb="1">
      <t>アヤ</t>
    </rPh>
    <rPh sb="1" eb="2">
      <t>オリ</t>
    </rPh>
    <rPh sb="7" eb="8">
      <t>サキ</t>
    </rPh>
    <phoneticPr fontId="13"/>
  </si>
  <si>
    <t>c/#510 BLACK</t>
    <phoneticPr fontId="13"/>
  </si>
  <si>
    <t>STYLE:25A-PT03(24SY-52)</t>
    <phoneticPr fontId="13"/>
  </si>
  <si>
    <r>
      <t>WIDTH:150CM (440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</si>
  <si>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入庫NO.22073165</t>
    <rPh sb="0" eb="2">
      <t>ニュウコ</t>
    </rPh>
    <phoneticPr fontId="13"/>
  </si>
  <si>
    <t>5/7</t>
    <phoneticPr fontId="13"/>
  </si>
  <si>
    <t>4-5</t>
    <phoneticPr fontId="13"/>
  </si>
  <si>
    <t>6</t>
    <phoneticPr fontId="13"/>
  </si>
  <si>
    <t>8474</t>
    <phoneticPr fontId="13"/>
  </si>
  <si>
    <t>平織 先染め 梳毛</t>
    <rPh sb="0" eb="1">
      <t>オリ</t>
    </rPh>
    <rPh sb="2" eb="3">
      <t>サキ</t>
    </rPh>
    <rPh sb="6" eb="8">
      <t>ソモウ</t>
    </rPh>
    <phoneticPr fontId="13"/>
  </si>
  <si>
    <t>c/#22 CHARCOAL</t>
    <phoneticPr fontId="13"/>
  </si>
  <si>
    <t>STYLE:25A-PT01(24SY-57)</t>
    <phoneticPr fontId="13"/>
  </si>
  <si>
    <t>WOOL100%</t>
  </si>
  <si>
    <t>WOOL100%</t>
    <phoneticPr fontId="13"/>
  </si>
  <si>
    <r>
      <t>WIDTH:148CM (250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</si>
  <si>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入庫NO.22072718</t>
    <rPh sb="0" eb="2">
      <t>ニュウコ</t>
    </rPh>
    <phoneticPr fontId="13"/>
  </si>
  <si>
    <t>4/10</t>
    <phoneticPr fontId="13"/>
  </si>
  <si>
    <t>men's used T-shirt</t>
    <phoneticPr fontId="13"/>
  </si>
  <si>
    <t>COTTON 100%</t>
    <phoneticPr fontId="13"/>
  </si>
  <si>
    <t>古着　プリント有</t>
    <rPh sb="0" eb="1">
      <t>フルギ</t>
    </rPh>
    <rPh sb="7" eb="8">
      <t>アリ</t>
    </rPh>
    <phoneticPr fontId="13"/>
  </si>
  <si>
    <t>7-8</t>
    <phoneticPr fontId="13"/>
  </si>
  <si>
    <t>made in USA</t>
    <phoneticPr fontId="13"/>
  </si>
  <si>
    <t>C/#MIX</t>
    <phoneticPr fontId="13"/>
  </si>
  <si>
    <t>佐川：450006742006</t>
    <rPh sb="0" eb="2">
      <t>サガワ</t>
    </rPh>
    <phoneticPr fontId="13"/>
  </si>
  <si>
    <t>5/8</t>
    <phoneticPr fontId="13"/>
  </si>
  <si>
    <t xml:space="preserve">STYLE:25A-SH01(24SY-55)	</t>
    <phoneticPr fontId="13"/>
  </si>
  <si>
    <t>3041</t>
    <phoneticPr fontId="13"/>
  </si>
  <si>
    <t>c/#01 WHITE</t>
    <phoneticPr fontId="13"/>
  </si>
  <si>
    <t>平織　オックス　先染め</t>
    <rPh sb="0" eb="1">
      <t>ヒラ</t>
    </rPh>
    <rPh sb="1" eb="2">
      <t>オリ</t>
    </rPh>
    <rPh sb="8" eb="9">
      <t>サキ</t>
    </rPh>
    <phoneticPr fontId="13"/>
  </si>
  <si>
    <r>
      <t>WIDTH:112CM (218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</si>
  <si>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入庫NO.22073203</t>
    <rPh sb="0" eb="2">
      <t>ニュウコ</t>
    </rPh>
    <phoneticPr fontId="13"/>
  </si>
  <si>
    <t>men's coat SAMPLE CLOTHES</t>
  </si>
  <si>
    <t>men's coat SAMPLE CLOTHES</t>
    <phoneticPr fontId="13"/>
  </si>
  <si>
    <t>SH-SV-NGA-1007 SAMPLE</t>
  </si>
  <si>
    <t>SH-SV-NGA-1007 SAMPLE</t>
    <phoneticPr fontId="13"/>
  </si>
  <si>
    <t>HORN button</t>
    <phoneticPr fontId="13"/>
  </si>
  <si>
    <t>c/#BR</t>
    <phoneticPr fontId="13"/>
  </si>
  <si>
    <t>15mm-24</t>
    <phoneticPr fontId="13"/>
  </si>
  <si>
    <t>15mm-36 25mm-45</t>
    <phoneticPr fontId="13"/>
  </si>
  <si>
    <t>KN-SV-NGA-1004 SAMPLE</t>
  </si>
  <si>
    <t>KN-SV-NGA-1004 SAMPLE</t>
    <phoneticPr fontId="13"/>
  </si>
  <si>
    <t>STYLE:KN-SV-NGA-1004</t>
    <phoneticPr fontId="13"/>
  </si>
  <si>
    <t>Giraffe button</t>
    <phoneticPr fontId="13"/>
  </si>
  <si>
    <r>
      <t>15mm 4</t>
    </r>
    <r>
      <rPr>
        <b/>
        <sz val="10"/>
        <color theme="1"/>
        <rFont val="Yu Gothic"/>
        <family val="2"/>
        <charset val="128"/>
      </rPr>
      <t>つ穴 ユリア樹脂</t>
    </r>
    <rPh sb="7" eb="8">
      <t>アナ</t>
    </rPh>
    <rPh sb="12" eb="14">
      <t>ジュシ</t>
    </rPh>
    <phoneticPr fontId="13"/>
  </si>
  <si>
    <t>TH982 DW 4301B</t>
    <phoneticPr fontId="13"/>
  </si>
  <si>
    <t>c/#SILVER</t>
  </si>
  <si>
    <t>c/#SILVER</t>
    <phoneticPr fontId="13"/>
  </si>
  <si>
    <r>
      <t>snap button</t>
    </r>
    <r>
      <rPr>
        <b/>
        <sz val="10"/>
        <color theme="1"/>
        <rFont val="Yu Gothic"/>
        <family val="2"/>
        <charset val="128"/>
      </rPr>
      <t>　凹</t>
    </r>
    <rPh sb="12" eb="13">
      <t>ボコ</t>
    </rPh>
    <phoneticPr fontId="13"/>
  </si>
  <si>
    <t>4301C 4301D</t>
    <phoneticPr fontId="13"/>
  </si>
  <si>
    <r>
      <t>snap button</t>
    </r>
    <r>
      <rPr>
        <b/>
        <sz val="10"/>
        <color theme="1"/>
        <rFont val="Yu Gothic"/>
        <family val="2"/>
        <charset val="128"/>
      </rPr>
      <t>　凸</t>
    </r>
    <rPh sb="12" eb="13">
      <t>トツ</t>
    </rPh>
    <phoneticPr fontId="13"/>
  </si>
  <si>
    <t>c/#855 BROWN</t>
    <phoneticPr fontId="13"/>
  </si>
  <si>
    <t>c/#822 CHARCOAL</t>
    <phoneticPr fontId="13"/>
  </si>
  <si>
    <t>PIPING TAPE 10mm cupra100%</t>
    <phoneticPr fontId="13"/>
  </si>
  <si>
    <t>800-F</t>
    <phoneticPr fontId="13"/>
  </si>
  <si>
    <t>SEVESKIG WOVEN NAME</t>
    <phoneticPr fontId="13"/>
  </si>
  <si>
    <t>c/#BEIGE</t>
    <phoneticPr fontId="13"/>
  </si>
  <si>
    <t>SEVESKIG PAPER NAME</t>
    <phoneticPr fontId="13"/>
  </si>
  <si>
    <t>c/#WHITE</t>
    <phoneticPr fontId="13"/>
  </si>
  <si>
    <t>AVANI LEATHER NAME</t>
    <phoneticPr fontId="13"/>
  </si>
  <si>
    <t>c/#BROWN</t>
    <phoneticPr fontId="13"/>
  </si>
  <si>
    <t>9</t>
    <phoneticPr fontId="13"/>
  </si>
  <si>
    <t>SET.</t>
  </si>
  <si>
    <t>STYLE:SH-SV-NGA-1004</t>
    <phoneticPr fontId="13"/>
  </si>
  <si>
    <t>STYLE:SH-SV-NGA-1004,SH-SV-NGA-1007</t>
  </si>
  <si>
    <t>STYLE:SH-SV-NGA-1004,SH-SV-NGA-1007</t>
    <phoneticPr fontId="13"/>
  </si>
  <si>
    <t>5/9</t>
    <phoneticPr fontId="13"/>
  </si>
  <si>
    <t>SEVESKIG WOVEN Piece NAME</t>
    <phoneticPr fontId="13"/>
  </si>
  <si>
    <t>2002S</t>
  </si>
  <si>
    <t>＃107-35ｍ　＃BK-35ｍ</t>
  </si>
  <si>
    <t>COTTON 100% PIECE-DYED SLEEK</t>
  </si>
  <si>
    <t>＃133-15ｍ　＃140-15ｍ</t>
  </si>
  <si>
    <t>3YGRDS　C　GSN8</t>
  </si>
  <si>
    <t>19cm　＃580-14　＃560-14</t>
  </si>
  <si>
    <t>20cm　＃580-12　＃560-12　</t>
  </si>
  <si>
    <t>　15BURR　2779-2910</t>
  </si>
  <si>
    <t>NSL</t>
  </si>
  <si>
    <t xml:space="preserve">metal ZIPPER </t>
    <phoneticPr fontId="13"/>
  </si>
  <si>
    <r>
      <t xml:space="preserve">RIVET </t>
    </r>
    <r>
      <rPr>
        <b/>
        <sz val="10"/>
        <rFont val="Yu Gothic"/>
        <family val="2"/>
        <charset val="128"/>
      </rPr>
      <t>材質：真鍮</t>
    </r>
    <rPh sb="6" eb="8">
      <t>ザイシツ</t>
    </rPh>
    <rPh sb="9" eb="11">
      <t>シンチュウ</t>
    </rPh>
    <phoneticPr fontId="13"/>
  </si>
  <si>
    <t>25A-PT03(24SY-52)</t>
    <phoneticPr fontId="13"/>
  </si>
  <si>
    <t>＃1-26ｍ　＃22-26ｍ</t>
  </si>
  <si>
    <t>3MN　C　DA　</t>
  </si>
  <si>
    <t>17cm　＃915-33　＃5801-33</t>
  </si>
  <si>
    <t>M508K</t>
  </si>
  <si>
    <t>KW</t>
  </si>
  <si>
    <t>25A-PT01(24SY-57)</t>
    <phoneticPr fontId="13"/>
  </si>
  <si>
    <t>metal ZIPPER</t>
    <phoneticPr fontId="13"/>
  </si>
  <si>
    <r>
      <t xml:space="preserve">HOOK </t>
    </r>
    <r>
      <rPr>
        <b/>
        <sz val="10"/>
        <rFont val="Yu Gothic"/>
        <family val="2"/>
        <charset val="128"/>
      </rPr>
      <t>材質：真鍮</t>
    </r>
    <rPh sb="5" eb="7">
      <t>ザイシツ</t>
    </rPh>
    <rPh sb="8" eb="10">
      <t>シンチュウ</t>
    </rPh>
    <phoneticPr fontId="13"/>
  </si>
  <si>
    <t>152cm-30　157cm-40　162cm-30</t>
  </si>
  <si>
    <t>B210</t>
  </si>
  <si>
    <t>WAIST　ELASTIC　55mm</t>
  </si>
  <si>
    <t>25A-PT04(24SY-62)</t>
    <phoneticPr fontId="13"/>
  </si>
  <si>
    <t>CCF-01A(M)</t>
    <phoneticPr fontId="13"/>
  </si>
  <si>
    <r>
      <t xml:space="preserve">CHIPD CORD COTTON100% </t>
    </r>
    <r>
      <rPr>
        <b/>
        <sz val="10"/>
        <rFont val="Yu Gothic"/>
        <family val="2"/>
        <charset val="128"/>
      </rPr>
      <t>セルチップ加工</t>
    </r>
    <rPh sb="27" eb="29">
      <t>カコウ</t>
    </rPh>
    <phoneticPr fontId="13"/>
  </si>
  <si>
    <t>P90</t>
  </si>
  <si>
    <t>COR8</t>
  </si>
  <si>
    <t>REINFORCED　BUTTONS</t>
  </si>
  <si>
    <t>SGS85</t>
  </si>
  <si>
    <t>OW</t>
  </si>
  <si>
    <t>GY-4</t>
  </si>
  <si>
    <t>W</t>
  </si>
  <si>
    <r>
      <t xml:space="preserve">LINING POLYESTER100% </t>
    </r>
    <r>
      <rPr>
        <b/>
        <sz val="10"/>
        <rFont val="Yu Gothic"/>
        <family val="2"/>
        <charset val="128"/>
      </rPr>
      <t>ツイル綾織 後染め</t>
    </r>
    <rPh sb="24" eb="26">
      <t>アヤオリ</t>
    </rPh>
    <rPh sb="27" eb="29">
      <t>アトゾ</t>
    </rPh>
    <phoneticPr fontId="13"/>
  </si>
  <si>
    <r>
      <t xml:space="preserve">INTER LINING POLYESTER100% </t>
    </r>
    <r>
      <rPr>
        <b/>
        <sz val="10"/>
        <rFont val="Yu Gothic"/>
        <family val="2"/>
        <charset val="128"/>
      </rPr>
      <t>芯地</t>
    </r>
    <rPh sb="27" eb="29">
      <t>シンジ</t>
    </rPh>
    <phoneticPr fontId="13"/>
  </si>
  <si>
    <r>
      <t>BUTTONS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25</t>
    </r>
    <r>
      <rPr>
        <b/>
        <sz val="10"/>
        <rFont val="ＭＳ ゴシック"/>
        <family val="3"/>
        <charset val="128"/>
      </rPr>
      <t>ｍｍ　＃</t>
    </r>
    <r>
      <rPr>
        <b/>
        <sz val="10"/>
        <rFont val="Century Gothic"/>
        <family val="2"/>
      </rPr>
      <t>45-180</t>
    </r>
    <r>
      <rPr>
        <b/>
        <sz val="10"/>
        <rFont val="ＭＳ ゴシック"/>
        <family val="3"/>
        <charset val="128"/>
      </rPr>
      <t>　＃</t>
    </r>
    <r>
      <rPr>
        <b/>
        <sz val="10"/>
        <rFont val="Century Gothic"/>
        <family val="2"/>
      </rPr>
      <t>8-180</t>
    </r>
    <r>
      <rPr>
        <b/>
        <sz val="10"/>
        <rFont val="Yu Gothic"/>
        <family val="2"/>
        <charset val="128"/>
      </rPr>
      <t>　材質：ユリア樹脂</t>
    </r>
    <rPh sb="28" eb="30">
      <t>ザイシツ</t>
    </rPh>
    <rPh sb="34" eb="36">
      <t>ジュシ</t>
    </rPh>
    <phoneticPr fontId="13"/>
  </si>
  <si>
    <r>
      <t xml:space="preserve">#CLEAR </t>
    </r>
    <r>
      <rPr>
        <b/>
        <sz val="10"/>
        <rFont val="Yu Gothic"/>
        <family val="2"/>
        <charset val="128"/>
      </rPr>
      <t>材質：ポリエステル</t>
    </r>
    <rPh sb="7" eb="9">
      <t>ザイシツ</t>
    </rPh>
    <phoneticPr fontId="13"/>
  </si>
  <si>
    <t xml:space="preserve">INTER LINING POLYESTER100% </t>
    <phoneticPr fontId="13"/>
  </si>
  <si>
    <r>
      <t>SLEEVE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WADDING POLYESTER100%</t>
    </r>
    <phoneticPr fontId="13"/>
  </si>
  <si>
    <t>25A-CO01(24SY-59)</t>
    <phoneticPr fontId="13"/>
  </si>
  <si>
    <t>GS29</t>
  </si>
  <si>
    <t>09</t>
  </si>
  <si>
    <t>3MA　C　DA</t>
  </si>
  <si>
    <t>580　</t>
  </si>
  <si>
    <t>P-90</t>
  </si>
  <si>
    <r>
      <t>BUTTONS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 xml:space="preserve">15mm </t>
    </r>
    <r>
      <rPr>
        <b/>
        <sz val="10"/>
        <rFont val="Yu Gothic"/>
        <family val="2"/>
        <charset val="128"/>
      </rPr>
      <t>材質：ユリア樹脂</t>
    </r>
    <rPh sb="13" eb="15">
      <t>ザイシツ</t>
    </rPh>
    <rPh sb="19" eb="21">
      <t>ジュシ</t>
    </rPh>
    <phoneticPr fontId="13"/>
  </si>
  <si>
    <r>
      <t>metal ZIPPER</t>
    </r>
    <r>
      <rPr>
        <b/>
        <sz val="10"/>
        <rFont val="ＭＳ ゴシック"/>
        <family val="3"/>
        <charset val="128"/>
      </rPr>
      <t>　</t>
    </r>
    <r>
      <rPr>
        <b/>
        <sz val="10"/>
        <rFont val="Century Gothic"/>
        <family val="2"/>
      </rPr>
      <t>16cm</t>
    </r>
    <phoneticPr fontId="13"/>
  </si>
  <si>
    <r>
      <t xml:space="preserve">WAISTBAND LINING COTTON100% </t>
    </r>
    <r>
      <rPr>
        <b/>
        <sz val="10"/>
        <rFont val="Yu Gothic"/>
        <family val="2"/>
        <charset val="128"/>
      </rPr>
      <t>平織</t>
    </r>
    <rPh sb="28" eb="30">
      <t>ヒラオリ</t>
    </rPh>
    <phoneticPr fontId="13"/>
  </si>
  <si>
    <t>25A-PT02(24SY-60)</t>
    <phoneticPr fontId="13"/>
  </si>
  <si>
    <t>10-13</t>
    <phoneticPr fontId="13"/>
  </si>
  <si>
    <t>4CARTONS</t>
    <phoneticPr fontId="13"/>
  </si>
  <si>
    <t>入庫NO.22073202</t>
    <phoneticPr fontId="13"/>
  </si>
  <si>
    <t>C/#MULTI</t>
  </si>
  <si>
    <t>C/#MULTI</t>
    <phoneticPr fontId="13"/>
  </si>
  <si>
    <t>MADE IN USA</t>
    <phoneticPr fontId="13"/>
  </si>
  <si>
    <t xml:space="preserve"> SY-6500508-VT-DD-01</t>
    <phoneticPr fontId="13"/>
  </si>
  <si>
    <t>May, 08 2025</t>
    <phoneticPr fontId="13"/>
  </si>
  <si>
    <t>MG107</t>
    <phoneticPr fontId="13"/>
  </si>
  <si>
    <t>平織 タイプライター 後染め</t>
    <rPh sb="0" eb="1">
      <t>オリ</t>
    </rPh>
    <rPh sb="2" eb="3">
      <t>サキ</t>
    </rPh>
    <rPh sb="11" eb="13">
      <t>アトゾ</t>
    </rPh>
    <phoneticPr fontId="13"/>
  </si>
  <si>
    <t>c/#KW WHITE</t>
    <phoneticPr fontId="13"/>
  </si>
  <si>
    <t>STYLE:25A-SH03(22SY-35),25A-SH02(25SY-09)</t>
  </si>
  <si>
    <t>7-11</t>
    <phoneticPr fontId="13"/>
  </si>
  <si>
    <t>12-13</t>
    <phoneticPr fontId="13"/>
  </si>
  <si>
    <t>14</t>
    <phoneticPr fontId="13"/>
  </si>
  <si>
    <t>14CARTONS</t>
    <phoneticPr fontId="13"/>
  </si>
  <si>
    <t>15-18</t>
    <phoneticPr fontId="13"/>
  </si>
  <si>
    <r>
      <t>WIDTH:118CM (125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3"/>
  </si>
  <si>
    <t>WIDTH:118CM (125ｇ/㎡ )</t>
  </si>
  <si>
    <t>1091.9M. 1697PCS. 75SET.</t>
    <phoneticPr fontId="13"/>
  </si>
  <si>
    <t>18PACKAGES</t>
    <phoneticPr fontId="13"/>
  </si>
  <si>
    <t>men's used T-shirt</t>
  </si>
  <si>
    <t>C/#MIX</t>
  </si>
  <si>
    <t>men's</t>
  </si>
  <si>
    <t>COUNTRY OF ORIGIN : JAPAN,USA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</si>
</sst>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81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8"/>
      <name val="ＭＳ Ｐゴシック"/>
      <family val="3"/>
      <charset val="128"/>
      <scheme val="minor"/>
    </font>
    <font>
      <sz val="18"/>
      <name val="新細明體"/>
      <family val="1"/>
    </font>
    <font>
      <sz val="18"/>
      <name val="ＭＳ Ｐゴシック"/>
      <family val="1"/>
      <charset val="128"/>
    </font>
    <font>
      <b/>
      <sz val="26"/>
      <name val="新細明體"/>
    </font>
    <font>
      <b/>
      <sz val="24"/>
      <name val="Century Gothic"/>
      <family val="2"/>
    </font>
    <font>
      <sz val="24"/>
      <name val="Century Gothic"/>
      <family val="2"/>
    </font>
    <font>
      <b/>
      <sz val="24"/>
      <color rgb="FFFF0000"/>
      <name val="Century Gothic"/>
      <family val="2"/>
    </font>
    <font>
      <b/>
      <sz val="24"/>
      <color theme="1"/>
      <name val="Century Gothic"/>
      <family val="2"/>
    </font>
    <font>
      <b/>
      <sz val="10"/>
      <name val="Yu Gothic"/>
      <family val="2"/>
      <charset val="128"/>
    </font>
    <font>
      <b/>
      <sz val="10"/>
      <color theme="1"/>
      <name val="ＭＳ Ｐゴシック"/>
      <family val="3"/>
      <charset val="128"/>
    </font>
    <font>
      <b/>
      <sz val="10"/>
      <color theme="1"/>
      <name val="ＭＳ Ｐゴシック"/>
      <family val="2"/>
      <charset val="128"/>
    </font>
    <font>
      <sz val="10"/>
      <name val="新細明體"/>
      <family val="1"/>
    </font>
    <font>
      <b/>
      <sz val="11"/>
      <color rgb="FFFF0000"/>
      <name val="Century Gothic"/>
      <family val="2"/>
    </font>
    <font>
      <b/>
      <u/>
      <sz val="12"/>
      <name val="Century Gothic"/>
      <family val="2"/>
    </font>
    <font>
      <sz val="6"/>
      <name val="ＭＳ Ｐゴシック"/>
      <family val="2"/>
      <charset val="128"/>
      <scheme val="minor"/>
    </font>
    <font>
      <b/>
      <sz val="12"/>
      <name val="Century Gothic"/>
      <family val="2"/>
    </font>
    <font>
      <b/>
      <sz val="12"/>
      <color rgb="FFFF0000"/>
      <name val="ＭＳ Ｐゴシック"/>
      <family val="2"/>
      <charset val="128"/>
    </font>
    <font>
      <u/>
      <sz val="10"/>
      <name val="Century Gothic"/>
      <family val="2"/>
    </font>
    <font>
      <b/>
      <sz val="12"/>
      <name val="新細明體"/>
    </font>
    <font>
      <b/>
      <sz val="12"/>
      <name val="新細明體"/>
      <family val="1"/>
    </font>
    <font>
      <sz val="10"/>
      <name val="ＭＳ　ゴシック"/>
      <family val="3"/>
      <charset val="128"/>
    </font>
    <font>
      <sz val="12"/>
      <name val="游ゴシック"/>
      <family val="1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rgb="FF0070C0"/>
      <name val="Century Gothic"/>
      <family val="2"/>
    </font>
    <font>
      <b/>
      <sz val="12"/>
      <color theme="1"/>
      <name val="ＭＳ Ｐゴシック"/>
      <family val="2"/>
      <charset val="128"/>
    </font>
    <font>
      <b/>
      <i/>
      <sz val="10"/>
      <color theme="1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4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176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6" fontId="7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95">
    <xf numFmtId="0" fontId="0" fillId="0" borderId="0" xfId="0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shrinkToFit="1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23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 shrinkToFit="1"/>
    </xf>
    <xf numFmtId="0" fontId="17" fillId="0" borderId="0" xfId="1" applyNumberFormat="1" applyFont="1" applyFill="1" applyBorder="1" applyAlignment="1" applyProtection="1"/>
    <xf numFmtId="26" fontId="11" fillId="0" borderId="0" xfId="0" applyNumberFormat="1" applyFont="1" applyAlignment="1">
      <alignment horizontal="left" vertical="center" shrinkToFit="1"/>
    </xf>
    <xf numFmtId="178" fontId="11" fillId="0" borderId="0" xfId="0" applyNumberFormat="1" applyFont="1" applyAlignment="1">
      <alignment horizontal="left" vertical="center" shrinkToFit="1"/>
    </xf>
    <xf numFmtId="0" fontId="15" fillId="0" borderId="0" xfId="0" applyFont="1" applyAlignment="1">
      <alignment vertical="center" shrinkToFit="1"/>
    </xf>
    <xf numFmtId="0" fontId="11" fillId="0" borderId="4" xfId="0" applyFont="1" applyBorder="1" applyAlignment="1">
      <alignment horizontal="center" vertical="center"/>
    </xf>
    <xf numFmtId="0" fontId="24" fillId="0" borderId="0" xfId="0" applyFont="1" applyAlignment="1">
      <alignment vertical="center" shrinkToFit="1"/>
    </xf>
    <xf numFmtId="0" fontId="25" fillId="0" borderId="0" xfId="0" applyFont="1" applyAlignment="1">
      <alignment horizontal="left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left" vertical="center"/>
    </xf>
    <xf numFmtId="49" fontId="11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 shrinkToFit="1"/>
    </xf>
    <xf numFmtId="177" fontId="20" fillId="3" borderId="0" xfId="0" applyNumberFormat="1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49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vertical="center" wrapText="1"/>
    </xf>
    <xf numFmtId="179" fontId="23" fillId="0" borderId="10" xfId="0" applyNumberFormat="1" applyFont="1" applyBorder="1" applyAlignment="1">
      <alignment vertical="center" shrinkToFit="1"/>
    </xf>
    <xf numFmtId="49" fontId="31" fillId="0" borderId="10" xfId="0" quotePrefix="1" applyNumberFormat="1" applyFont="1" applyBorder="1" applyAlignment="1">
      <alignment horizontal="left" vertical="center"/>
    </xf>
    <xf numFmtId="179" fontId="23" fillId="0" borderId="11" xfId="0" applyNumberFormat="1" applyFont="1" applyBorder="1" applyAlignment="1">
      <alignment vertical="center" shrinkToFit="1"/>
    </xf>
    <xf numFmtId="49" fontId="28" fillId="0" borderId="11" xfId="0" quotePrefix="1" applyNumberFormat="1" applyFont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0" fontId="16" fillId="0" borderId="24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/>
    </xf>
    <xf numFmtId="49" fontId="15" fillId="0" borderId="10" xfId="0" applyNumberFormat="1" applyFont="1" applyBorder="1" applyAlignment="1">
      <alignment horizontal="left" vertical="center"/>
    </xf>
    <xf numFmtId="0" fontId="15" fillId="0" borderId="10" xfId="0" applyFont="1" applyBorder="1" applyAlignment="1">
      <alignment horizontal="center" vertical="center"/>
    </xf>
    <xf numFmtId="0" fontId="26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49" fontId="24" fillId="0" borderId="10" xfId="0" applyNumberFormat="1" applyFont="1" applyBorder="1" applyAlignment="1">
      <alignment horizontal="left" vertical="center"/>
    </xf>
    <xf numFmtId="0" fontId="15" fillId="0" borderId="10" xfId="0" applyFont="1" applyBorder="1">
      <alignment vertical="center"/>
    </xf>
    <xf numFmtId="26" fontId="15" fillId="0" borderId="10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49" fontId="11" fillId="0" borderId="6" xfId="0" applyNumberFormat="1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26" fontId="15" fillId="0" borderId="6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78" fontId="23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/>
    </xf>
    <xf numFmtId="178" fontId="23" fillId="0" borderId="10" xfId="0" applyNumberFormat="1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/>
    </xf>
    <xf numFmtId="0" fontId="29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79" fontId="23" fillId="0" borderId="11" xfId="0" applyNumberFormat="1" applyFont="1" applyBorder="1" applyAlignment="1">
      <alignment horizontal="center" vertical="center" shrinkToFit="1"/>
    </xf>
    <xf numFmtId="178" fontId="23" fillId="0" borderId="11" xfId="0" applyNumberFormat="1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center" vertical="center"/>
    </xf>
    <xf numFmtId="178" fontId="23" fillId="0" borderId="4" xfId="0" applyNumberFormat="1" applyFont="1" applyBorder="1" applyAlignment="1">
      <alignment horizontal="right" vertical="center"/>
    </xf>
    <xf numFmtId="177" fontId="11" fillId="0" borderId="4" xfId="0" applyNumberFormat="1" applyFont="1" applyBorder="1" applyAlignment="1">
      <alignment horizontal="right" vertical="center"/>
    </xf>
    <xf numFmtId="0" fontId="32" fillId="0" borderId="4" xfId="0" applyFont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77" fontId="11" fillId="0" borderId="10" xfId="0" applyNumberFormat="1" applyFont="1" applyBorder="1" applyAlignment="1">
      <alignment horizontal="center" vertical="center"/>
    </xf>
    <xf numFmtId="180" fontId="11" fillId="0" borderId="8" xfId="2" applyNumberFormat="1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10" xfId="0" applyFont="1" applyBorder="1" applyAlignment="1">
      <alignment vertical="center" shrinkToFit="1"/>
    </xf>
    <xf numFmtId="49" fontId="11" fillId="0" borderId="10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0" xfId="0" applyFont="1" applyBorder="1">
      <alignment vertical="center"/>
    </xf>
    <xf numFmtId="0" fontId="34" fillId="0" borderId="0" xfId="0" applyFont="1">
      <alignment vertical="center"/>
    </xf>
    <xf numFmtId="0" fontId="34" fillId="0" borderId="37" xfId="0" applyFont="1" applyBorder="1">
      <alignment vertical="center"/>
    </xf>
    <xf numFmtId="0" fontId="34" fillId="0" borderId="0" xfId="0" applyFont="1" applyAlignment="1">
      <alignment horizontal="left" vertical="center"/>
    </xf>
    <xf numFmtId="0" fontId="34" fillId="0" borderId="38" xfId="0" applyFont="1" applyBorder="1">
      <alignment vertical="center"/>
    </xf>
    <xf numFmtId="0" fontId="34" fillId="0" borderId="39" xfId="0" applyFont="1" applyBorder="1">
      <alignment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11" fillId="0" borderId="1" xfId="0" applyFont="1" applyBorder="1">
      <alignment vertical="center"/>
    </xf>
    <xf numFmtId="0" fontId="40" fillId="0" borderId="1" xfId="0" applyFont="1" applyBorder="1">
      <alignment vertical="center"/>
    </xf>
    <xf numFmtId="0" fontId="43" fillId="0" borderId="0" xfId="0" applyFont="1">
      <alignment vertical="center"/>
    </xf>
    <xf numFmtId="0" fontId="41" fillId="0" borderId="2" xfId="0" applyFont="1" applyBorder="1">
      <alignment vertical="center"/>
    </xf>
    <xf numFmtId="0" fontId="43" fillId="0" borderId="3" xfId="0" applyFont="1" applyBorder="1">
      <alignment vertical="center"/>
    </xf>
    <xf numFmtId="0" fontId="43" fillId="0" borderId="2" xfId="0" applyFont="1" applyBorder="1">
      <alignment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>
      <alignment vertical="center"/>
    </xf>
    <xf numFmtId="0" fontId="41" fillId="0" borderId="42" xfId="0" applyFont="1" applyBorder="1">
      <alignment vertical="center"/>
    </xf>
    <xf numFmtId="0" fontId="43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49" fontId="11" fillId="0" borderId="41" xfId="0" applyNumberFormat="1" applyFont="1" applyBorder="1">
      <alignment vertical="center"/>
    </xf>
    <xf numFmtId="49" fontId="11" fillId="0" borderId="43" xfId="0" applyNumberFormat="1" applyFont="1" applyBorder="1">
      <alignment vertical="center"/>
    </xf>
    <xf numFmtId="0" fontId="41" fillId="0" borderId="44" xfId="0" applyFont="1" applyBorder="1">
      <alignment vertical="center"/>
    </xf>
    <xf numFmtId="0" fontId="24" fillId="5" borderId="42" xfId="0" applyFont="1" applyFill="1" applyBorder="1" applyAlignment="1">
      <alignment horizontal="left" vertical="center"/>
    </xf>
    <xf numFmtId="0" fontId="43" fillId="0" borderId="42" xfId="0" applyFont="1" applyBorder="1">
      <alignment vertical="center"/>
    </xf>
    <xf numFmtId="0" fontId="11" fillId="0" borderId="7" xfId="0" applyFont="1" applyBorder="1">
      <alignment vertical="center"/>
    </xf>
    <xf numFmtId="0" fontId="41" fillId="0" borderId="41" xfId="0" applyFont="1" applyBorder="1">
      <alignment vertical="center"/>
    </xf>
    <xf numFmtId="0" fontId="41" fillId="0" borderId="40" xfId="0" applyFont="1" applyBorder="1">
      <alignment vertical="center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44" fillId="0" borderId="0" xfId="0" applyFont="1">
      <alignment vertical="center"/>
    </xf>
    <xf numFmtId="0" fontId="45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center" vertical="center"/>
    </xf>
    <xf numFmtId="0" fontId="16" fillId="0" borderId="45" xfId="0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6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6" xfId="0" applyFont="1" applyBorder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26" fontId="15" fillId="0" borderId="42" xfId="0" applyNumberFormat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26" fontId="15" fillId="0" borderId="0" xfId="0" applyNumberFormat="1" applyFont="1" applyAlignment="1">
      <alignment horizontal="left" vertical="center"/>
    </xf>
    <xf numFmtId="0" fontId="44" fillId="0" borderId="0" xfId="0" applyFont="1" applyAlignment="1">
      <alignment horizontal="center"/>
    </xf>
    <xf numFmtId="49" fontId="11" fillId="0" borderId="0" xfId="0" applyNumberFormat="1" applyFont="1">
      <alignment vertical="center"/>
    </xf>
    <xf numFmtId="180" fontId="23" fillId="0" borderId="4" xfId="2" applyNumberFormat="1" applyFont="1" applyFill="1" applyBorder="1" applyAlignment="1">
      <alignment horizontal="right" vertical="center"/>
    </xf>
    <xf numFmtId="1" fontId="23" fillId="0" borderId="4" xfId="2" applyNumberFormat="1" applyFont="1" applyFill="1" applyBorder="1" applyAlignment="1">
      <alignment horizontal="left" vertical="center"/>
    </xf>
    <xf numFmtId="177" fontId="23" fillId="0" borderId="42" xfId="2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0" fontId="23" fillId="0" borderId="4" xfId="2" applyNumberFormat="1" applyFont="1" applyFill="1" applyBorder="1" applyAlignment="1">
      <alignment horizontal="right" vertical="center"/>
    </xf>
    <xf numFmtId="177" fontId="23" fillId="3" borderId="42" xfId="2" applyNumberFormat="1" applyFont="1" applyFill="1" applyBorder="1" applyAlignment="1">
      <alignment horizontal="right" vertical="center"/>
    </xf>
    <xf numFmtId="0" fontId="11" fillId="0" borderId="47" xfId="0" applyFont="1" applyBorder="1" applyAlignment="1">
      <alignment horizontal="left" vertical="center"/>
    </xf>
    <xf numFmtId="181" fontId="11" fillId="0" borderId="47" xfId="2" applyNumberFormat="1" applyFont="1" applyFill="1" applyBorder="1" applyAlignment="1">
      <alignment horizontal="left" vertical="center" indent="1"/>
    </xf>
    <xf numFmtId="182" fontId="23" fillId="0" borderId="47" xfId="0" applyNumberFormat="1" applyFont="1" applyBorder="1" applyAlignment="1">
      <alignment horizontal="left" vertical="center"/>
    </xf>
    <xf numFmtId="178" fontId="23" fillId="0" borderId="47" xfId="0" applyNumberFormat="1" applyFont="1" applyBorder="1" applyAlignment="1">
      <alignment horizontal="right" vertical="center"/>
    </xf>
    <xf numFmtId="0" fontId="11" fillId="0" borderId="0" xfId="0" quotePrefix="1" applyFont="1">
      <alignment vertical="center"/>
    </xf>
    <xf numFmtId="0" fontId="11" fillId="0" borderId="0" xfId="0" quotePrefix="1" applyFont="1" applyAlignment="1">
      <alignment horizontal="left" vertical="center"/>
    </xf>
    <xf numFmtId="26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83" fontId="11" fillId="0" borderId="0" xfId="0" applyNumberFormat="1" applyFont="1">
      <alignment vertical="center"/>
    </xf>
    <xf numFmtId="0" fontId="45" fillId="0" borderId="0" xfId="0" applyFont="1">
      <alignment vertical="center"/>
    </xf>
    <xf numFmtId="49" fontId="24" fillId="0" borderId="0" xfId="0" applyNumberFormat="1" applyFont="1">
      <alignment vertical="center"/>
    </xf>
    <xf numFmtId="0" fontId="24" fillId="0" borderId="0" xfId="0" applyFont="1" applyAlignment="1">
      <alignment horizontal="left" vertical="center"/>
    </xf>
    <xf numFmtId="49" fontId="24" fillId="5" borderId="0" xfId="0" applyNumberFormat="1" applyFont="1" applyFill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>
      <alignment vertical="center"/>
    </xf>
    <xf numFmtId="49" fontId="41" fillId="0" borderId="0" xfId="0" applyNumberFormat="1" applyFont="1" applyAlignment="1">
      <alignment horizontal="right"/>
    </xf>
    <xf numFmtId="0" fontId="47" fillId="0" borderId="0" xfId="0" applyFont="1">
      <alignment vertical="center"/>
    </xf>
    <xf numFmtId="0" fontId="41" fillId="0" borderId="0" xfId="0" applyFont="1" applyAlignment="1">
      <alignment horizontal="center"/>
    </xf>
    <xf numFmtId="0" fontId="47" fillId="0" borderId="41" xfId="0" applyFont="1" applyBorder="1" applyAlignment="1">
      <alignment horizontal="left"/>
    </xf>
    <xf numFmtId="49" fontId="41" fillId="0" borderId="41" xfId="0" applyNumberFormat="1" applyFont="1" applyBorder="1" applyAlignment="1">
      <alignment horizontal="right"/>
    </xf>
    <xf numFmtId="49" fontId="41" fillId="0" borderId="0" xfId="0" applyNumberFormat="1" applyFont="1">
      <alignment vertical="center"/>
    </xf>
    <xf numFmtId="0" fontId="40" fillId="0" borderId="0" xfId="0" applyFont="1" applyAlignment="1">
      <alignment horizontal="center"/>
    </xf>
    <xf numFmtId="49" fontId="40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8" fillId="0" borderId="0" xfId="0" applyNumberFormat="1" applyFont="1">
      <alignment vertical="center"/>
    </xf>
    <xf numFmtId="49" fontId="48" fillId="0" borderId="1" xfId="0" applyNumberFormat="1" applyFont="1" applyBorder="1" applyAlignment="1">
      <alignment horizontal="center" vertical="center"/>
    </xf>
    <xf numFmtId="49" fontId="48" fillId="0" borderId="1" xfId="0" applyNumberFormat="1" applyFont="1" applyBorder="1" applyAlignment="1">
      <alignment horizontal="left" vertical="center"/>
    </xf>
    <xf numFmtId="0" fontId="16" fillId="0" borderId="28" xfId="0" applyFont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4" fillId="0" borderId="16" xfId="0" applyNumberFormat="1" applyFont="1" applyBorder="1">
      <alignment vertical="center"/>
    </xf>
    <xf numFmtId="0" fontId="0" fillId="0" borderId="50" xfId="0" applyBorder="1">
      <alignment vertical="center"/>
    </xf>
    <xf numFmtId="0" fontId="16" fillId="0" borderId="0" xfId="0" applyFont="1">
      <alignment vertical="center"/>
    </xf>
    <xf numFmtId="0" fontId="0" fillId="0" borderId="41" xfId="0" applyBorder="1">
      <alignment vertical="center"/>
    </xf>
    <xf numFmtId="0" fontId="16" fillId="0" borderId="1" xfId="0" applyFont="1" applyBorder="1">
      <alignment vertical="center"/>
    </xf>
    <xf numFmtId="49" fontId="49" fillId="0" borderId="0" xfId="0" applyNumberFormat="1" applyFont="1">
      <alignment vertical="center"/>
    </xf>
    <xf numFmtId="0" fontId="16" fillId="0" borderId="51" xfId="0" applyFont="1" applyBorder="1">
      <alignment vertical="center"/>
    </xf>
    <xf numFmtId="0" fontId="16" fillId="0" borderId="52" xfId="0" applyFont="1" applyBorder="1">
      <alignment vertical="center"/>
    </xf>
    <xf numFmtId="0" fontId="24" fillId="5" borderId="5" xfId="0" applyFont="1" applyFill="1" applyBorder="1" applyAlignment="1">
      <alignment horizontal="left" vertical="center"/>
    </xf>
    <xf numFmtId="1" fontId="11" fillId="0" borderId="5" xfId="0" applyNumberFormat="1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vertical="center"/>
    </xf>
    <xf numFmtId="0" fontId="23" fillId="0" borderId="47" xfId="0" applyFont="1" applyBorder="1" applyAlignment="1">
      <alignment horizontal="right" vertical="center"/>
    </xf>
    <xf numFmtId="0" fontId="11" fillId="0" borderId="47" xfId="0" applyFont="1" applyBorder="1">
      <alignment vertical="center"/>
    </xf>
    <xf numFmtId="1" fontId="11" fillId="0" borderId="12" xfId="0" applyNumberFormat="1" applyFont="1" applyBorder="1" applyAlignment="1">
      <alignment horizontal="center" vertical="center"/>
    </xf>
    <xf numFmtId="49" fontId="23" fillId="0" borderId="10" xfId="0" quotePrefix="1" applyNumberFormat="1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81" fontId="11" fillId="0" borderId="47" xfId="2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left" vertical="center"/>
    </xf>
    <xf numFmtId="178" fontId="23" fillId="0" borderId="8" xfId="0" applyNumberFormat="1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/>
    </xf>
    <xf numFmtId="49" fontId="23" fillId="0" borderId="8" xfId="0" applyNumberFormat="1" applyFont="1" applyBorder="1" applyAlignment="1">
      <alignment horizontal="left" vertical="center"/>
    </xf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77" fontId="11" fillId="0" borderId="5" xfId="0" applyNumberFormat="1" applyFont="1" applyBorder="1" applyAlignment="1">
      <alignment horizontal="right" vertical="center"/>
    </xf>
    <xf numFmtId="0" fontId="14" fillId="0" borderId="4" xfId="0" applyFont="1" applyBorder="1">
      <alignment vertical="center"/>
    </xf>
    <xf numFmtId="0" fontId="11" fillId="0" borderId="30" xfId="0" applyFont="1" applyBorder="1">
      <alignment vertical="center"/>
    </xf>
    <xf numFmtId="0" fontId="41" fillId="0" borderId="23" xfId="0" applyFont="1" applyBorder="1">
      <alignment vertical="center"/>
    </xf>
    <xf numFmtId="0" fontId="11" fillId="0" borderId="43" xfId="0" applyFont="1" applyBorder="1">
      <alignment vertical="center"/>
    </xf>
    <xf numFmtId="0" fontId="41" fillId="0" borderId="7" xfId="0" applyFont="1" applyBorder="1">
      <alignment vertical="center"/>
    </xf>
    <xf numFmtId="49" fontId="50" fillId="3" borderId="40" xfId="0" applyNumberFormat="1" applyFont="1" applyFill="1" applyBorder="1" applyAlignment="1">
      <alignment horizontal="left" vertical="center"/>
    </xf>
    <xf numFmtId="49" fontId="54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55" fillId="0" borderId="0" xfId="0" applyFont="1">
      <alignment vertical="center"/>
    </xf>
    <xf numFmtId="0" fontId="55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49" fontId="58" fillId="0" borderId="0" xfId="0" applyNumberFormat="1" applyFont="1" applyAlignment="1">
      <alignment horizontal="center" vertical="center"/>
    </xf>
    <xf numFmtId="49" fontId="58" fillId="0" borderId="6" xfId="0" applyNumberFormat="1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0" fillId="3" borderId="56" xfId="0" applyFont="1" applyFill="1" applyBorder="1" applyAlignment="1">
      <alignment horizontal="center" vertical="center"/>
    </xf>
    <xf numFmtId="49" fontId="61" fillId="0" borderId="5" xfId="0" quotePrefix="1" applyNumberFormat="1" applyFont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5" xfId="0" quotePrefix="1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59" fillId="0" borderId="5" xfId="0" applyFont="1" applyBorder="1" applyAlignment="1">
      <alignment horizontal="center" vertical="center" wrapText="1"/>
    </xf>
    <xf numFmtId="0" fontId="58" fillId="0" borderId="25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4" fillId="0" borderId="24" xfId="0" applyFont="1" applyBorder="1">
      <alignment vertical="center"/>
    </xf>
    <xf numFmtId="0" fontId="14" fillId="0" borderId="12" xfId="0" applyFont="1" applyBorder="1">
      <alignment vertical="center"/>
    </xf>
    <xf numFmtId="0" fontId="51" fillId="0" borderId="10" xfId="0" applyFont="1" applyBorder="1" applyAlignment="1">
      <alignment vertical="center" wrapText="1"/>
    </xf>
    <xf numFmtId="1" fontId="11" fillId="0" borderId="4" xfId="0" applyNumberFormat="1" applyFont="1" applyBorder="1" applyAlignment="1">
      <alignment horizontal="center" vertical="center"/>
    </xf>
    <xf numFmtId="49" fontId="24" fillId="3" borderId="31" xfId="0" applyNumberFormat="1" applyFont="1" applyFill="1" applyBorder="1">
      <alignment vertical="center"/>
    </xf>
    <xf numFmtId="49" fontId="24" fillId="3" borderId="29" xfId="0" applyNumberFormat="1" applyFont="1" applyFill="1" applyBorder="1">
      <alignment vertical="center"/>
    </xf>
    <xf numFmtId="49" fontId="32" fillId="0" borderId="24" xfId="0" applyNumberFormat="1" applyFont="1" applyBorder="1">
      <alignment vertical="center"/>
    </xf>
    <xf numFmtId="49" fontId="32" fillId="0" borderId="4" xfId="0" applyNumberFormat="1" applyFont="1" applyBorder="1">
      <alignment vertical="center"/>
    </xf>
    <xf numFmtId="49" fontId="32" fillId="0" borderId="12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6" fillId="5" borderId="28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/>
    </xf>
    <xf numFmtId="0" fontId="11" fillId="0" borderId="18" xfId="0" applyFont="1" applyBorder="1">
      <alignment vertical="center"/>
    </xf>
    <xf numFmtId="0" fontId="11" fillId="0" borderId="17" xfId="0" applyFont="1" applyBorder="1">
      <alignment vertical="center"/>
    </xf>
    <xf numFmtId="0" fontId="11" fillId="0" borderId="17" xfId="0" applyFont="1" applyBorder="1" applyAlignment="1">
      <alignment horizontal="right" vertical="center"/>
    </xf>
    <xf numFmtId="0" fontId="11" fillId="0" borderId="61" xfId="0" applyFont="1" applyBorder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/>
    </xf>
    <xf numFmtId="49" fontId="24" fillId="0" borderId="6" xfId="0" applyNumberFormat="1" applyFont="1" applyBorder="1" applyAlignment="1">
      <alignment horizontal="left" vertical="center"/>
    </xf>
    <xf numFmtId="0" fontId="10" fillId="0" borderId="6" xfId="0" applyFont="1" applyBorder="1">
      <alignment vertical="center"/>
    </xf>
    <xf numFmtId="0" fontId="10" fillId="0" borderId="6" xfId="0" applyFont="1" applyBorder="1" applyAlignment="1">
      <alignment horizontal="center" vertical="center"/>
    </xf>
    <xf numFmtId="26" fontId="15" fillId="0" borderId="6" xfId="0" applyNumberFormat="1" applyFont="1" applyBorder="1">
      <alignment vertical="center"/>
    </xf>
    <xf numFmtId="0" fontId="11" fillId="0" borderId="64" xfId="0" applyFont="1" applyBorder="1">
      <alignment vertical="center"/>
    </xf>
    <xf numFmtId="0" fontId="11" fillId="0" borderId="65" xfId="0" applyFont="1" applyBorder="1" applyAlignment="1">
      <alignment horizontal="center" vertical="center"/>
    </xf>
    <xf numFmtId="0" fontId="11" fillId="0" borderId="13" xfId="0" applyFont="1" applyBorder="1" applyAlignment="1">
      <alignment horizontal="right" vertical="center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right" vertical="center"/>
    </xf>
    <xf numFmtId="0" fontId="11" fillId="0" borderId="70" xfId="0" applyFont="1" applyBorder="1" applyAlignment="1">
      <alignment horizontal="center" vertical="center"/>
    </xf>
    <xf numFmtId="0" fontId="24" fillId="3" borderId="29" xfId="0" applyFont="1" applyFill="1" applyBorder="1" applyAlignment="1">
      <alignment horizontal="center"/>
    </xf>
    <xf numFmtId="0" fontId="11" fillId="0" borderId="4" xfId="0" applyFont="1" applyBorder="1" applyAlignment="1">
      <alignment horizontal="left" vertical="center"/>
    </xf>
    <xf numFmtId="179" fontId="11" fillId="0" borderId="4" xfId="0" applyNumberFormat="1" applyFont="1" applyBorder="1" applyAlignment="1">
      <alignment vertical="center" shrinkToFit="1"/>
    </xf>
    <xf numFmtId="179" fontId="11" fillId="0" borderId="4" xfId="0" applyNumberFormat="1" applyFont="1" applyBorder="1" applyAlignment="1">
      <alignment horizontal="center" vertical="center" shrinkToFit="1"/>
    </xf>
    <xf numFmtId="177" fontId="11" fillId="0" borderId="4" xfId="0" applyNumberFormat="1" applyFont="1" applyBorder="1">
      <alignment vertical="center"/>
    </xf>
    <xf numFmtId="0" fontId="65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1" xfId="0" applyBorder="1">
      <alignment vertical="center"/>
    </xf>
    <xf numFmtId="0" fontId="11" fillId="0" borderId="71" xfId="0" applyFont="1" applyBorder="1" applyAlignment="1">
      <alignment horizontal="center" vertical="center"/>
    </xf>
    <xf numFmtId="0" fontId="11" fillId="0" borderId="72" xfId="0" applyFont="1" applyBorder="1" applyAlignment="1">
      <alignment horizontal="center" vertical="center"/>
    </xf>
    <xf numFmtId="0" fontId="11" fillId="5" borderId="20" xfId="0" applyFont="1" applyFill="1" applyBorder="1" applyAlignment="1">
      <alignment horizontal="left" vertical="center"/>
    </xf>
    <xf numFmtId="3" fontId="69" fillId="0" borderId="20" xfId="0" applyNumberFormat="1" applyFont="1" applyBorder="1" applyAlignment="1">
      <alignment horizontal="left" vertical="center"/>
    </xf>
    <xf numFmtId="0" fontId="69" fillId="0" borderId="20" xfId="0" applyFont="1" applyBorder="1" applyAlignment="1">
      <alignment horizontal="left" vertical="center"/>
    </xf>
    <xf numFmtId="177" fontId="69" fillId="0" borderId="20" xfId="0" applyNumberFormat="1" applyFont="1" applyBorder="1" applyAlignment="1">
      <alignment horizontal="left" vertical="center" shrinkToFit="1"/>
    </xf>
    <xf numFmtId="177" fontId="69" fillId="0" borderId="58" xfId="0" applyNumberFormat="1" applyFont="1" applyBorder="1" applyAlignment="1">
      <alignment horizontal="left" vertical="center"/>
    </xf>
    <xf numFmtId="49" fontId="70" fillId="0" borderId="24" xfId="0" applyNumberFormat="1" applyFont="1" applyBorder="1">
      <alignment vertical="center"/>
    </xf>
    <xf numFmtId="49" fontId="49" fillId="0" borderId="24" xfId="0" applyNumberFormat="1" applyFont="1" applyBorder="1">
      <alignment vertical="center"/>
    </xf>
    <xf numFmtId="0" fontId="11" fillId="0" borderId="75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left" vertical="center"/>
    </xf>
    <xf numFmtId="3" fontId="11" fillId="0" borderId="8" xfId="0" applyNumberFormat="1" applyFont="1" applyBorder="1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177" fontId="11" fillId="0" borderId="8" xfId="0" applyNumberFormat="1" applyFont="1" applyBorder="1" applyAlignment="1">
      <alignment horizontal="right" vertical="center" shrinkToFit="1"/>
    </xf>
    <xf numFmtId="177" fontId="11" fillId="3" borderId="36" xfId="0" applyNumberFormat="1" applyFont="1" applyFill="1" applyBorder="1" applyAlignment="1">
      <alignment horizontal="right" vertical="center"/>
    </xf>
    <xf numFmtId="49" fontId="70" fillId="0" borderId="4" xfId="0" applyNumberFormat="1" applyFont="1" applyBorder="1">
      <alignment vertical="center"/>
    </xf>
    <xf numFmtId="49" fontId="49" fillId="0" borderId="4" xfId="0" applyNumberFormat="1" applyFont="1" applyBorder="1">
      <alignment vertical="center"/>
    </xf>
    <xf numFmtId="0" fontId="11" fillId="0" borderId="60" xfId="0" applyFont="1" applyBorder="1" applyAlignment="1">
      <alignment horizontal="center" vertical="center"/>
    </xf>
    <xf numFmtId="3" fontId="11" fillId="0" borderId="10" xfId="0" applyNumberFormat="1" applyFont="1" applyBorder="1" applyAlignment="1">
      <alignment horizontal="right" vertical="center"/>
    </xf>
    <xf numFmtId="0" fontId="11" fillId="0" borderId="10" xfId="0" applyFont="1" applyBorder="1" applyAlignment="1">
      <alignment horizontal="right" vertical="center"/>
    </xf>
    <xf numFmtId="177" fontId="11" fillId="0" borderId="10" xfId="0" applyNumberFormat="1" applyFont="1" applyBorder="1" applyAlignment="1">
      <alignment horizontal="right" vertical="center" shrinkToFit="1"/>
    </xf>
    <xf numFmtId="177" fontId="11" fillId="3" borderId="16" xfId="0" applyNumberFormat="1" applyFont="1" applyFill="1" applyBorder="1" applyAlignment="1">
      <alignment horizontal="right" vertical="center"/>
    </xf>
    <xf numFmtId="49" fontId="70" fillId="0" borderId="4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63" xfId="0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3" fontId="11" fillId="0" borderId="6" xfId="0" applyNumberFormat="1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177" fontId="11" fillId="0" borderId="6" xfId="0" applyNumberFormat="1" applyFont="1" applyBorder="1" applyAlignment="1">
      <alignment horizontal="left" vertical="center" shrinkToFit="1"/>
    </xf>
    <xf numFmtId="177" fontId="11" fillId="0" borderId="78" xfId="0" applyNumberFormat="1" applyFont="1" applyBorder="1" applyAlignment="1">
      <alignment horizontal="left" vertical="center"/>
    </xf>
    <xf numFmtId="3" fontId="11" fillId="0" borderId="6" xfId="0" applyNumberFormat="1" applyFont="1" applyBorder="1" applyAlignment="1">
      <alignment horizontal="right" vertical="center"/>
    </xf>
    <xf numFmtId="177" fontId="11" fillId="0" borderId="6" xfId="0" applyNumberFormat="1" applyFont="1" applyBorder="1" applyAlignment="1">
      <alignment horizontal="right" vertical="center" shrinkToFit="1"/>
    </xf>
    <xf numFmtId="0" fontId="11" fillId="0" borderId="6" xfId="0" applyFont="1" applyBorder="1" applyAlignment="1">
      <alignment horizontal="right" vertical="center"/>
    </xf>
    <xf numFmtId="177" fontId="11" fillId="0" borderId="78" xfId="0" applyNumberFormat="1" applyFont="1" applyBorder="1" applyAlignment="1">
      <alignment horizontal="right" vertical="center"/>
    </xf>
    <xf numFmtId="0" fontId="11" fillId="0" borderId="77" xfId="0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177" fontId="11" fillId="0" borderId="11" xfId="0" applyNumberFormat="1" applyFont="1" applyBorder="1" applyAlignment="1">
      <alignment horizontal="right" vertical="center" shrinkToFit="1"/>
    </xf>
    <xf numFmtId="49" fontId="49" fillId="0" borderId="12" xfId="0" applyNumberFormat="1" applyFont="1" applyBorder="1">
      <alignment vertical="center"/>
    </xf>
    <xf numFmtId="177" fontId="11" fillId="3" borderId="8" xfId="0" applyNumberFormat="1" applyFont="1" applyFill="1" applyBorder="1" applyAlignment="1">
      <alignment horizontal="right" vertical="center"/>
    </xf>
    <xf numFmtId="49" fontId="70" fillId="0" borderId="7" xfId="0" applyNumberFormat="1" applyFont="1" applyBorder="1" applyAlignment="1">
      <alignment horizontal="center" vertical="center"/>
    </xf>
    <xf numFmtId="49" fontId="49" fillId="0" borderId="7" xfId="0" applyNumberFormat="1" applyFont="1" applyBorder="1">
      <alignment vertical="center"/>
    </xf>
    <xf numFmtId="0" fontId="66" fillId="0" borderId="80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3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6" fontId="11" fillId="0" borderId="4" xfId="12" applyFont="1" applyBorder="1" applyAlignment="1">
      <alignment horizontal="right" vertical="center" shrinkToFit="1"/>
    </xf>
    <xf numFmtId="49" fontId="64" fillId="0" borderId="0" xfId="0" applyNumberFormat="1" applyFont="1" applyAlignment="1">
      <alignment horizontal="center" vertical="center"/>
    </xf>
    <xf numFmtId="49" fontId="24" fillId="0" borderId="7" xfId="0" applyNumberFormat="1" applyFont="1" applyBorder="1">
      <alignment vertical="center"/>
    </xf>
    <xf numFmtId="0" fontId="11" fillId="0" borderId="81" xfId="0" applyFont="1" applyBorder="1">
      <alignment vertical="center"/>
    </xf>
    <xf numFmtId="0" fontId="11" fillId="0" borderId="56" xfId="0" applyFont="1" applyBorder="1" applyAlignment="1"/>
    <xf numFmtId="49" fontId="11" fillId="0" borderId="5" xfId="0" applyNumberFormat="1" applyFont="1" applyBorder="1" applyAlignment="1">
      <alignment horizontal="left" vertical="center"/>
    </xf>
    <xf numFmtId="0" fontId="11" fillId="0" borderId="5" xfId="0" applyFont="1" applyBorder="1">
      <alignment vertical="center"/>
    </xf>
    <xf numFmtId="180" fontId="11" fillId="0" borderId="5" xfId="2" applyNumberFormat="1" applyFont="1" applyFill="1" applyBorder="1" applyAlignment="1">
      <alignment horizontal="right" vertical="center"/>
    </xf>
    <xf numFmtId="177" fontId="11" fillId="0" borderId="5" xfId="0" applyNumberFormat="1" applyFont="1" applyBorder="1">
      <alignment vertical="center"/>
    </xf>
    <xf numFmtId="178" fontId="11" fillId="0" borderId="5" xfId="2" applyNumberFormat="1" applyFont="1" applyFill="1" applyBorder="1" applyAlignment="1">
      <alignment horizontal="right" vertical="center"/>
    </xf>
    <xf numFmtId="49" fontId="11" fillId="0" borderId="25" xfId="0" applyNumberFormat="1" applyFont="1" applyBorder="1">
      <alignment vertical="center"/>
    </xf>
    <xf numFmtId="0" fontId="11" fillId="0" borderId="53" xfId="0" applyFont="1" applyBorder="1" applyAlignment="1">
      <alignment horizontal="center" vertical="center"/>
    </xf>
    <xf numFmtId="0" fontId="11" fillId="0" borderId="5" xfId="0" applyFont="1" applyBorder="1" applyAlignment="1">
      <alignment horizontal="right" vertical="center"/>
    </xf>
    <xf numFmtId="0" fontId="0" fillId="0" borderId="49" xfId="0" applyBorder="1" applyAlignment="1">
      <alignment horizontal="center" vertical="center"/>
    </xf>
    <xf numFmtId="0" fontId="11" fillId="0" borderId="60" xfId="0" applyFont="1" applyBorder="1">
      <alignment vertical="center"/>
    </xf>
    <xf numFmtId="176" fontId="11" fillId="0" borderId="10" xfId="2" applyFont="1" applyFill="1" applyBorder="1" applyAlignment="1">
      <alignment horizontal="right" vertical="center"/>
    </xf>
    <xf numFmtId="177" fontId="11" fillId="0" borderId="10" xfId="0" applyNumberFormat="1" applyFont="1" applyBorder="1">
      <alignment vertical="center"/>
    </xf>
    <xf numFmtId="178" fontId="11" fillId="0" borderId="10" xfId="2" applyNumberFormat="1" applyFont="1" applyFill="1" applyBorder="1" applyAlignment="1">
      <alignment horizontal="right" vertical="center"/>
    </xf>
    <xf numFmtId="49" fontId="11" fillId="0" borderId="16" xfId="0" applyNumberFormat="1" applyFont="1" applyBorder="1">
      <alignment vertical="center"/>
    </xf>
    <xf numFmtId="0" fontId="11" fillId="0" borderId="54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11" fillId="0" borderId="77" xfId="0" applyFont="1" applyBorder="1">
      <alignment vertical="center"/>
    </xf>
    <xf numFmtId="49" fontId="11" fillId="0" borderId="11" xfId="0" applyNumberFormat="1" applyFont="1" applyBorder="1" applyAlignment="1">
      <alignment horizontal="left" vertical="center"/>
    </xf>
    <xf numFmtId="0" fontId="11" fillId="0" borderId="11" xfId="0" applyFont="1" applyBorder="1" applyAlignment="1">
      <alignment vertical="center" shrinkToFit="1"/>
    </xf>
    <xf numFmtId="176" fontId="11" fillId="0" borderId="11" xfId="2" applyFont="1" applyFill="1" applyBorder="1" applyAlignment="1">
      <alignment horizontal="right" vertical="center"/>
    </xf>
    <xf numFmtId="1" fontId="11" fillId="0" borderId="11" xfId="0" applyNumberFormat="1" applyFont="1" applyBorder="1" applyAlignment="1">
      <alignment horizontal="center" vertical="center"/>
    </xf>
    <xf numFmtId="177" fontId="11" fillId="0" borderId="11" xfId="0" applyNumberFormat="1" applyFont="1" applyBorder="1">
      <alignment vertical="center"/>
    </xf>
    <xf numFmtId="178" fontId="11" fillId="0" borderId="11" xfId="2" applyNumberFormat="1" applyFont="1" applyFill="1" applyBorder="1" applyAlignment="1">
      <alignment horizontal="right" vertical="center"/>
    </xf>
    <xf numFmtId="0" fontId="11" fillId="0" borderId="11" xfId="0" applyFont="1" applyBorder="1">
      <alignment vertical="center"/>
    </xf>
    <xf numFmtId="49" fontId="11" fillId="0" borderId="76" xfId="0" applyNumberFormat="1" applyFont="1" applyBorder="1">
      <alignment vertical="center"/>
    </xf>
    <xf numFmtId="0" fontId="11" fillId="0" borderId="55" xfId="0" applyFont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11" fillId="0" borderId="31" xfId="0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56" fontId="14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1" fillId="0" borderId="50" xfId="0" applyFont="1" applyBorder="1" applyAlignment="1">
      <alignment horizontal="center" vertical="center"/>
    </xf>
    <xf numFmtId="0" fontId="24" fillId="3" borderId="0" xfId="0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 shrinkToFit="1"/>
    </xf>
    <xf numFmtId="1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right" vertical="center" shrinkToFit="1"/>
    </xf>
    <xf numFmtId="177" fontId="11" fillId="0" borderId="0" xfId="0" applyNumberFormat="1" applyFont="1">
      <alignment vertical="center"/>
    </xf>
    <xf numFmtId="49" fontId="23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right" vertical="center"/>
    </xf>
    <xf numFmtId="0" fontId="65" fillId="0" borderId="0" xfId="0" applyFont="1">
      <alignment vertical="center"/>
    </xf>
    <xf numFmtId="0" fontId="25" fillId="3" borderId="0" xfId="0" applyFont="1" applyFill="1" applyAlignment="1">
      <alignment horizontal="center"/>
    </xf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left" vertical="center"/>
    </xf>
    <xf numFmtId="0" fontId="69" fillId="3" borderId="0" xfId="0" applyFont="1" applyFill="1" applyAlignment="1">
      <alignment horizontal="left" vertical="center"/>
    </xf>
    <xf numFmtId="0" fontId="10" fillId="0" borderId="0" xfId="0" applyFont="1" applyAlignment="1">
      <alignment horizontal="center" vertical="center"/>
    </xf>
    <xf numFmtId="56" fontId="11" fillId="0" borderId="0" xfId="0" applyNumberFormat="1" applyFont="1" applyAlignment="1">
      <alignment horizontal="center" vertical="center"/>
    </xf>
    <xf numFmtId="49" fontId="63" fillId="0" borderId="0" xfId="0" applyNumberFormat="1" applyFont="1" applyAlignment="1">
      <alignment horizontal="center" vertical="center"/>
    </xf>
    <xf numFmtId="0" fontId="11" fillId="0" borderId="0" xfId="13" applyFont="1" applyAlignment="1">
      <alignment horizontal="center"/>
    </xf>
    <xf numFmtId="49" fontId="63" fillId="0" borderId="0" xfId="13" applyNumberFormat="1" applyFont="1" applyAlignment="1">
      <alignment horizontal="center" vertical="center"/>
    </xf>
    <xf numFmtId="0" fontId="45" fillId="0" borderId="0" xfId="13" applyFont="1" applyAlignment="1">
      <alignment horizontal="center" vertical="center"/>
    </xf>
    <xf numFmtId="0" fontId="29" fillId="0" borderId="0" xfId="13" applyFont="1">
      <alignment vertical="center"/>
    </xf>
    <xf numFmtId="3" fontId="11" fillId="0" borderId="0" xfId="13" applyNumberFormat="1" applyFont="1" applyAlignment="1">
      <alignment horizontal="center" vertical="center"/>
    </xf>
    <xf numFmtId="0" fontId="11" fillId="0" borderId="0" xfId="13" applyFont="1" applyAlignment="1">
      <alignment horizontal="center" vertical="center"/>
    </xf>
    <xf numFmtId="177" fontId="11" fillId="0" borderId="0" xfId="13" applyNumberFormat="1" applyFont="1" applyAlignment="1">
      <alignment horizontal="right" vertical="center"/>
    </xf>
    <xf numFmtId="177" fontId="11" fillId="0" borderId="0" xfId="13" applyNumberFormat="1" applyFont="1">
      <alignment vertical="center"/>
    </xf>
    <xf numFmtId="0" fontId="10" fillId="3" borderId="0" xfId="0" applyFont="1" applyFill="1" applyAlignment="1">
      <alignment horizontal="center" vertical="center"/>
    </xf>
    <xf numFmtId="0" fontId="71" fillId="3" borderId="0" xfId="0" applyFont="1" applyFill="1" applyAlignment="1">
      <alignment horizontal="left" vertical="center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3" fontId="11" fillId="3" borderId="0" xfId="0" applyNumberFormat="1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right" vertical="center"/>
    </xf>
    <xf numFmtId="177" fontId="11" fillId="3" borderId="0" xfId="0" applyNumberFormat="1" applyFont="1" applyFill="1">
      <alignment vertical="center"/>
    </xf>
    <xf numFmtId="3" fontId="11" fillId="3" borderId="0" xfId="0" applyNumberFormat="1" applyFont="1" applyFill="1" applyAlignment="1">
      <alignment horizontal="center" vertical="center" shrinkToFit="1"/>
    </xf>
    <xf numFmtId="1" fontId="11" fillId="3" borderId="0" xfId="0" applyNumberFormat="1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right" vertical="center" shrinkToFit="1"/>
    </xf>
    <xf numFmtId="0" fontId="11" fillId="3" borderId="0" xfId="0" applyFont="1" applyFill="1" applyAlignment="1">
      <alignment horizontal="center" vertical="center"/>
    </xf>
    <xf numFmtId="3" fontId="10" fillId="3" borderId="0" xfId="0" applyNumberFormat="1" applyFont="1" applyFill="1" applyAlignment="1">
      <alignment horizontal="center" vertical="center"/>
    </xf>
    <xf numFmtId="0" fontId="24" fillId="0" borderId="0" xfId="0" quotePrefix="1" applyFont="1" applyAlignment="1">
      <alignment horizontal="center"/>
    </xf>
    <xf numFmtId="0" fontId="2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3" fillId="3" borderId="0" xfId="0" applyFont="1" applyFill="1">
      <alignment vertical="center"/>
    </xf>
    <xf numFmtId="0" fontId="72" fillId="0" borderId="0" xfId="0" applyFont="1">
      <alignment vertical="center"/>
    </xf>
    <xf numFmtId="0" fontId="73" fillId="0" borderId="0" xfId="0" applyFont="1" applyAlignment="1">
      <alignment horizontal="center" vertical="center"/>
    </xf>
    <xf numFmtId="0" fontId="11" fillId="0" borderId="0" xfId="0" applyFont="1" applyAlignment="1"/>
    <xf numFmtId="176" fontId="11" fillId="3" borderId="0" xfId="2" applyFont="1" applyFill="1" applyBorder="1" applyAlignment="1">
      <alignment horizontal="right" vertical="center"/>
    </xf>
    <xf numFmtId="49" fontId="11" fillId="0" borderId="41" xfId="0" applyNumberFormat="1" applyFont="1" applyBorder="1" applyAlignment="1">
      <alignment horizontal="left" vertical="center"/>
    </xf>
    <xf numFmtId="0" fontId="11" fillId="6" borderId="41" xfId="0" applyFont="1" applyFill="1" applyBorder="1">
      <alignment vertical="center"/>
    </xf>
    <xf numFmtId="0" fontId="11" fillId="3" borderId="41" xfId="0" applyFont="1" applyFill="1" applyBorder="1" applyAlignment="1">
      <alignment horizontal="left" vertical="center"/>
    </xf>
    <xf numFmtId="1" fontId="11" fillId="3" borderId="41" xfId="0" applyNumberFormat="1" applyFont="1" applyFill="1" applyBorder="1" applyAlignment="1">
      <alignment horizontal="center" vertical="center"/>
    </xf>
    <xf numFmtId="177" fontId="11" fillId="3" borderId="41" xfId="0" applyNumberFormat="1" applyFont="1" applyFill="1" applyBorder="1">
      <alignment vertical="center"/>
    </xf>
    <xf numFmtId="177" fontId="11" fillId="3" borderId="41" xfId="0" applyNumberFormat="1" applyFont="1" applyFill="1" applyBorder="1" applyAlignment="1">
      <alignment horizontal="right" vertical="center"/>
    </xf>
    <xf numFmtId="0" fontId="11" fillId="0" borderId="41" xfId="0" applyFont="1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74" fillId="0" borderId="0" xfId="0" applyFont="1">
      <alignment vertical="center"/>
    </xf>
    <xf numFmtId="0" fontId="74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5" fillId="0" borderId="0" xfId="0" applyFont="1">
      <alignment vertical="center"/>
    </xf>
    <xf numFmtId="0" fontId="11" fillId="0" borderId="5" xfId="0" applyFont="1" applyBorder="1" applyAlignment="1">
      <alignment horizontal="left" vertical="center"/>
    </xf>
    <xf numFmtId="179" fontId="11" fillId="0" borderId="5" xfId="0" applyNumberFormat="1" applyFont="1" applyBorder="1" applyAlignment="1">
      <alignment vertical="center" shrinkToFit="1"/>
    </xf>
    <xf numFmtId="179" fontId="11" fillId="0" borderId="5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1" fontId="11" fillId="0" borderId="54" xfId="0" applyNumberFormat="1" applyFont="1" applyBorder="1" applyAlignment="1">
      <alignment horizontal="center" vertical="center"/>
    </xf>
    <xf numFmtId="179" fontId="11" fillId="0" borderId="11" xfId="0" applyNumberFormat="1" applyFont="1" applyBorder="1" applyAlignment="1">
      <alignment vertical="center" shrinkToFit="1"/>
    </xf>
    <xf numFmtId="179" fontId="11" fillId="0" borderId="11" xfId="0" applyNumberFormat="1" applyFont="1" applyBorder="1" applyAlignment="1">
      <alignment horizontal="center" vertical="center"/>
    </xf>
    <xf numFmtId="49" fontId="24" fillId="3" borderId="57" xfId="0" applyNumberFormat="1" applyFont="1" applyFill="1" applyBorder="1">
      <alignment vertical="center"/>
    </xf>
    <xf numFmtId="49" fontId="23" fillId="0" borderId="20" xfId="0" quotePrefix="1" applyNumberFormat="1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179" fontId="23" fillId="0" borderId="20" xfId="0" applyNumberFormat="1" applyFont="1" applyBorder="1" applyAlignment="1">
      <alignment vertical="center" shrinkToFit="1"/>
    </xf>
    <xf numFmtId="0" fontId="23" fillId="0" borderId="20" xfId="0" applyFont="1" applyBorder="1" applyAlignment="1">
      <alignment horizontal="center" vertical="center" wrapText="1"/>
    </xf>
    <xf numFmtId="1" fontId="11" fillId="0" borderId="20" xfId="0" applyNumberFormat="1" applyFont="1" applyBorder="1" applyAlignment="1">
      <alignment horizontal="center" vertical="center"/>
    </xf>
    <xf numFmtId="178" fontId="23" fillId="0" borderId="20" xfId="0" applyNumberFormat="1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/>
    </xf>
    <xf numFmtId="0" fontId="48" fillId="0" borderId="4" xfId="0" applyFont="1" applyBorder="1">
      <alignment vertical="center"/>
    </xf>
    <xf numFmtId="0" fontId="11" fillId="0" borderId="29" xfId="0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right" vertical="center" shrinkToFit="1"/>
    </xf>
    <xf numFmtId="177" fontId="11" fillId="0" borderId="30" xfId="0" applyNumberFormat="1" applyFont="1" applyBorder="1" applyAlignment="1">
      <alignment horizontal="right" vertical="center"/>
    </xf>
    <xf numFmtId="3" fontId="11" fillId="0" borderId="20" xfId="0" applyNumberFormat="1" applyFont="1" applyBorder="1" applyAlignment="1">
      <alignment horizontal="right" vertical="center"/>
    </xf>
    <xf numFmtId="0" fontId="11" fillId="0" borderId="20" xfId="0" applyFont="1" applyBorder="1" applyAlignment="1">
      <alignment horizontal="right" vertical="center"/>
    </xf>
    <xf numFmtId="177" fontId="11" fillId="0" borderId="20" xfId="0" applyNumberFormat="1" applyFont="1" applyBorder="1" applyAlignment="1">
      <alignment horizontal="right" vertical="center" shrinkToFit="1"/>
    </xf>
    <xf numFmtId="177" fontId="11" fillId="3" borderId="58" xfId="0" applyNumberFormat="1" applyFont="1" applyFill="1" applyBorder="1" applyAlignment="1">
      <alignment horizontal="right" vertical="center"/>
    </xf>
    <xf numFmtId="177" fontId="11" fillId="3" borderId="30" xfId="0" applyNumberFormat="1" applyFont="1" applyFill="1" applyBorder="1" applyAlignment="1">
      <alignment horizontal="right" vertical="center"/>
    </xf>
    <xf numFmtId="177" fontId="11" fillId="0" borderId="76" xfId="0" applyNumberFormat="1" applyFont="1" applyBorder="1" applyAlignment="1">
      <alignment horizontal="right" vertical="center"/>
    </xf>
    <xf numFmtId="0" fontId="62" fillId="3" borderId="11" xfId="0" applyFont="1" applyFill="1" applyBorder="1" applyAlignment="1">
      <alignment horizontal="left" vertical="center"/>
    </xf>
    <xf numFmtId="0" fontId="62" fillId="3" borderId="6" xfId="0" applyFont="1" applyFill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left" vertical="center"/>
    </xf>
    <xf numFmtId="0" fontId="16" fillId="0" borderId="40" xfId="0" applyFont="1" applyBorder="1">
      <alignment vertical="center"/>
    </xf>
    <xf numFmtId="0" fontId="21" fillId="0" borderId="25" xfId="0" applyFont="1" applyBorder="1" applyAlignment="1">
      <alignment horizontal="center" vertical="center"/>
    </xf>
    <xf numFmtId="0" fontId="16" fillId="0" borderId="84" xfId="0" applyFont="1" applyBorder="1">
      <alignment vertical="center"/>
    </xf>
    <xf numFmtId="0" fontId="0" fillId="0" borderId="76" xfId="0" applyBorder="1">
      <alignment vertical="center"/>
    </xf>
    <xf numFmtId="0" fontId="0" fillId="0" borderId="78" xfId="0" applyBorder="1">
      <alignment vertical="center"/>
    </xf>
    <xf numFmtId="0" fontId="16" fillId="0" borderId="46" xfId="0" applyFont="1" applyBorder="1">
      <alignment vertical="center"/>
    </xf>
    <xf numFmtId="0" fontId="11" fillId="0" borderId="5" xfId="0" applyFont="1" applyBorder="1" applyAlignment="1">
      <alignment horizontal="center"/>
    </xf>
    <xf numFmtId="180" fontId="11" fillId="0" borderId="5" xfId="2" applyNumberFormat="1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/>
    </xf>
    <xf numFmtId="0" fontId="29" fillId="0" borderId="87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49" fontId="28" fillId="0" borderId="10" xfId="0" quotePrefix="1" applyNumberFormat="1" applyFont="1" applyBorder="1" applyAlignment="1">
      <alignment horizontal="left" vertical="center"/>
    </xf>
    <xf numFmtId="0" fontId="30" fillId="7" borderId="53" xfId="0" applyFont="1" applyFill="1" applyBorder="1" applyAlignment="1">
      <alignment horizontal="left" vertical="center"/>
    </xf>
    <xf numFmtId="49" fontId="23" fillId="7" borderId="54" xfId="0" applyNumberFormat="1" applyFont="1" applyFill="1" applyBorder="1" applyAlignment="1">
      <alignment horizontal="left" vertical="center"/>
    </xf>
    <xf numFmtId="49" fontId="11" fillId="7" borderId="54" xfId="0" applyNumberFormat="1" applyFont="1" applyFill="1" applyBorder="1" applyAlignment="1">
      <alignment horizontal="left" vertical="center"/>
    </xf>
    <xf numFmtId="49" fontId="31" fillId="7" borderId="54" xfId="0" quotePrefix="1" applyNumberFormat="1" applyFont="1" applyFill="1" applyBorder="1" applyAlignment="1">
      <alignment horizontal="left" vertical="center"/>
    </xf>
    <xf numFmtId="49" fontId="28" fillId="7" borderId="55" xfId="0" quotePrefix="1" applyNumberFormat="1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 wrapText="1"/>
    </xf>
    <xf numFmtId="179" fontId="23" fillId="0" borderId="8" xfId="0" applyNumberFormat="1" applyFont="1" applyBorder="1" applyAlignment="1">
      <alignment vertical="center" shrinkToFit="1"/>
    </xf>
    <xf numFmtId="179" fontId="23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179" fontId="23" fillId="0" borderId="10" xfId="0" applyNumberFormat="1" applyFont="1" applyBorder="1" applyAlignment="1">
      <alignment horizontal="center" vertical="center"/>
    </xf>
    <xf numFmtId="1" fontId="23" fillId="0" borderId="10" xfId="0" applyNumberFormat="1" applyFont="1" applyBorder="1" applyAlignment="1">
      <alignment horizontal="center" vertical="center"/>
    </xf>
    <xf numFmtId="177" fontId="23" fillId="0" borderId="10" xfId="0" applyNumberFormat="1" applyFont="1" applyBorder="1" applyAlignment="1">
      <alignment horizontal="right" vertical="center"/>
    </xf>
    <xf numFmtId="179" fontId="23" fillId="0" borderId="11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77" fontId="23" fillId="0" borderId="11" xfId="0" applyNumberFormat="1" applyFont="1" applyBorder="1" applyAlignment="1">
      <alignment horizontal="right" vertical="center"/>
    </xf>
    <xf numFmtId="179" fontId="23" fillId="0" borderId="5" xfId="0" applyNumberFormat="1" applyFont="1" applyBorder="1" applyAlignment="1">
      <alignment vertical="center" shrinkToFit="1"/>
    </xf>
    <xf numFmtId="179" fontId="23" fillId="0" borderId="10" xfId="0" quotePrefix="1" applyNumberFormat="1" applyFont="1" applyBorder="1" applyAlignment="1">
      <alignment vertical="center" shrinkToFit="1"/>
    </xf>
    <xf numFmtId="49" fontId="24" fillId="3" borderId="7" xfId="0" applyNumberFormat="1" applyFont="1" applyFill="1" applyBorder="1" applyAlignment="1">
      <alignment horizontal="center" vertical="center"/>
    </xf>
    <xf numFmtId="49" fontId="23" fillId="0" borderId="8" xfId="0" quotePrefix="1" applyNumberFormat="1" applyFont="1" applyBorder="1" applyAlignment="1">
      <alignment horizontal="left" vertical="center"/>
    </xf>
    <xf numFmtId="177" fontId="23" fillId="0" borderId="8" xfId="0" applyNumberFormat="1" applyFont="1" applyBorder="1" applyAlignment="1">
      <alignment horizontal="right" vertical="center"/>
    </xf>
    <xf numFmtId="0" fontId="48" fillId="0" borderId="10" xfId="0" applyFont="1" applyBorder="1">
      <alignment vertical="center"/>
    </xf>
    <xf numFmtId="0" fontId="48" fillId="0" borderId="11" xfId="0" applyFont="1" applyBorder="1">
      <alignment vertical="center"/>
    </xf>
    <xf numFmtId="0" fontId="30" fillId="8" borderId="5" xfId="0" applyFont="1" applyFill="1" applyBorder="1" applyAlignment="1">
      <alignment horizontal="left" vertical="center"/>
    </xf>
    <xf numFmtId="49" fontId="23" fillId="8" borderId="8" xfId="0" applyNumberFormat="1" applyFont="1" applyFill="1" applyBorder="1" applyAlignment="1">
      <alignment horizontal="left" vertical="center"/>
    </xf>
    <xf numFmtId="49" fontId="11" fillId="8" borderId="10" xfId="0" applyNumberFormat="1" applyFont="1" applyFill="1" applyBorder="1" applyAlignment="1">
      <alignment horizontal="left" vertical="center"/>
    </xf>
    <xf numFmtId="49" fontId="31" fillId="8" borderId="10" xfId="0" quotePrefix="1" applyNumberFormat="1" applyFont="1" applyFill="1" applyBorder="1" applyAlignment="1">
      <alignment horizontal="left" vertical="center"/>
    </xf>
    <xf numFmtId="49" fontId="28" fillId="8" borderId="11" xfId="0" quotePrefix="1" applyNumberFormat="1" applyFont="1" applyFill="1" applyBorder="1" applyAlignment="1">
      <alignment horizontal="left" vertical="center"/>
    </xf>
    <xf numFmtId="49" fontId="23" fillId="8" borderId="20" xfId="0" quotePrefix="1" applyNumberFormat="1" applyFont="1" applyFill="1" applyBorder="1" applyAlignment="1">
      <alignment horizontal="left" vertical="center"/>
    </xf>
    <xf numFmtId="49" fontId="23" fillId="8" borderId="10" xfId="0" quotePrefix="1" applyNumberFormat="1" applyFont="1" applyFill="1" applyBorder="1" applyAlignment="1">
      <alignment horizontal="left" vertical="center"/>
    </xf>
    <xf numFmtId="49" fontId="23" fillId="8" borderId="11" xfId="0" quotePrefix="1" applyNumberFormat="1" applyFont="1" applyFill="1" applyBorder="1" applyAlignment="1">
      <alignment horizontal="left" vertical="center"/>
    </xf>
    <xf numFmtId="49" fontId="23" fillId="8" borderId="8" xfId="0" quotePrefix="1" applyNumberFormat="1" applyFont="1" applyFill="1" applyBorder="1" applyAlignment="1">
      <alignment horizontal="left" vertical="center"/>
    </xf>
    <xf numFmtId="49" fontId="78" fillId="8" borderId="5" xfId="0" quotePrefix="1" applyNumberFormat="1" applyFont="1" applyFill="1" applyBorder="1" applyAlignment="1">
      <alignment horizontal="left" vertical="center" wrapText="1"/>
    </xf>
    <xf numFmtId="49" fontId="78" fillId="8" borderId="11" xfId="0" quotePrefix="1" applyNumberFormat="1" applyFont="1" applyFill="1" applyBorder="1" applyAlignment="1">
      <alignment horizontal="left" vertical="center" wrapText="1"/>
    </xf>
    <xf numFmtId="177" fontId="11" fillId="3" borderId="32" xfId="0" applyNumberFormat="1" applyFont="1" applyFill="1" applyBorder="1" applyAlignment="1">
      <alignment horizontal="right" vertical="center"/>
    </xf>
    <xf numFmtId="0" fontId="11" fillId="0" borderId="56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/>
    </xf>
    <xf numFmtId="3" fontId="11" fillId="0" borderId="5" xfId="0" applyNumberFormat="1" applyFont="1" applyBorder="1" applyAlignment="1">
      <alignment horizontal="right" vertical="center"/>
    </xf>
    <xf numFmtId="177" fontId="11" fillId="0" borderId="5" xfId="0" applyNumberFormat="1" applyFont="1" applyBorder="1" applyAlignment="1">
      <alignment horizontal="right" vertical="center" shrinkToFit="1"/>
    </xf>
    <xf numFmtId="177" fontId="11" fillId="3" borderId="25" xfId="0" applyNumberFormat="1" applyFont="1" applyFill="1" applyBorder="1" applyAlignment="1">
      <alignment horizontal="right" vertical="center"/>
    </xf>
    <xf numFmtId="0" fontId="11" fillId="0" borderId="31" xfId="0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/>
    </xf>
    <xf numFmtId="3" fontId="11" fillId="0" borderId="12" xfId="0" applyNumberFormat="1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177" fontId="11" fillId="0" borderId="12" xfId="0" applyNumberFormat="1" applyFont="1" applyBorder="1" applyAlignment="1">
      <alignment horizontal="right" vertical="center" shrinkToFit="1"/>
    </xf>
    <xf numFmtId="177" fontId="11" fillId="3" borderId="78" xfId="0" applyNumberFormat="1" applyFont="1" applyFill="1" applyBorder="1" applyAlignment="1">
      <alignment horizontal="right" vertical="center"/>
    </xf>
    <xf numFmtId="0" fontId="67" fillId="5" borderId="57" xfId="0" applyFont="1" applyFill="1" applyBorder="1" applyAlignment="1">
      <alignment horizontal="center" vertical="center"/>
    </xf>
    <xf numFmtId="49" fontId="67" fillId="5" borderId="20" xfId="0" applyNumberFormat="1" applyFont="1" applyFill="1" applyBorder="1" applyAlignment="1">
      <alignment horizontal="center" vertical="center"/>
    </xf>
    <xf numFmtId="0" fontId="11" fillId="5" borderId="57" xfId="0" applyFont="1" applyFill="1" applyBorder="1" applyAlignment="1">
      <alignment horizontal="center" vertical="center"/>
    </xf>
    <xf numFmtId="49" fontId="11" fillId="5" borderId="20" xfId="0" applyNumberFormat="1" applyFont="1" applyFill="1" applyBorder="1" applyAlignment="1">
      <alignment horizontal="center" vertical="center"/>
    </xf>
    <xf numFmtId="49" fontId="70" fillId="0" borderId="12" xfId="0" applyNumberFormat="1" applyFont="1" applyBorder="1">
      <alignment vertical="center"/>
    </xf>
    <xf numFmtId="49" fontId="79" fillId="0" borderId="4" xfId="0" applyNumberFormat="1" applyFont="1" applyBorder="1" applyAlignment="1">
      <alignment horizontal="center" vertical="center"/>
    </xf>
    <xf numFmtId="0" fontId="0" fillId="0" borderId="36" xfId="0" applyBorder="1">
      <alignment vertical="center"/>
    </xf>
    <xf numFmtId="0" fontId="24" fillId="3" borderId="12" xfId="0" applyFont="1" applyFill="1" applyBorder="1" applyAlignment="1">
      <alignment horizontal="left" vertical="center"/>
    </xf>
    <xf numFmtId="0" fontId="0" fillId="0" borderId="32" xfId="0" applyBorder="1">
      <alignment vertical="center"/>
    </xf>
    <xf numFmtId="0" fontId="23" fillId="5" borderId="5" xfId="0" applyFont="1" applyFill="1" applyBorder="1" applyAlignment="1">
      <alignment horizontal="left" vertical="center"/>
    </xf>
    <xf numFmtId="0" fontId="80" fillId="0" borderId="2" xfId="0" applyFont="1" applyBorder="1" applyAlignment="1">
      <alignment horizontal="center" vertical="center"/>
    </xf>
    <xf numFmtId="0" fontId="80" fillId="0" borderId="9" xfId="0" applyFont="1" applyBorder="1" applyAlignment="1">
      <alignment horizontal="center" vertical="center"/>
    </xf>
    <xf numFmtId="0" fontId="11" fillId="0" borderId="75" xfId="0" applyFont="1" applyBorder="1" applyAlignment="1">
      <alignment horizontal="left" vertical="center"/>
    </xf>
    <xf numFmtId="0" fontId="11" fillId="0" borderId="77" xfId="0" applyFont="1" applyBorder="1" applyAlignment="1">
      <alignment horizontal="left" vertical="center"/>
    </xf>
    <xf numFmtId="0" fontId="11" fillId="0" borderId="29" xfId="0" applyFont="1" applyBorder="1" applyAlignment="1">
      <alignment horizontal="left" vertical="center"/>
    </xf>
    <xf numFmtId="0" fontId="11" fillId="5" borderId="57" xfId="0" applyFont="1" applyFill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60" xfId="0" applyFont="1" applyBorder="1" applyAlignment="1">
      <alignment horizontal="left" vertical="center"/>
    </xf>
    <xf numFmtId="0" fontId="11" fillId="0" borderId="63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6" fontId="11" fillId="0" borderId="5" xfId="12" applyFont="1" applyFill="1" applyBorder="1" applyAlignment="1">
      <alignment horizontal="right" vertical="center"/>
    </xf>
    <xf numFmtId="6" fontId="11" fillId="0" borderId="8" xfId="12" applyFont="1" applyFill="1" applyBorder="1" applyAlignment="1">
      <alignment horizontal="right" vertical="center"/>
    </xf>
    <xf numFmtId="177" fontId="11" fillId="0" borderId="1" xfId="0" applyNumberFormat="1" applyFont="1" applyBorder="1">
      <alignment vertical="center"/>
    </xf>
    <xf numFmtId="0" fontId="11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left" vertical="center"/>
    </xf>
    <xf numFmtId="0" fontId="11" fillId="0" borderId="41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181" fontId="23" fillId="0" borderId="47" xfId="2" applyNumberFormat="1" applyFont="1" applyFill="1" applyBorder="1" applyAlignment="1">
      <alignment horizontal="center" vertical="center"/>
    </xf>
    <xf numFmtId="49" fontId="24" fillId="5" borderId="28" xfId="0" applyNumberFormat="1" applyFont="1" applyFill="1" applyBorder="1" applyAlignment="1">
      <alignment horizontal="center" vertical="center"/>
    </xf>
    <xf numFmtId="49" fontId="24" fillId="5" borderId="29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49" fontId="24" fillId="8" borderId="28" xfId="0" applyNumberFormat="1" applyFont="1" applyFill="1" applyBorder="1" applyAlignment="1">
      <alignment horizontal="center" vertical="center"/>
    </xf>
    <xf numFmtId="49" fontId="24" fillId="8" borderId="29" xfId="0" applyNumberFormat="1" applyFont="1" applyFill="1" applyBorder="1" applyAlignment="1">
      <alignment horizontal="center" vertical="center"/>
    </xf>
    <xf numFmtId="49" fontId="24" fillId="8" borderId="31" xfId="0" applyNumberFormat="1" applyFont="1" applyFill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49" fontId="32" fillId="0" borderId="24" xfId="0" applyNumberFormat="1" applyFont="1" applyBorder="1" applyAlignment="1">
      <alignment horizontal="left" vertical="center"/>
    </xf>
    <xf numFmtId="49" fontId="32" fillId="0" borderId="4" xfId="0" applyNumberFormat="1" applyFont="1" applyBorder="1" applyAlignment="1">
      <alignment horizontal="left" vertical="center"/>
    </xf>
    <xf numFmtId="49" fontId="32" fillId="0" borderId="12" xfId="0" applyNumberFormat="1" applyFont="1" applyBorder="1" applyAlignment="1">
      <alignment horizontal="left" vertical="center"/>
    </xf>
    <xf numFmtId="49" fontId="24" fillId="7" borderId="28" xfId="0" applyNumberFormat="1" applyFont="1" applyFill="1" applyBorder="1" applyAlignment="1">
      <alignment horizontal="center" vertical="center"/>
    </xf>
    <xf numFmtId="49" fontId="24" fillId="7" borderId="29" xfId="0" applyNumberFormat="1" applyFont="1" applyFill="1" applyBorder="1" applyAlignment="1">
      <alignment horizontal="center" vertical="center"/>
    </xf>
    <xf numFmtId="49" fontId="24" fillId="7" borderId="31" xfId="0" applyNumberFormat="1" applyFont="1" applyFill="1" applyBorder="1" applyAlignment="1">
      <alignment horizontal="center" vertical="center"/>
    </xf>
    <xf numFmtId="49" fontId="24" fillId="3" borderId="28" xfId="0" applyNumberFormat="1" applyFont="1" applyFill="1" applyBorder="1" applyAlignment="1">
      <alignment horizontal="center" vertical="center"/>
    </xf>
    <xf numFmtId="49" fontId="24" fillId="3" borderId="29" xfId="0" applyNumberFormat="1" applyFont="1" applyFill="1" applyBorder="1" applyAlignment="1">
      <alignment horizontal="center" vertical="center"/>
    </xf>
    <xf numFmtId="49" fontId="24" fillId="3" borderId="31" xfId="0" applyNumberFormat="1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9" fontId="48" fillId="0" borderId="0" xfId="0" applyNumberFormat="1" applyFont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49" fontId="66" fillId="0" borderId="73" xfId="0" applyNumberFormat="1" applyFont="1" applyBorder="1" applyAlignment="1">
      <alignment horizontal="center" vertical="center"/>
    </xf>
    <xf numFmtId="49" fontId="66" fillId="0" borderId="74" xfId="0" applyNumberFormat="1" applyFont="1" applyBorder="1" applyAlignment="1">
      <alignment horizontal="center" vertical="center"/>
    </xf>
    <xf numFmtId="49" fontId="66" fillId="0" borderId="79" xfId="0" applyNumberFormat="1" applyFont="1" applyBorder="1" applyAlignment="1">
      <alignment horizontal="center" vertical="center"/>
    </xf>
    <xf numFmtId="49" fontId="64" fillId="0" borderId="28" xfId="0" applyNumberFormat="1" applyFont="1" applyBorder="1" applyAlignment="1">
      <alignment horizontal="center" vertical="center"/>
    </xf>
    <xf numFmtId="49" fontId="64" fillId="0" borderId="29" xfId="0" applyNumberFormat="1" applyFont="1" applyBorder="1" applyAlignment="1">
      <alignment horizontal="center" vertical="center"/>
    </xf>
    <xf numFmtId="49" fontId="64" fillId="0" borderId="31" xfId="0" applyNumberFormat="1" applyFont="1" applyBorder="1" applyAlignment="1">
      <alignment horizontal="center" vertical="center"/>
    </xf>
    <xf numFmtId="49" fontId="58" fillId="0" borderId="25" xfId="0" applyNumberFormat="1" applyFont="1" applyBorder="1" applyAlignment="1">
      <alignment horizontal="center" vertical="center"/>
    </xf>
  </cellXfs>
  <cellStyles count="14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</xdr:colOff>
      <xdr:row>36</xdr:row>
      <xdr:rowOff>112395</xdr:rowOff>
    </xdr:from>
    <xdr:to>
      <xdr:col>12</xdr:col>
      <xdr:colOff>645795</xdr:colOff>
      <xdr:row>44</xdr:row>
      <xdr:rowOff>150495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754120" y="6652895"/>
          <a:ext cx="3190875" cy="142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873125</xdr:colOff>
      <xdr:row>3</xdr:row>
      <xdr:rowOff>158750</xdr:rowOff>
    </xdr:from>
    <xdr:to>
      <xdr:col>6</xdr:col>
      <xdr:colOff>2428875</xdr:colOff>
      <xdr:row>3</xdr:row>
      <xdr:rowOff>2352102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A9C3E42-872F-85C7-C19C-A48F5816A7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891" t="24056" r="58394" b="25046"/>
        <a:stretch/>
      </xdr:blipFill>
      <xdr:spPr>
        <a:xfrm>
          <a:off x="19256375" y="4143375"/>
          <a:ext cx="1555750" cy="2193352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857250</xdr:colOff>
      <xdr:row>2</xdr:row>
      <xdr:rowOff>95251</xdr:rowOff>
    </xdr:from>
    <xdr:to>
      <xdr:col>6</xdr:col>
      <xdr:colOff>2555875</xdr:colOff>
      <xdr:row>2</xdr:row>
      <xdr:rowOff>2393105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33F92BC-B40D-1CAA-F71B-019545F85B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550" t="27292" r="59421" b="29082"/>
        <a:stretch/>
      </xdr:blipFill>
      <xdr:spPr>
        <a:xfrm>
          <a:off x="19240500" y="1603376"/>
          <a:ext cx="1698625" cy="2297854"/>
        </a:xfrm>
        <a:prstGeom prst="rect">
          <a:avLst/>
        </a:prstGeom>
      </xdr:spPr>
    </xdr:pic>
    <xdr:clientData/>
  </xdr:twoCellAnchor>
  <xdr:twoCellAnchor editAs="oneCell">
    <xdr:from>
      <xdr:col>6</xdr:col>
      <xdr:colOff>714375</xdr:colOff>
      <xdr:row>4</xdr:row>
      <xdr:rowOff>222250</xdr:rowOff>
    </xdr:from>
    <xdr:to>
      <xdr:col>6</xdr:col>
      <xdr:colOff>2787195</xdr:colOff>
      <xdr:row>4</xdr:row>
      <xdr:rowOff>2349938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B9BE9DA-7B1C-4A7D-5C1B-5B74E2374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97625" y="6683375"/>
          <a:ext cx="2072820" cy="21276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500522-VT-DD-01%20.xlsx" TargetMode="External"/><Relationship Id="rId1" Type="http://schemas.openxmlformats.org/officeDocument/2006/relationships/externalLinkPath" Target="SY-5500522-VT-DD-0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NARITA (2)"/>
      <sheetName val="サンプル製品カタログ"/>
      <sheetName val="LABEL"/>
    </sheetNames>
    <sheetDataSet>
      <sheetData sheetId="0" refreshError="1"/>
      <sheetData sheetId="1" refreshError="1"/>
      <sheetData sheetId="2" refreshError="1"/>
      <sheetData sheetId="3">
        <row r="6">
          <cell r="D6" t="str">
            <v>FABRIC &amp; PARTS FOR WEAR &amp; SAMPLE CLOTHES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topLeftCell="A34" workbookViewId="0">
      <selection activeCell="C77" sqref="C77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144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327</v>
      </c>
    </row>
    <row r="26" spans="1:3">
      <c r="A26" s="7">
        <f t="shared" si="0"/>
        <v>26</v>
      </c>
      <c r="B26" s="9" t="s">
        <v>21</v>
      </c>
      <c r="C26" s="26" t="s">
        <v>326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SY-6500508-VT-DD-01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339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invoice!M30</f>
        <v>1097192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SY-6500508-VT-DD-01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144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8" t="s">
        <v>50</v>
      </c>
      <c r="C55" s="26" t="s">
        <v>340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344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5" t="s">
        <v>327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3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101" customFormat="1" ht="32.25" customHeight="1">
      <c r="H1" s="102"/>
    </row>
    <row r="2" spans="1:15" s="101" customFormat="1" ht="32.5">
      <c r="A2" s="101" t="str">
        <f>'shipper master'!C26</f>
        <v xml:space="preserve"> SY-6500508-VT-DD-01</v>
      </c>
      <c r="H2" s="102"/>
      <c r="I2" s="101" t="str">
        <f>'shipper master'!C26</f>
        <v xml:space="preserve"> SY-6500508-VT-DD-01</v>
      </c>
    </row>
    <row r="3" spans="1:15" s="101" customFormat="1" ht="32.5">
      <c r="A3" s="101" t="str">
        <f>'[1]shipper master'!C50</f>
        <v xml:space="preserve">VIVAN GARMENTS VIET NAM </v>
      </c>
      <c r="H3" s="102"/>
      <c r="I3" s="101" t="str">
        <f>'[1]shipper master'!C50</f>
        <v xml:space="preserve">VIVAN GARMENTS VIET NAM </v>
      </c>
    </row>
    <row r="4" spans="1:15" s="101" customFormat="1" ht="32.5">
      <c r="A4" s="101" t="str">
        <f>'[1]shipper master'!C51</f>
        <v xml:space="preserve"> COMPANY LIMITED</v>
      </c>
      <c r="H4" s="102"/>
      <c r="I4" s="101" t="str">
        <f>'[1]shipper master'!C51</f>
        <v xml:space="preserve"> COMPANY LIMITED</v>
      </c>
    </row>
    <row r="5" spans="1:15" s="101" customFormat="1" ht="32.5">
      <c r="A5" s="101" t="str">
        <f>'[1]shipper master'!C52</f>
        <v xml:space="preserve"> HOCHIMINH-CITY, VIETNAM</v>
      </c>
      <c r="H5" s="102"/>
      <c r="I5" s="101" t="str">
        <f>'[1]shipper master'!C52</f>
        <v xml:space="preserve"> HOCHIMINH-CITY, VIETNAM</v>
      </c>
    </row>
    <row r="6" spans="1:15" s="101" customFormat="1" ht="32.5">
      <c r="A6" s="101" t="s">
        <v>109</v>
      </c>
      <c r="C6" s="101">
        <v>1</v>
      </c>
      <c r="D6" s="103"/>
      <c r="H6" s="102"/>
      <c r="I6" s="101" t="s">
        <v>109</v>
      </c>
      <c r="K6" s="101">
        <v>2</v>
      </c>
    </row>
    <row r="7" spans="1:15" s="101" customFormat="1" ht="32.25" customHeight="1">
      <c r="A7" s="101" t="str">
        <f>'[1]shipper master'!C54</f>
        <v xml:space="preserve"> MADE IN JAPAN</v>
      </c>
      <c r="H7" s="102"/>
      <c r="I7" s="101" t="str">
        <f>'[1]shipper master'!C54</f>
        <v xml:space="preserve"> MADE IN JAPAN</v>
      </c>
    </row>
    <row r="8" spans="1:15" s="101" customFormat="1" ht="19.5" customHeight="1">
      <c r="H8" s="102"/>
    </row>
    <row r="9" spans="1:15" s="101" customFormat="1" ht="19.5" customHeight="1">
      <c r="H9" s="102"/>
    </row>
    <row r="10" spans="1:15" s="101" customFormat="1" ht="19.5" customHeight="1">
      <c r="A10" s="104"/>
      <c r="B10" s="104"/>
      <c r="C10" s="104"/>
      <c r="D10" s="104"/>
      <c r="E10" s="104"/>
      <c r="F10" s="104"/>
      <c r="G10" s="104"/>
      <c r="H10" s="105"/>
      <c r="I10" s="104"/>
      <c r="J10" s="104"/>
      <c r="K10" s="104"/>
      <c r="L10" s="104"/>
      <c r="M10" s="104"/>
      <c r="N10" s="104"/>
      <c r="O10" s="104"/>
    </row>
    <row r="11" spans="1:15" s="101" customFormat="1" ht="19.5" customHeight="1">
      <c r="H11" s="102"/>
    </row>
    <row r="12" spans="1:15" s="101" customFormat="1" ht="19.5" customHeight="1">
      <c r="H12" s="102"/>
    </row>
    <row r="13" spans="1:15" s="101" customFormat="1" ht="32.5">
      <c r="A13" s="101" t="str">
        <f>'shipper master'!C26</f>
        <v xml:space="preserve"> SY-6500508-VT-DD-01</v>
      </c>
      <c r="H13" s="102"/>
      <c r="I13" s="101" t="str">
        <f>'shipper master'!C26</f>
        <v xml:space="preserve"> SY-6500508-VT-DD-01</v>
      </c>
    </row>
    <row r="14" spans="1:15" s="101" customFormat="1" ht="32.5">
      <c r="A14" s="101" t="str">
        <f>'[1]shipper master'!C50</f>
        <v xml:space="preserve">VIVAN GARMENTS VIET NAM </v>
      </c>
      <c r="H14" s="102"/>
      <c r="I14" s="101" t="str">
        <f>'[1]shipper master'!C50</f>
        <v xml:space="preserve">VIVAN GARMENTS VIET NAM </v>
      </c>
    </row>
    <row r="15" spans="1:15" s="101" customFormat="1" ht="32.5">
      <c r="A15" s="101" t="str">
        <f>'[1]shipper master'!C51</f>
        <v xml:space="preserve"> COMPANY LIMITED</v>
      </c>
      <c r="H15" s="102"/>
      <c r="I15" s="101" t="str">
        <f>'[1]shipper master'!C51</f>
        <v xml:space="preserve"> COMPANY LIMITED</v>
      </c>
    </row>
    <row r="16" spans="1:15" s="101" customFormat="1" ht="32.5">
      <c r="A16" s="101" t="str">
        <f>'[1]shipper master'!C52</f>
        <v xml:space="preserve"> HOCHIMINH-CITY, VIETNAM</v>
      </c>
      <c r="H16" s="102"/>
      <c r="I16" s="101" t="str">
        <f>'[1]shipper master'!C52</f>
        <v xml:space="preserve"> HOCHIMINH-CITY, VIETNAM</v>
      </c>
    </row>
    <row r="17" spans="1:11" s="101" customFormat="1" ht="32.5">
      <c r="A17" s="101" t="s">
        <v>109</v>
      </c>
      <c r="C17" s="101">
        <v>3</v>
      </c>
      <c r="H17" s="102"/>
      <c r="I17" s="101" t="s">
        <v>109</v>
      </c>
      <c r="K17" s="101">
        <v>4</v>
      </c>
    </row>
    <row r="18" spans="1:11" s="101" customFormat="1" ht="32.5">
      <c r="A18" s="101" t="str">
        <f>'[1]shipper master'!C54</f>
        <v xml:space="preserve"> MADE IN JAPAN</v>
      </c>
      <c r="H18" s="102"/>
      <c r="I18" s="101" t="str">
        <f>'[1]shipper master'!C54</f>
        <v xml:space="preserve"> MADE IN JAPAN</v>
      </c>
    </row>
    <row r="19" spans="1:11" s="106" customFormat="1" ht="34">
      <c r="A19" s="101"/>
    </row>
    <row r="20" spans="1:11" s="106" customFormat="1" ht="34"/>
    <row r="21" spans="1:11" s="106" customFormat="1" ht="34"/>
    <row r="22" spans="1:11" s="106" customFormat="1" ht="34"/>
    <row r="23" spans="1:11" s="106" customFormat="1" ht="34"/>
    <row r="24" spans="1:11" s="106" customFormat="1" ht="34"/>
    <row r="25" spans="1:11" s="106" customFormat="1" ht="34"/>
    <row r="26" spans="1:11" s="101" customFormat="1" ht="32.5"/>
    <row r="27" spans="1:11" s="101" customFormat="1" ht="32.5"/>
    <row r="28" spans="1:11" s="101" customFormat="1" ht="32.5"/>
    <row r="29" spans="1:11" s="101" customFormat="1" ht="32.5"/>
    <row r="30" spans="1:11" s="101" customFormat="1" ht="32.5"/>
    <row r="31" spans="1:11" s="101" customFormat="1" ht="32.5"/>
    <row r="32" spans="1:11" s="101" customFormat="1" ht="32.5"/>
    <row r="33" s="101" customFormat="1" ht="32.5"/>
    <row r="34" s="101" customFormat="1" ht="32.5"/>
  </sheetData>
  <phoneticPr fontId="13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M91"/>
  <sheetViews>
    <sheetView showZeros="0" view="pageBreakPreview" topLeftCell="A7" zoomScale="110" zoomScaleNormal="115" zoomScaleSheetLayoutView="110" workbookViewId="0">
      <selection activeCell="P33" sqref="P33"/>
    </sheetView>
  </sheetViews>
  <sheetFormatPr defaultColWidth="9" defaultRowHeight="16"/>
  <cols>
    <col min="1" max="1" width="8.6328125" style="110" customWidth="1"/>
    <col min="2" max="2" width="11.6328125" style="110" customWidth="1"/>
    <col min="3" max="3" width="4.81640625" style="110" customWidth="1"/>
    <col min="4" max="4" width="23.36328125" style="110" customWidth="1"/>
    <col min="5" max="5" width="6.08984375" style="110" customWidth="1"/>
    <col min="6" max="7" width="3.08984375" style="110" customWidth="1"/>
    <col min="8" max="8" width="2.90625" style="110" customWidth="1"/>
    <col min="9" max="9" width="3.08984375" style="110" hidden="1" customWidth="1"/>
    <col min="10" max="10" width="8.453125" style="110" customWidth="1"/>
    <col min="11" max="11" width="9.90625" style="110" customWidth="1"/>
    <col min="12" max="12" width="13" style="110" customWidth="1"/>
    <col min="13" max="13" width="13.90625" style="110" customWidth="1"/>
    <col min="14" max="16384" width="9" style="110"/>
  </cols>
  <sheetData>
    <row r="1" spans="1:13" s="107" customFormat="1" ht="32.25" customHeight="1">
      <c r="A1" s="549" t="s">
        <v>110</v>
      </c>
      <c r="B1" s="549"/>
      <c r="C1" s="549"/>
      <c r="D1" s="549"/>
      <c r="E1" s="549"/>
      <c r="F1" s="549"/>
      <c r="G1" s="549"/>
      <c r="H1" s="549"/>
      <c r="I1" s="549"/>
      <c r="J1" s="549"/>
      <c r="K1" s="549"/>
      <c r="L1" s="549"/>
      <c r="M1" s="549"/>
    </row>
    <row r="2" spans="1:13" ht="23.25" customHeight="1">
      <c r="A2" s="108" t="str">
        <f>'[2]shipper master'!C2</f>
        <v xml:space="preserve"> SHUNYA CO., LTD.</v>
      </c>
      <c r="B2" s="109"/>
      <c r="C2" s="109"/>
      <c r="D2" s="109"/>
      <c r="E2" s="109"/>
      <c r="L2" s="111"/>
    </row>
    <row r="3" spans="1:13" ht="15.75" customHeight="1">
      <c r="A3" s="3" t="str">
        <f>'[2]shipper master'!C3</f>
        <v xml:space="preserve"> KENSHIN BLDG., 1F, 1-22-10 DOUGENZAKA,</v>
      </c>
      <c r="B3" s="109"/>
      <c r="C3" s="109"/>
      <c r="D3" s="109"/>
      <c r="E3" s="109"/>
      <c r="L3" s="111"/>
    </row>
    <row r="4" spans="1:13" ht="18" customHeight="1">
      <c r="A4" s="3" t="str">
        <f>'[2]shipper master'!C4</f>
        <v xml:space="preserve"> SHIBUYA-KU 150-0043</v>
      </c>
      <c r="B4" s="109"/>
      <c r="C4" s="109"/>
      <c r="D4" s="109"/>
      <c r="E4" s="109"/>
      <c r="F4" s="112"/>
      <c r="G4" s="112"/>
      <c r="H4" s="112"/>
      <c r="I4" s="112"/>
      <c r="J4" s="112"/>
      <c r="L4" s="3">
        <f>'[2]shipper master'!C6</f>
        <v>0</v>
      </c>
    </row>
    <row r="5" spans="1:13" ht="16.5" thickBot="1">
      <c r="A5" s="113" t="str">
        <f>'[2]shipper master'!C5</f>
        <v xml:space="preserve"> TEL : +81(0)3-5459-1177</v>
      </c>
      <c r="B5" s="109"/>
      <c r="C5" s="109"/>
      <c r="D5" s="109"/>
      <c r="L5" s="3">
        <f>'[2]shipper master'!C7</f>
        <v>0</v>
      </c>
      <c r="M5" s="114"/>
    </row>
    <row r="6" spans="1:13" ht="13.4" customHeight="1">
      <c r="A6" s="115" t="s">
        <v>111</v>
      </c>
      <c r="B6" s="116"/>
      <c r="C6" s="116"/>
      <c r="D6" s="116"/>
      <c r="E6" s="116"/>
      <c r="F6" s="117" t="s">
        <v>112</v>
      </c>
      <c r="G6" s="118"/>
      <c r="H6" s="118"/>
      <c r="I6" s="118"/>
      <c r="J6" s="116"/>
      <c r="K6" s="218"/>
      <c r="L6" s="117" t="s">
        <v>113</v>
      </c>
      <c r="M6" s="111"/>
    </row>
    <row r="7" spans="1:13" ht="13.4" customHeight="1">
      <c r="A7" s="3" t="str">
        <f>'[2]shipper master'!C9</f>
        <v>VIVAN GARMENTS VIET NAM COMPANY LIMITED</v>
      </c>
      <c r="B7" s="111"/>
      <c r="C7" s="111"/>
      <c r="D7" s="111"/>
      <c r="E7" s="111"/>
      <c r="F7" s="119" t="str">
        <f>'shipper master'!C26</f>
        <v xml:space="preserve"> SY-6500508-VT-DD-01</v>
      </c>
      <c r="G7" s="120"/>
      <c r="H7" s="120"/>
      <c r="I7" s="120"/>
      <c r="J7" s="120"/>
      <c r="K7" s="219"/>
      <c r="L7" s="121"/>
      <c r="M7" s="111"/>
    </row>
    <row r="8" spans="1:13" ht="13.4" customHeight="1">
      <c r="A8" s="3" t="str">
        <f>'[2]shipper master'!C10</f>
        <v>D17 Street , Sai Gon South Residential Area</v>
      </c>
      <c r="B8" s="111"/>
      <c r="C8" s="111"/>
      <c r="D8" s="111"/>
      <c r="E8" s="111"/>
      <c r="F8" s="122" t="s">
        <v>114</v>
      </c>
      <c r="G8" s="115"/>
      <c r="H8" s="115"/>
      <c r="I8" s="115"/>
      <c r="J8" s="111"/>
      <c r="K8" s="220"/>
      <c r="L8" s="123" t="str">
        <f>'shipper master'!C26</f>
        <v xml:space="preserve"> SY-6500508-VT-DD-01</v>
      </c>
      <c r="M8" s="111"/>
    </row>
    <row r="9" spans="1:13" ht="13.4" customHeight="1">
      <c r="A9" s="3" t="str">
        <f>'[2]shipper master'!C11</f>
        <v>Hamlet 3 , Long Hau Commune , Can Giuoc District,</v>
      </c>
      <c r="B9" s="111"/>
      <c r="C9" s="111"/>
      <c r="D9" s="111"/>
      <c r="E9" s="111"/>
      <c r="F9" s="221" t="str">
        <f>'shipper master'!C25</f>
        <v>May, 08 2025</v>
      </c>
      <c r="G9" s="124"/>
      <c r="H9" s="124"/>
      <c r="I9" s="124"/>
      <c r="J9" s="124"/>
      <c r="K9" s="125"/>
      <c r="L9" s="123" t="str">
        <f>'[1]shipper master'!C50</f>
        <v xml:space="preserve">VIVAN GARMENTS VIET NAM </v>
      </c>
      <c r="M9" s="111"/>
    </row>
    <row r="10" spans="1:13" ht="13.4" customHeight="1">
      <c r="A10" s="3" t="str">
        <f>'[2]shipper master'!C12</f>
        <v xml:space="preserve"> Long An Province , VietNam</v>
      </c>
      <c r="B10" s="111"/>
      <c r="C10" s="111"/>
      <c r="D10" s="111"/>
      <c r="E10" s="111"/>
      <c r="F10" s="122" t="s">
        <v>115</v>
      </c>
      <c r="G10" s="115"/>
      <c r="H10" s="115"/>
      <c r="I10" s="115"/>
      <c r="J10" s="111"/>
      <c r="K10" s="220"/>
      <c r="L10" s="123" t="str">
        <f>'[1]shipper master'!C51</f>
        <v xml:space="preserve"> COMPANY LIMITED</v>
      </c>
      <c r="M10" s="111"/>
    </row>
    <row r="11" spans="1:13" ht="13.4" customHeight="1">
      <c r="A11" s="120" t="str">
        <f>'[2]shipper master'!C13</f>
        <v xml:space="preserve"> TEL : ( 084 ) 097 22 00 798  ATTN : MR. TUAN</v>
      </c>
      <c r="B11" s="111"/>
      <c r="C11" s="111"/>
      <c r="D11" s="111"/>
      <c r="E11" s="130"/>
      <c r="F11" s="550" t="str">
        <f>'shipper master'!C26</f>
        <v xml:space="preserve"> SY-6500508-VT-DD-01</v>
      </c>
      <c r="G11" s="551"/>
      <c r="H11" s="551"/>
      <c r="I11" s="551"/>
      <c r="J11" s="551"/>
      <c r="K11" s="552"/>
      <c r="L11" s="123" t="str">
        <f>'[1]shipper master'!C52</f>
        <v xml:space="preserve"> HOCHIMINH-CITY, VIETNAM</v>
      </c>
      <c r="M11" s="111"/>
    </row>
    <row r="12" spans="1:13" ht="13.4" customHeight="1">
      <c r="A12" s="115" t="s">
        <v>116</v>
      </c>
      <c r="B12" s="126"/>
      <c r="C12" s="126"/>
      <c r="D12" s="126"/>
      <c r="E12" s="111"/>
      <c r="F12" s="122" t="s">
        <v>117</v>
      </c>
      <c r="G12" s="115"/>
      <c r="H12" s="115"/>
      <c r="I12" s="115"/>
      <c r="J12" s="111"/>
      <c r="K12" s="111"/>
      <c r="L12" s="127" t="s">
        <v>170</v>
      </c>
      <c r="M12" s="111"/>
    </row>
    <row r="13" spans="1:13" ht="13.4" customHeight="1">
      <c r="A13" s="3" t="str">
        <f>'[2]shipper master'!C15</f>
        <v xml:space="preserve"> - SAME AS BUYER -</v>
      </c>
      <c r="B13" s="111"/>
      <c r="C13" s="111"/>
      <c r="D13" s="111"/>
      <c r="E13" s="111"/>
      <c r="F13" s="550">
        <f>'[2]shipper master'!C30</f>
        <v>0</v>
      </c>
      <c r="G13" s="551"/>
      <c r="H13" s="551"/>
      <c r="I13" s="551"/>
      <c r="J13" s="551"/>
      <c r="K13" s="552"/>
      <c r="L13" s="123" t="s">
        <v>118</v>
      </c>
      <c r="M13" s="111"/>
    </row>
    <row r="14" spans="1:13" ht="13.4" customHeight="1">
      <c r="A14" s="3">
        <f>'[2]shipper master'!C16</f>
        <v>0</v>
      </c>
      <c r="B14" s="111"/>
      <c r="C14" s="111"/>
      <c r="D14" s="111"/>
      <c r="E14" s="111"/>
      <c r="F14" s="128" t="s">
        <v>24</v>
      </c>
      <c r="G14" s="3"/>
      <c r="H14" s="3"/>
      <c r="I14" s="3"/>
      <c r="J14" s="3"/>
      <c r="K14" s="129"/>
      <c r="L14" s="123"/>
      <c r="M14" s="111"/>
    </row>
    <row r="15" spans="1:13" ht="13.4" customHeight="1">
      <c r="A15" s="3">
        <f>'[2]shipper master'!C17</f>
        <v>0</v>
      </c>
      <c r="B15" s="111"/>
      <c r="C15" s="111"/>
      <c r="D15" s="111"/>
      <c r="E15" s="111"/>
      <c r="F15" s="550">
        <f>'[2]shipper master'!C29</f>
        <v>0</v>
      </c>
      <c r="G15" s="551"/>
      <c r="H15" s="551"/>
      <c r="I15" s="551"/>
      <c r="J15" s="551"/>
      <c r="K15" s="552"/>
      <c r="L15" s="121"/>
      <c r="M15" s="111"/>
    </row>
    <row r="16" spans="1:13" ht="13.4" customHeight="1">
      <c r="A16" s="3">
        <f>'[2]shipper master'!C18</f>
        <v>0</v>
      </c>
      <c r="B16" s="111"/>
      <c r="C16" s="111"/>
      <c r="D16" s="111"/>
      <c r="E16" s="111"/>
      <c r="F16" s="122" t="s">
        <v>119</v>
      </c>
      <c r="G16" s="115"/>
      <c r="H16" s="115"/>
      <c r="I16" s="115"/>
      <c r="J16" s="111"/>
      <c r="K16" s="111"/>
      <c r="L16" s="121"/>
      <c r="M16" s="111"/>
    </row>
    <row r="17" spans="1:13" ht="13.4" customHeight="1">
      <c r="A17" s="120">
        <f>'[2]shipper master'!C19</f>
        <v>0</v>
      </c>
      <c r="B17" s="130"/>
      <c r="C17" s="130"/>
      <c r="D17" s="130"/>
      <c r="E17" s="130"/>
      <c r="F17" s="553"/>
      <c r="G17" s="554"/>
      <c r="H17" s="554"/>
      <c r="I17" s="554"/>
      <c r="J17" s="554"/>
      <c r="K17" s="555"/>
      <c r="L17" s="121"/>
      <c r="M17" s="111"/>
    </row>
    <row r="18" spans="1:13" ht="13.4" customHeight="1">
      <c r="A18" s="115" t="s">
        <v>120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21"/>
      <c r="M18" s="111"/>
    </row>
    <row r="19" spans="1:13" ht="13.4" customHeight="1">
      <c r="A19" s="120" t="str">
        <f>'[2]shipper master'!C21</f>
        <v xml:space="preserve"> NO COMMERCIAL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1"/>
      <c r="M19" s="130"/>
    </row>
    <row r="20" spans="1:13" ht="13.4" customHeight="1">
      <c r="A20" s="115" t="s">
        <v>121</v>
      </c>
      <c r="B20" s="111"/>
      <c r="C20" s="111"/>
      <c r="D20" s="132" t="s">
        <v>122</v>
      </c>
      <c r="E20" s="133"/>
      <c r="F20" s="115" t="s">
        <v>123</v>
      </c>
      <c r="G20" s="115"/>
      <c r="H20" s="115"/>
      <c r="I20" s="115"/>
      <c r="J20" s="134" t="s">
        <v>124</v>
      </c>
      <c r="K20" s="135"/>
      <c r="L20" s="115" t="s">
        <v>125</v>
      </c>
      <c r="M20" s="111"/>
    </row>
    <row r="21" spans="1:13" s="1" customFormat="1" ht="13.4" customHeight="1" thickBot="1">
      <c r="A21" s="3" t="str">
        <f>'[2]shipper master'!C24</f>
        <v xml:space="preserve"> AIRCRAFT</v>
      </c>
      <c r="B21" s="113"/>
      <c r="C21" s="3"/>
      <c r="D21" s="136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13"/>
      <c r="K21" s="113"/>
      <c r="L21" s="4"/>
      <c r="M21" s="113"/>
    </row>
    <row r="22" spans="1:13" s="141" customFormat="1" ht="16.399999999999999" customHeight="1">
      <c r="A22" s="137" t="s">
        <v>126</v>
      </c>
      <c r="B22" s="137" t="s">
        <v>127</v>
      </c>
      <c r="C22" s="137"/>
      <c r="D22" s="138" t="s">
        <v>128</v>
      </c>
      <c r="E22" s="137" t="s">
        <v>129</v>
      </c>
      <c r="F22" s="138"/>
      <c r="G22" s="138"/>
      <c r="H22" s="138" t="s">
        <v>130</v>
      </c>
      <c r="I22" s="138"/>
      <c r="J22" s="138"/>
      <c r="K22" s="139" t="s">
        <v>131</v>
      </c>
      <c r="L22" s="137" t="s">
        <v>132</v>
      </c>
      <c r="M22" s="140" t="s">
        <v>133</v>
      </c>
    </row>
    <row r="23" spans="1:13" ht="13.4" customHeight="1">
      <c r="A23" s="142"/>
      <c r="B23" s="143"/>
      <c r="C23" s="143"/>
      <c r="D23" s="111"/>
      <c r="E23" s="143"/>
      <c r="F23" s="111"/>
      <c r="G23" s="111"/>
      <c r="H23" s="111"/>
      <c r="I23" s="111"/>
      <c r="J23" s="111"/>
      <c r="K23" s="144"/>
      <c r="L23" s="111"/>
      <c r="M23" s="121"/>
    </row>
    <row r="24" spans="1:13" s="1" customFormat="1" ht="13.4" customHeight="1">
      <c r="A24" s="145"/>
      <c r="B24" s="146" t="str">
        <f>'[2]shipper master'!C36</f>
        <v>FABRIC &amp; PARTS FOR WEAR &amp; SAMPLE CLOTHES</v>
      </c>
      <c r="C24" s="146"/>
      <c r="D24" s="4"/>
      <c r="E24" s="4"/>
      <c r="F24" s="4"/>
      <c r="G24" s="4"/>
      <c r="H24" s="4"/>
      <c r="I24" s="4"/>
      <c r="J24" s="4"/>
      <c r="K24" s="147"/>
      <c r="L24" s="148" t="str">
        <f>'[2]shipper master'!C48</f>
        <v>F.O.B. TOKYO IN YEN</v>
      </c>
      <c r="M24" s="149"/>
    </row>
    <row r="25" spans="1:13" s="1" customFormat="1" ht="13.4" customHeight="1">
      <c r="A25" s="145"/>
      <c r="B25" s="146"/>
      <c r="C25" s="146"/>
      <c r="D25" s="4"/>
      <c r="E25" s="4"/>
      <c r="F25" s="4"/>
      <c r="G25" s="4"/>
      <c r="H25" s="4"/>
      <c r="I25" s="4"/>
      <c r="J25" s="4"/>
      <c r="K25" s="147"/>
      <c r="L25" s="150"/>
      <c r="M25" s="149"/>
    </row>
    <row r="26" spans="1:13" s="1" customFormat="1" ht="13.4" customHeight="1">
      <c r="A26" s="151"/>
      <c r="B26" s="146">
        <f>'[2]shipper master'!C37</f>
        <v>0</v>
      </c>
      <c r="C26" s="146"/>
      <c r="D26" s="4"/>
      <c r="E26" s="4"/>
      <c r="F26" s="3"/>
      <c r="G26" s="3"/>
      <c r="H26" s="3"/>
      <c r="I26" s="3"/>
      <c r="J26" s="3"/>
      <c r="K26" s="153">
        <f>'NARITA '!E72+'NARITA (2)'!E47</f>
        <v>1091.9000000000001</v>
      </c>
      <c r="L26" s="154" t="s">
        <v>150</v>
      </c>
      <c r="M26" s="155">
        <f>'NARITA '!H72+'NARITA (2)'!H47</f>
        <v>788084</v>
      </c>
    </row>
    <row r="27" spans="1:13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153">
        <f>'NARITA '!E73+'NARITA (2)'!E48</f>
        <v>1697</v>
      </c>
      <c r="L27" s="154" t="s">
        <v>146</v>
      </c>
      <c r="M27" s="155">
        <f>'NARITA '!H73+'NARITA (2)'!H48</f>
        <v>304590</v>
      </c>
    </row>
    <row r="28" spans="1:13" s="1" customFormat="1" ht="13.4" customHeight="1">
      <c r="A28" s="156"/>
      <c r="B28" s="22" t="str">
        <f>'[2]shipper master'!C38</f>
        <v>- DETAILS AS PER ATTACHED SHEET -</v>
      </c>
      <c r="C28" s="22"/>
      <c r="D28" s="3"/>
      <c r="E28" s="4"/>
      <c r="F28" s="3"/>
      <c r="G28" s="3"/>
      <c r="H28" s="3"/>
      <c r="I28" s="3"/>
      <c r="J28" s="3"/>
      <c r="K28" s="157">
        <f>'NARITA '!E74+'NARITA (2)'!E49</f>
        <v>75</v>
      </c>
      <c r="L28" s="154" t="s">
        <v>164</v>
      </c>
      <c r="M28" s="158">
        <f>'NARITA '!H74+'NARITA (2)'!H49</f>
        <v>4518</v>
      </c>
    </row>
    <row r="29" spans="1:13" s="1" customFormat="1" ht="13.4" customHeight="1">
      <c r="A29" s="156"/>
      <c r="B29" s="22"/>
      <c r="C29" s="22"/>
      <c r="D29" s="3"/>
      <c r="E29" s="4"/>
      <c r="F29" s="3"/>
      <c r="G29" s="3"/>
      <c r="H29" s="3"/>
      <c r="I29" s="3"/>
      <c r="J29" s="3"/>
      <c r="K29" s="157"/>
      <c r="L29" s="154"/>
      <c r="M29" s="158"/>
    </row>
    <row r="30" spans="1:13" s="1" customFormat="1" ht="17.25" customHeight="1" thickBot="1">
      <c r="A30" s="159"/>
      <c r="B30" s="160" t="s">
        <v>145</v>
      </c>
      <c r="C30" s="202"/>
      <c r="D30" s="208">
        <f>K26</f>
        <v>1091.9000000000001</v>
      </c>
      <c r="E30" s="202" t="s">
        <v>148</v>
      </c>
      <c r="F30" s="556">
        <f>K27</f>
        <v>1697</v>
      </c>
      <c r="G30" s="556"/>
      <c r="H30" s="556"/>
      <c r="I30" s="161" t="s">
        <v>85</v>
      </c>
      <c r="J30" s="161" t="s">
        <v>85</v>
      </c>
      <c r="K30" s="203">
        <f>K28</f>
        <v>75</v>
      </c>
      <c r="L30" s="204" t="s">
        <v>164</v>
      </c>
      <c r="M30" s="162">
        <f>SUM(M26:M29)</f>
        <v>1097192</v>
      </c>
    </row>
    <row r="31" spans="1:13" s="1" customFormat="1" ht="13.4" customHeight="1" thickTop="1">
      <c r="A31" s="163"/>
      <c r="B31" s="164"/>
      <c r="C31" s="164"/>
      <c r="D31" s="3"/>
      <c r="E31" s="165"/>
      <c r="F31" s="3"/>
      <c r="G31" s="165"/>
      <c r="H31" s="3"/>
      <c r="I31" s="3"/>
      <c r="J31" s="3"/>
      <c r="K31" s="156"/>
      <c r="L31" s="166"/>
      <c r="M31" s="163"/>
    </row>
    <row r="32" spans="1:13" s="1" customFormat="1" ht="13.4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167"/>
      <c r="L32" s="166"/>
      <c r="M32" s="168"/>
    </row>
    <row r="33" spans="1:13" s="1" customFormat="1" ht="13.4" customHeight="1">
      <c r="A33" s="3" t="str">
        <f>'[2]shipper master'!C63</f>
        <v>" THESE GOODS WILL BE RETURN TO JAPAN</v>
      </c>
      <c r="B33" s="169"/>
      <c r="C33" s="169"/>
      <c r="D33" s="169"/>
      <c r="E33" s="169"/>
      <c r="F33" s="169"/>
      <c r="G33" s="3"/>
      <c r="H33" s="3"/>
      <c r="I33" s="3" t="s">
        <v>134</v>
      </c>
      <c r="J33" s="3"/>
      <c r="K33" s="167" t="s">
        <v>135</v>
      </c>
      <c r="L33" s="166"/>
      <c r="M33" s="3"/>
    </row>
    <row r="34" spans="1:13" s="1" customFormat="1" ht="13.4" customHeight="1">
      <c r="A34" s="548" t="str">
        <f>'[2]shipper master'!C64</f>
        <v xml:space="preserve">  AFTER MANUFACTURED AT VIET NAM "</v>
      </c>
      <c r="B34" s="548"/>
      <c r="C34" s="548"/>
      <c r="D34" s="548"/>
      <c r="E34" s="4"/>
      <c r="F34" s="3"/>
      <c r="G34" s="3"/>
      <c r="H34" s="3"/>
      <c r="I34" s="3" t="s">
        <v>136</v>
      </c>
      <c r="J34" s="3"/>
      <c r="K34" s="167" t="s">
        <v>137</v>
      </c>
      <c r="L34" s="166"/>
      <c r="M34" s="168"/>
    </row>
    <row r="35" spans="1:13" s="1" customFormat="1" ht="13.4" customHeight="1">
      <c r="A35" s="3"/>
      <c r="B35" s="4"/>
      <c r="C35" s="4"/>
      <c r="D35" s="4">
        <f>'[2]shipper master'!C58</f>
        <v>0</v>
      </c>
      <c r="E35" s="4"/>
      <c r="F35" s="3"/>
      <c r="G35" s="3"/>
      <c r="H35" s="3"/>
      <c r="I35" s="3"/>
      <c r="J35" s="3"/>
      <c r="K35" s="156"/>
      <c r="L35" s="166"/>
      <c r="M35" s="3"/>
    </row>
    <row r="36" spans="1:13" s="1" customFormat="1" ht="13.4" customHeight="1">
      <c r="A36" s="4" t="str">
        <f>'[2]shipper master'!C60</f>
        <v>COUNTRY OF ORIGIN : JAPAN</v>
      </c>
      <c r="B36" s="4"/>
      <c r="C36" s="4"/>
      <c r="D36" s="4"/>
      <c r="E36" s="4"/>
      <c r="F36" s="3"/>
      <c r="G36" s="3"/>
      <c r="H36" s="3"/>
      <c r="I36" s="3"/>
      <c r="J36" s="3"/>
      <c r="K36" s="156"/>
      <c r="L36" s="166"/>
      <c r="M36" s="3"/>
    </row>
    <row r="37" spans="1:13" s="1" customFormat="1" ht="13.4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156"/>
      <c r="L37" s="166"/>
      <c r="M37" s="3"/>
    </row>
    <row r="38" spans="1:13" s="1" customFormat="1" ht="13.4" customHeight="1">
      <c r="A38" s="170" t="s">
        <v>138</v>
      </c>
      <c r="B38" s="171"/>
      <c r="C38" s="171"/>
      <c r="D38" s="172" t="s">
        <v>171</v>
      </c>
      <c r="E38" s="4"/>
      <c r="F38" s="3"/>
      <c r="G38" s="3"/>
      <c r="H38" s="3"/>
      <c r="I38" s="3"/>
      <c r="J38" s="3"/>
      <c r="K38" s="156"/>
      <c r="L38" s="166"/>
      <c r="M38" s="3"/>
    </row>
    <row r="39" spans="1:13" s="1" customFormat="1" ht="13.4" customHeight="1">
      <c r="A39" s="170" t="s">
        <v>139</v>
      </c>
      <c r="B39" s="171"/>
      <c r="C39" s="171"/>
      <c r="D39" s="173" t="s">
        <v>140</v>
      </c>
      <c r="E39" s="4"/>
      <c r="F39" s="3"/>
      <c r="G39" s="3"/>
      <c r="H39" s="3"/>
      <c r="I39" s="3"/>
      <c r="J39" s="3"/>
      <c r="K39" s="156"/>
      <c r="L39" s="166"/>
      <c r="M39" s="3"/>
    </row>
    <row r="40" spans="1:13" s="1" customFormat="1" ht="13.4" customHeight="1">
      <c r="A40" s="152"/>
      <c r="B40" s="146"/>
      <c r="C40" s="146"/>
      <c r="D40" s="174"/>
      <c r="E40" s="146"/>
      <c r="F40" s="175"/>
      <c r="G40" s="175"/>
      <c r="H40" s="175"/>
      <c r="I40" s="3"/>
      <c r="J40" s="3"/>
      <c r="K40" s="156"/>
      <c r="L40" s="166"/>
      <c r="M40" s="3"/>
    </row>
    <row r="41" spans="1:13" ht="18" customHeight="1">
      <c r="A41" s="152"/>
      <c r="B41" s="111"/>
      <c r="C41" s="111"/>
      <c r="D41" s="111"/>
      <c r="E41" s="111"/>
      <c r="F41" s="111"/>
      <c r="G41" s="111"/>
      <c r="H41" s="143"/>
      <c r="I41" s="111"/>
      <c r="J41" s="111"/>
      <c r="K41" s="143"/>
      <c r="L41" s="176"/>
      <c r="M41" s="111"/>
    </row>
    <row r="42" spans="1:13" ht="13.4" customHeight="1">
      <c r="A42" s="111"/>
      <c r="B42" s="177"/>
      <c r="C42" s="177"/>
      <c r="D42" s="111"/>
      <c r="E42" s="111"/>
      <c r="F42" s="111"/>
      <c r="G42" s="111"/>
      <c r="H42" s="111"/>
      <c r="I42" s="111"/>
      <c r="J42" s="111"/>
      <c r="K42" s="178"/>
      <c r="L42" s="176"/>
      <c r="M42" s="111"/>
    </row>
    <row r="43" spans="1:13" ht="13.4" customHeight="1">
      <c r="A43" s="111"/>
      <c r="B43" s="177"/>
      <c r="C43" s="177"/>
      <c r="D43" s="111"/>
      <c r="E43" s="111"/>
      <c r="F43" s="111"/>
      <c r="G43" s="111"/>
      <c r="H43" s="111"/>
      <c r="I43" s="111"/>
      <c r="J43" s="111"/>
      <c r="K43" s="178"/>
      <c r="L43" s="176"/>
      <c r="M43" s="111"/>
    </row>
    <row r="44" spans="1:13" ht="13.4" customHeight="1">
      <c r="A44" s="111"/>
      <c r="B44" s="111"/>
      <c r="C44" s="111"/>
      <c r="D44" s="111"/>
      <c r="E44" s="111"/>
      <c r="F44" s="111"/>
      <c r="G44" s="111"/>
      <c r="H44" s="130"/>
      <c r="I44" s="130"/>
      <c r="J44" s="130"/>
      <c r="K44" s="179"/>
      <c r="L44" s="180"/>
      <c r="M44" s="130"/>
    </row>
    <row r="45" spans="1:13" ht="13.4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78"/>
      <c r="L45" s="176"/>
      <c r="M45" s="111"/>
    </row>
    <row r="46" spans="1:13" ht="13.4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78"/>
      <c r="L46" s="176"/>
      <c r="M46" s="111"/>
    </row>
    <row r="47" spans="1:13" ht="13.4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78"/>
      <c r="L47" s="176"/>
      <c r="M47" s="111"/>
    </row>
    <row r="48" spans="1:13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78"/>
      <c r="L48" s="176"/>
      <c r="M48" s="111"/>
    </row>
    <row r="49" spans="1:13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78"/>
      <c r="L49" s="181"/>
      <c r="M49" s="111"/>
    </row>
    <row r="50" spans="1:13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78"/>
      <c r="L50" s="181"/>
      <c r="M50" s="111"/>
    </row>
    <row r="51" spans="1:13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78"/>
      <c r="L51" s="181"/>
      <c r="M51" s="111"/>
    </row>
    <row r="52" spans="1:13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78"/>
      <c r="L52" s="181"/>
      <c r="M52" s="111"/>
    </row>
    <row r="53" spans="1:1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78"/>
      <c r="L53" s="181"/>
      <c r="M53" s="111"/>
    </row>
    <row r="54" spans="1:13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78"/>
      <c r="L54" s="181"/>
      <c r="M54" s="111"/>
    </row>
    <row r="55" spans="1:13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78"/>
      <c r="L55" s="181"/>
      <c r="M55" s="111"/>
    </row>
    <row r="56" spans="1:13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78"/>
      <c r="L56" s="181"/>
      <c r="M56" s="111"/>
    </row>
    <row r="57" spans="1:13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78"/>
      <c r="L57" s="181"/>
      <c r="M57" s="111"/>
    </row>
    <row r="58" spans="1:13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78"/>
      <c r="L58" s="181"/>
      <c r="M58" s="111"/>
    </row>
    <row r="59" spans="1:13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78"/>
      <c r="L59" s="181"/>
      <c r="M59" s="111"/>
    </row>
    <row r="60" spans="1:13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78"/>
      <c r="L60" s="181"/>
      <c r="M60" s="111"/>
    </row>
    <row r="61" spans="1:13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78"/>
      <c r="L61" s="181"/>
      <c r="M61" s="111"/>
    </row>
    <row r="62" spans="1:13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78"/>
      <c r="L62" s="181"/>
      <c r="M62" s="111"/>
    </row>
    <row r="63" spans="1:1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78"/>
      <c r="L63" s="181"/>
      <c r="M63" s="111"/>
    </row>
    <row r="64" spans="1:13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78"/>
      <c r="L64" s="181"/>
      <c r="M64" s="111"/>
    </row>
    <row r="65" spans="1:13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78"/>
      <c r="L65" s="181"/>
      <c r="M65" s="111"/>
    </row>
    <row r="66" spans="1:13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78"/>
      <c r="L66" s="181"/>
      <c r="M66" s="111"/>
    </row>
    <row r="67" spans="1:13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78"/>
      <c r="L67" s="181"/>
      <c r="M67" s="111"/>
    </row>
    <row r="68" spans="1:13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78"/>
      <c r="L68" s="181"/>
      <c r="M68" s="111"/>
    </row>
    <row r="69" spans="1:13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78"/>
      <c r="L69" s="181"/>
      <c r="M69" s="111"/>
    </row>
    <row r="70" spans="1:13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78"/>
      <c r="L70" s="181"/>
      <c r="M70" s="111"/>
    </row>
    <row r="71" spans="1:13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78"/>
      <c r="L71" s="181"/>
      <c r="M71" s="111"/>
    </row>
    <row r="72" spans="1:13">
      <c r="K72" s="182"/>
      <c r="L72" s="183"/>
    </row>
    <row r="73" spans="1:13">
      <c r="K73" s="182"/>
      <c r="L73" s="183"/>
    </row>
    <row r="74" spans="1:13">
      <c r="L74" s="183"/>
    </row>
    <row r="75" spans="1:13">
      <c r="L75" s="183"/>
    </row>
    <row r="76" spans="1:13">
      <c r="L76" s="183"/>
    </row>
    <row r="77" spans="1:13">
      <c r="L77" s="183"/>
    </row>
    <row r="78" spans="1:13">
      <c r="L78" s="183"/>
    </row>
    <row r="79" spans="1:13">
      <c r="L79" s="183"/>
    </row>
    <row r="80" spans="1:13">
      <c r="L80" s="183"/>
    </row>
    <row r="81" spans="12:12">
      <c r="L81" s="183"/>
    </row>
    <row r="82" spans="12:12">
      <c r="L82" s="183"/>
    </row>
    <row r="83" spans="12:12">
      <c r="L83" s="183"/>
    </row>
    <row r="84" spans="12:12">
      <c r="L84" s="183"/>
    </row>
    <row r="85" spans="12:12">
      <c r="L85" s="183"/>
    </row>
    <row r="86" spans="12:12">
      <c r="L86" s="183"/>
    </row>
    <row r="87" spans="12:12">
      <c r="L87" s="183"/>
    </row>
    <row r="88" spans="12:12">
      <c r="L88" s="183"/>
    </row>
    <row r="89" spans="12:12">
      <c r="L89" s="183"/>
    </row>
    <row r="90" spans="12:12">
      <c r="L90" s="183"/>
    </row>
    <row r="91" spans="12:12">
      <c r="L91" s="183"/>
    </row>
  </sheetData>
  <mergeCells count="7">
    <mergeCell ref="A34:D34"/>
    <mergeCell ref="A1:M1"/>
    <mergeCell ref="F11:K11"/>
    <mergeCell ref="F13:K13"/>
    <mergeCell ref="F15:K15"/>
    <mergeCell ref="F17:K17"/>
    <mergeCell ref="F30:H30"/>
  </mergeCells>
  <phoneticPr fontId="13"/>
  <pageMargins left="0.39370078740157483" right="0.19685039370078741" top="0.59055118110236227" bottom="0.39370078740157483" header="0.51181102362204722" footer="0.51181102362204722"/>
  <pageSetup paperSize="9" scale="8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27"/>
  <sheetViews>
    <sheetView view="pageBreakPreview" topLeftCell="A31" zoomScale="80" zoomScaleNormal="90" zoomScaleSheetLayoutView="80" workbookViewId="0">
      <selection activeCell="C45" sqref="C45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579" t="s">
        <v>98</v>
      </c>
      <c r="B2" s="579"/>
      <c r="C2" s="579"/>
      <c r="D2" s="579"/>
      <c r="E2" s="579"/>
      <c r="F2" s="579"/>
      <c r="G2" s="579"/>
      <c r="H2" s="579"/>
      <c r="I2" s="38"/>
      <c r="L2" s="39"/>
      <c r="M2" s="39"/>
      <c r="N2" s="39"/>
    </row>
    <row r="3" spans="1:14" ht="15.5" thickBot="1">
      <c r="A3" s="40"/>
      <c r="B3" s="41"/>
      <c r="C3" s="40"/>
      <c r="D3" s="40"/>
      <c r="E3" s="40"/>
      <c r="F3" s="40"/>
      <c r="G3" s="40"/>
      <c r="H3" s="40"/>
      <c r="I3" s="38"/>
      <c r="L3" s="39"/>
      <c r="M3" s="39"/>
      <c r="N3" s="39"/>
    </row>
    <row r="4" spans="1:14" ht="21.75" customHeight="1" thickBot="1">
      <c r="A4" s="42" t="s">
        <v>36</v>
      </c>
      <c r="B4" s="24" t="s">
        <v>96</v>
      </c>
      <c r="C4" s="42" t="s">
        <v>86</v>
      </c>
      <c r="D4" s="23" t="s">
        <v>87</v>
      </c>
      <c r="E4" s="42" t="s">
        <v>88</v>
      </c>
      <c r="F4" s="580" t="s">
        <v>89</v>
      </c>
      <c r="G4" s="581"/>
      <c r="H4" s="43" t="s">
        <v>90</v>
      </c>
      <c r="I4" s="44" t="s">
        <v>91</v>
      </c>
      <c r="J4" s="45" t="s">
        <v>92</v>
      </c>
      <c r="K4" s="46" t="s">
        <v>93</v>
      </c>
      <c r="L4" s="47" t="s">
        <v>107</v>
      </c>
      <c r="M4" s="47" t="s">
        <v>94</v>
      </c>
      <c r="N4" s="48" t="s">
        <v>95</v>
      </c>
    </row>
    <row r="5" spans="1:14">
      <c r="A5" s="49"/>
      <c r="B5" s="50"/>
      <c r="C5" s="51"/>
      <c r="D5" s="52"/>
      <c r="E5" s="51"/>
      <c r="F5" s="51"/>
      <c r="G5" s="53"/>
      <c r="H5" s="53"/>
      <c r="I5" s="54"/>
      <c r="J5" s="55"/>
      <c r="K5" s="55"/>
      <c r="L5" s="55"/>
      <c r="M5" s="55"/>
      <c r="N5" s="56"/>
    </row>
    <row r="6" spans="1:14">
      <c r="A6" s="57"/>
      <c r="B6" s="58" t="s">
        <v>97</v>
      </c>
      <c r="C6" s="51"/>
      <c r="D6" s="59" t="str">
        <f>[3]invoice!B24</f>
        <v>FABRIC &amp; PARTS FOR WEAR &amp; SAMPLE CLOTHES</v>
      </c>
      <c r="E6" s="53"/>
      <c r="F6" s="53"/>
      <c r="G6" s="60" t="str">
        <f>'[1]shipper master'!C48</f>
        <v>F.O.B. TOKYO IN YEN</v>
      </c>
      <c r="H6" s="53"/>
      <c r="I6" s="61"/>
      <c r="J6" s="62"/>
      <c r="K6" s="62"/>
      <c r="L6" s="62"/>
      <c r="M6" s="62"/>
      <c r="N6" s="63"/>
    </row>
    <row r="7" spans="1:14" ht="15.5" thickBot="1">
      <c r="A7" s="64"/>
      <c r="B7" s="65"/>
      <c r="C7" s="66"/>
      <c r="D7" s="67" t="s">
        <v>108</v>
      </c>
      <c r="E7" s="66"/>
      <c r="F7" s="66"/>
      <c r="G7" s="68"/>
      <c r="H7" s="20"/>
      <c r="I7" s="69"/>
      <c r="J7" s="70"/>
      <c r="K7" s="70"/>
      <c r="L7" s="70"/>
      <c r="M7" s="71"/>
      <c r="N7" s="72"/>
    </row>
    <row r="8" spans="1:14" ht="15.65" customHeight="1">
      <c r="A8" s="575" t="s">
        <v>189</v>
      </c>
      <c r="B8" s="29"/>
      <c r="C8" s="29"/>
      <c r="D8" s="200" t="s">
        <v>245</v>
      </c>
      <c r="E8" s="73"/>
      <c r="F8" s="73"/>
      <c r="G8" s="74"/>
      <c r="H8" s="75"/>
      <c r="I8" s="242"/>
      <c r="J8" s="248"/>
      <c r="K8" s="75"/>
      <c r="L8" s="75"/>
      <c r="M8" s="75"/>
      <c r="N8" s="560">
        <v>2</v>
      </c>
    </row>
    <row r="9" spans="1:14">
      <c r="A9" s="576"/>
      <c r="B9" s="30" t="s">
        <v>172</v>
      </c>
      <c r="C9" s="76" t="s">
        <v>175</v>
      </c>
      <c r="D9" s="31" t="s">
        <v>100</v>
      </c>
      <c r="E9" s="77">
        <v>30</v>
      </c>
      <c r="F9" s="90" t="s">
        <v>148</v>
      </c>
      <c r="G9" s="79">
        <v>395</v>
      </c>
      <c r="H9" s="80">
        <f>E9*G9</f>
        <v>11850</v>
      </c>
      <c r="I9" s="216"/>
      <c r="J9" s="249"/>
      <c r="K9" s="473"/>
      <c r="L9" s="474"/>
      <c r="M9" s="473"/>
      <c r="N9" s="561"/>
    </row>
    <row r="10" spans="1:14" ht="16.5">
      <c r="A10" s="576"/>
      <c r="B10" s="21" t="s">
        <v>147</v>
      </c>
      <c r="C10" s="76" t="s">
        <v>176</v>
      </c>
      <c r="D10" s="244" t="s">
        <v>169</v>
      </c>
      <c r="E10" s="77">
        <v>8</v>
      </c>
      <c r="F10" s="90" t="s">
        <v>148</v>
      </c>
      <c r="G10" s="79">
        <v>395</v>
      </c>
      <c r="H10" s="80">
        <f t="shared" ref="H10" si="0">E10*G10</f>
        <v>3160</v>
      </c>
      <c r="I10" s="216" t="s">
        <v>185</v>
      </c>
      <c r="J10" s="249"/>
      <c r="K10" s="475"/>
      <c r="L10" s="475"/>
      <c r="M10" s="475"/>
      <c r="N10" s="561"/>
    </row>
    <row r="11" spans="1:14" ht="16.5">
      <c r="A11" s="576"/>
      <c r="B11" s="33" t="s">
        <v>173</v>
      </c>
      <c r="C11" s="76" t="s">
        <v>177</v>
      </c>
      <c r="D11" s="32" t="s">
        <v>191</v>
      </c>
      <c r="E11" s="77">
        <v>8</v>
      </c>
      <c r="F11" s="90" t="s">
        <v>148</v>
      </c>
      <c r="G11" s="79">
        <v>395</v>
      </c>
      <c r="H11" s="80">
        <f t="shared" ref="H11" si="1">E11*G11</f>
        <v>3160</v>
      </c>
      <c r="I11" s="216" t="s">
        <v>186</v>
      </c>
      <c r="J11" s="249" t="s">
        <v>187</v>
      </c>
      <c r="K11" s="475"/>
      <c r="L11" s="475"/>
      <c r="M11" s="475"/>
      <c r="N11" s="561"/>
    </row>
    <row r="12" spans="1:14">
      <c r="A12" s="576"/>
      <c r="B12" s="477" t="s">
        <v>174</v>
      </c>
      <c r="C12" s="76" t="s">
        <v>178</v>
      </c>
      <c r="D12" s="32"/>
      <c r="E12" s="77">
        <v>8</v>
      </c>
      <c r="F12" s="90" t="s">
        <v>148</v>
      </c>
      <c r="G12" s="79">
        <v>395</v>
      </c>
      <c r="H12" s="80">
        <f t="shared" ref="H12" si="2">E12*G12</f>
        <v>3160</v>
      </c>
      <c r="I12" s="216"/>
      <c r="J12" s="249"/>
      <c r="K12" s="475"/>
      <c r="L12" s="475"/>
      <c r="M12" s="475"/>
      <c r="N12" s="561"/>
    </row>
    <row r="13" spans="1:14">
      <c r="A13" s="576"/>
      <c r="B13" s="477"/>
      <c r="C13" s="76" t="s">
        <v>179</v>
      </c>
      <c r="D13" s="32"/>
      <c r="E13" s="77">
        <v>17</v>
      </c>
      <c r="F13" s="90" t="s">
        <v>148</v>
      </c>
      <c r="G13" s="79">
        <v>395</v>
      </c>
      <c r="H13" s="80">
        <f t="shared" ref="H13:H15" si="3">E13*G13</f>
        <v>6715</v>
      </c>
      <c r="I13" s="216"/>
      <c r="J13" s="249"/>
      <c r="K13" s="475"/>
      <c r="L13" s="475"/>
      <c r="M13" s="475"/>
      <c r="N13" s="561"/>
    </row>
    <row r="14" spans="1:14">
      <c r="A14" s="576"/>
      <c r="B14" s="477"/>
      <c r="C14" s="76" t="s">
        <v>180</v>
      </c>
      <c r="D14" s="32"/>
      <c r="E14" s="77">
        <v>8</v>
      </c>
      <c r="F14" s="90" t="s">
        <v>148</v>
      </c>
      <c r="G14" s="79">
        <v>395</v>
      </c>
      <c r="H14" s="80">
        <f t="shared" si="3"/>
        <v>3160</v>
      </c>
      <c r="I14" s="216"/>
      <c r="J14" s="249"/>
      <c r="K14" s="475"/>
      <c r="L14" s="475"/>
      <c r="M14" s="475"/>
      <c r="N14" s="561"/>
    </row>
    <row r="15" spans="1:14">
      <c r="A15" s="576"/>
      <c r="B15" s="477"/>
      <c r="C15" s="76" t="s">
        <v>181</v>
      </c>
      <c r="D15" s="32"/>
      <c r="E15" s="77">
        <v>8</v>
      </c>
      <c r="F15" s="90" t="s">
        <v>148</v>
      </c>
      <c r="G15" s="79">
        <v>395</v>
      </c>
      <c r="H15" s="80">
        <f t="shared" si="3"/>
        <v>3160</v>
      </c>
      <c r="I15" s="216"/>
      <c r="J15" s="249"/>
      <c r="K15" s="475"/>
      <c r="L15" s="475"/>
      <c r="M15" s="475"/>
      <c r="N15" s="561"/>
    </row>
    <row r="16" spans="1:14">
      <c r="A16" s="576"/>
      <c r="B16" s="477"/>
      <c r="C16" s="76" t="s">
        <v>182</v>
      </c>
      <c r="D16" s="32"/>
      <c r="E16" s="77">
        <v>8</v>
      </c>
      <c r="F16" s="90" t="s">
        <v>148</v>
      </c>
      <c r="G16" s="79">
        <v>395</v>
      </c>
      <c r="H16" s="80">
        <f t="shared" ref="H16:H17" si="4">E16*G16</f>
        <v>3160</v>
      </c>
      <c r="I16" s="216"/>
      <c r="J16" s="249"/>
      <c r="K16" s="475"/>
      <c r="L16" s="475"/>
      <c r="M16" s="475"/>
      <c r="N16" s="561"/>
    </row>
    <row r="17" spans="1:14">
      <c r="A17" s="576"/>
      <c r="B17" s="477"/>
      <c r="C17" s="76" t="s">
        <v>183</v>
      </c>
      <c r="D17" s="32"/>
      <c r="E17" s="77">
        <v>8</v>
      </c>
      <c r="F17" s="90" t="s">
        <v>148</v>
      </c>
      <c r="G17" s="79">
        <v>395</v>
      </c>
      <c r="H17" s="80">
        <f t="shared" si="4"/>
        <v>3160</v>
      </c>
      <c r="I17" s="216"/>
      <c r="J17" s="249"/>
      <c r="K17" s="475"/>
      <c r="L17" s="475"/>
      <c r="M17" s="475"/>
      <c r="N17" s="561"/>
    </row>
    <row r="18" spans="1:14" ht="15.5" thickBot="1">
      <c r="A18" s="577"/>
      <c r="B18" s="35"/>
      <c r="C18" s="82" t="s">
        <v>184</v>
      </c>
      <c r="D18" s="34"/>
      <c r="E18" s="472">
        <v>8</v>
      </c>
      <c r="F18" s="360" t="s">
        <v>148</v>
      </c>
      <c r="G18" s="84">
        <v>395</v>
      </c>
      <c r="H18" s="85">
        <f t="shared" ref="H18" si="5">E18*G18</f>
        <v>3160</v>
      </c>
      <c r="I18" s="243"/>
      <c r="J18" s="250"/>
      <c r="K18" s="476"/>
      <c r="L18" s="476"/>
      <c r="M18" s="476"/>
      <c r="N18" s="578"/>
    </row>
    <row r="19" spans="1:14" ht="15.5" thickBot="1">
      <c r="A19" s="246"/>
      <c r="B19" s="30"/>
      <c r="C19" s="209"/>
      <c r="D19" s="213"/>
      <c r="E19" s="471"/>
      <c r="F19" s="245"/>
      <c r="G19" s="87"/>
      <c r="H19" s="88"/>
      <c r="I19" s="216"/>
      <c r="J19" s="249"/>
      <c r="K19" s="95"/>
      <c r="L19" s="95"/>
      <c r="M19" s="95"/>
      <c r="N19" s="217"/>
    </row>
    <row r="20" spans="1:14" ht="15.65" customHeight="1">
      <c r="A20" s="575" t="s">
        <v>200</v>
      </c>
      <c r="B20" s="29"/>
      <c r="C20" s="29"/>
      <c r="D20" s="200" t="s">
        <v>197</v>
      </c>
      <c r="E20" s="73"/>
      <c r="F20" s="73"/>
      <c r="G20" s="74"/>
      <c r="H20" s="75"/>
      <c r="I20" s="242"/>
      <c r="J20" s="248"/>
      <c r="K20" s="75"/>
      <c r="L20" s="75"/>
      <c r="M20" s="75"/>
      <c r="N20" s="560">
        <v>1</v>
      </c>
    </row>
    <row r="21" spans="1:14">
      <c r="A21" s="576"/>
      <c r="B21" s="30" t="s">
        <v>192</v>
      </c>
      <c r="C21" s="209" t="s">
        <v>195</v>
      </c>
      <c r="D21" s="21" t="s">
        <v>147</v>
      </c>
      <c r="E21" s="214">
        <v>9</v>
      </c>
      <c r="F21" s="78" t="s">
        <v>148</v>
      </c>
      <c r="G21" s="210">
        <v>840</v>
      </c>
      <c r="H21" s="211">
        <f>E21*G21</f>
        <v>7560</v>
      </c>
      <c r="I21" s="216"/>
      <c r="J21" s="249"/>
      <c r="K21" s="53"/>
      <c r="L21" s="81"/>
      <c r="M21" s="53"/>
      <c r="N21" s="561"/>
    </row>
    <row r="22" spans="1:14" ht="16.5">
      <c r="A22" s="576"/>
      <c r="B22" s="21" t="s">
        <v>147</v>
      </c>
      <c r="C22" s="76" t="s">
        <v>196</v>
      </c>
      <c r="D22" s="244" t="s">
        <v>198</v>
      </c>
      <c r="E22" s="77">
        <v>11</v>
      </c>
      <c r="F22" s="78" t="s">
        <v>148</v>
      </c>
      <c r="G22" s="79">
        <v>840</v>
      </c>
      <c r="H22" s="80">
        <f t="shared" ref="H22" si="6">E22*G22</f>
        <v>9240</v>
      </c>
      <c r="I22" s="216" t="s">
        <v>201</v>
      </c>
      <c r="J22" s="249" t="s">
        <v>202</v>
      </c>
      <c r="K22" s="53"/>
      <c r="L22" s="53"/>
      <c r="M22" s="53"/>
      <c r="N22" s="561"/>
    </row>
    <row r="23" spans="1:14" ht="16.5">
      <c r="A23" s="576"/>
      <c r="B23" s="33" t="s">
        <v>193</v>
      </c>
      <c r="C23" s="76"/>
      <c r="D23" s="32" t="s">
        <v>199</v>
      </c>
      <c r="E23" s="77"/>
      <c r="F23" s="78"/>
      <c r="G23" s="79"/>
      <c r="H23" s="80"/>
      <c r="I23" s="216"/>
      <c r="J23" s="249"/>
      <c r="K23" s="53"/>
      <c r="L23" s="53"/>
      <c r="M23" s="53"/>
      <c r="N23" s="561"/>
    </row>
    <row r="24" spans="1:14" ht="15.5" thickBot="1">
      <c r="A24" s="577"/>
      <c r="B24" s="35" t="s">
        <v>194</v>
      </c>
      <c r="C24" s="82"/>
      <c r="D24" s="34"/>
      <c r="E24" s="83"/>
      <c r="F24" s="205"/>
      <c r="G24" s="84"/>
      <c r="H24" s="85"/>
      <c r="I24" s="243"/>
      <c r="J24" s="250"/>
      <c r="K24" s="19"/>
      <c r="L24" s="19"/>
      <c r="M24" s="19"/>
      <c r="N24" s="562"/>
    </row>
    <row r="25" spans="1:14" ht="15.5" thickBot="1">
      <c r="A25" s="247"/>
      <c r="B25" s="212"/>
      <c r="C25" s="209"/>
      <c r="D25" s="213"/>
      <c r="E25" s="471"/>
      <c r="F25" s="245"/>
      <c r="G25" s="87"/>
      <c r="H25" s="88"/>
      <c r="I25" s="216"/>
      <c r="J25" s="249"/>
      <c r="K25" s="16"/>
      <c r="L25" s="16"/>
      <c r="M25" s="16"/>
      <c r="N25" s="217"/>
    </row>
    <row r="26" spans="1:14" ht="15.65" customHeight="1">
      <c r="A26" s="575" t="s">
        <v>210</v>
      </c>
      <c r="B26" s="29"/>
      <c r="C26" s="29"/>
      <c r="D26" s="200" t="s">
        <v>206</v>
      </c>
      <c r="E26" s="73"/>
      <c r="F26" s="73"/>
      <c r="G26" s="74"/>
      <c r="H26" s="75"/>
      <c r="I26" s="242"/>
      <c r="J26" s="248"/>
      <c r="K26" s="75"/>
      <c r="L26" s="75"/>
      <c r="M26" s="75"/>
      <c r="N26" s="560">
        <v>2</v>
      </c>
    </row>
    <row r="27" spans="1:14">
      <c r="A27" s="576"/>
      <c r="B27" s="212" t="s">
        <v>203</v>
      </c>
      <c r="C27" s="209" t="s">
        <v>205</v>
      </c>
      <c r="D27" s="21" t="s">
        <v>100</v>
      </c>
      <c r="E27" s="214">
        <v>57</v>
      </c>
      <c r="F27" s="78" t="s">
        <v>148</v>
      </c>
      <c r="G27" s="210">
        <v>1570</v>
      </c>
      <c r="H27" s="211">
        <f>E27*G27</f>
        <v>89490</v>
      </c>
      <c r="I27" s="216" t="s">
        <v>208</v>
      </c>
      <c r="J27" s="249" t="s">
        <v>209</v>
      </c>
      <c r="K27" s="53"/>
      <c r="L27" s="81"/>
      <c r="M27" s="53"/>
      <c r="N27" s="561"/>
    </row>
    <row r="28" spans="1:14" ht="16.5">
      <c r="A28" s="576"/>
      <c r="B28" s="21" t="s">
        <v>147</v>
      </c>
      <c r="C28" s="76"/>
      <c r="D28" s="244" t="s">
        <v>169</v>
      </c>
      <c r="E28" s="77"/>
      <c r="F28" s="78"/>
      <c r="G28" s="79"/>
      <c r="H28" s="80"/>
      <c r="I28" s="216"/>
      <c r="J28" s="249"/>
      <c r="K28" s="53"/>
      <c r="L28" s="53"/>
      <c r="M28" s="53"/>
      <c r="N28" s="561"/>
    </row>
    <row r="29" spans="1:14" ht="16.5">
      <c r="A29" s="576"/>
      <c r="B29" s="33" t="s">
        <v>204</v>
      </c>
      <c r="C29" s="76"/>
      <c r="D29" s="32" t="s">
        <v>207</v>
      </c>
      <c r="E29" s="77"/>
      <c r="F29" s="78"/>
      <c r="G29" s="79"/>
      <c r="H29" s="80"/>
      <c r="I29" s="216"/>
      <c r="J29" s="249"/>
      <c r="K29" s="53"/>
      <c r="L29" s="53"/>
      <c r="M29" s="53"/>
      <c r="N29" s="561"/>
    </row>
    <row r="30" spans="1:14" ht="15.5" thickBot="1">
      <c r="A30" s="577"/>
      <c r="B30" s="35" t="s">
        <v>149</v>
      </c>
      <c r="C30" s="82"/>
      <c r="D30" s="34"/>
      <c r="E30" s="83"/>
      <c r="F30" s="83"/>
      <c r="G30" s="84"/>
      <c r="H30" s="85"/>
      <c r="I30" s="243"/>
      <c r="J30" s="250"/>
      <c r="K30" s="19"/>
      <c r="L30" s="19"/>
      <c r="M30" s="19"/>
      <c r="N30" s="562"/>
    </row>
    <row r="31" spans="1:14" ht="15.5" thickBot="1">
      <c r="A31" s="247"/>
      <c r="B31" s="206"/>
      <c r="C31" s="76"/>
      <c r="D31" s="32"/>
      <c r="E31" s="214"/>
      <c r="F31" s="78"/>
      <c r="G31" s="210"/>
      <c r="H31" s="211"/>
      <c r="I31" s="216"/>
      <c r="J31" s="249"/>
      <c r="K31" s="95"/>
      <c r="L31" s="95"/>
      <c r="M31" s="95"/>
      <c r="N31" s="217"/>
    </row>
    <row r="32" spans="1:14" ht="15.65" customHeight="1">
      <c r="A32" s="575" t="s">
        <v>211</v>
      </c>
      <c r="B32" s="29"/>
      <c r="C32" s="29"/>
      <c r="D32" s="200" t="s">
        <v>215</v>
      </c>
      <c r="E32" s="73"/>
      <c r="F32" s="73"/>
      <c r="G32" s="74"/>
      <c r="H32" s="75"/>
      <c r="I32" s="242"/>
      <c r="J32" s="248"/>
      <c r="K32" s="75"/>
      <c r="L32" s="75"/>
      <c r="M32" s="75"/>
      <c r="N32" s="560">
        <v>1</v>
      </c>
    </row>
    <row r="33" spans="1:14">
      <c r="A33" s="576"/>
      <c r="B33" s="212" t="s">
        <v>212</v>
      </c>
      <c r="C33" s="209" t="s">
        <v>214</v>
      </c>
      <c r="D33" s="21" t="s">
        <v>147</v>
      </c>
      <c r="E33" s="214">
        <v>49.9</v>
      </c>
      <c r="F33" s="78" t="s">
        <v>150</v>
      </c>
      <c r="G33" s="210">
        <v>2610</v>
      </c>
      <c r="H33" s="80">
        <f>E33*G33</f>
        <v>130239</v>
      </c>
      <c r="I33" s="216"/>
      <c r="J33" s="249"/>
      <c r="K33" s="53"/>
      <c r="L33" s="53"/>
      <c r="M33" s="53"/>
      <c r="N33" s="561"/>
    </row>
    <row r="34" spans="1:14">
      <c r="A34" s="576"/>
      <c r="B34" s="21" t="s">
        <v>147</v>
      </c>
      <c r="C34" s="76"/>
      <c r="D34" s="213" t="s">
        <v>217</v>
      </c>
      <c r="E34" s="77"/>
      <c r="F34" s="78"/>
      <c r="G34" s="79"/>
      <c r="H34" s="80"/>
      <c r="I34" s="216" t="s">
        <v>219</v>
      </c>
      <c r="J34" s="249" t="s">
        <v>220</v>
      </c>
      <c r="K34" s="53"/>
      <c r="L34" s="53"/>
      <c r="M34" s="53"/>
      <c r="N34" s="561"/>
    </row>
    <row r="35" spans="1:14">
      <c r="A35" s="576"/>
      <c r="B35" s="33" t="s">
        <v>213</v>
      </c>
      <c r="C35" s="76"/>
      <c r="D35" s="31" t="s">
        <v>218</v>
      </c>
      <c r="E35" s="77"/>
      <c r="F35" s="78"/>
      <c r="G35" s="79"/>
      <c r="H35" s="80"/>
      <c r="I35" s="216"/>
      <c r="J35" s="249"/>
      <c r="K35" s="53"/>
      <c r="L35" s="53"/>
      <c r="M35" s="53"/>
      <c r="N35" s="561"/>
    </row>
    <row r="36" spans="1:14" ht="15.5" thickBot="1">
      <c r="A36" s="577"/>
      <c r="B36" s="35" t="s">
        <v>149</v>
      </c>
      <c r="C36" s="82"/>
      <c r="D36" s="34"/>
      <c r="E36" s="83"/>
      <c r="F36" s="83"/>
      <c r="G36" s="84"/>
      <c r="H36" s="85"/>
      <c r="I36" s="243"/>
      <c r="J36" s="250"/>
      <c r="K36" s="19"/>
      <c r="L36" s="19"/>
      <c r="M36" s="19"/>
      <c r="N36" s="562"/>
    </row>
    <row r="37" spans="1:14" ht="15.5" thickBot="1">
      <c r="A37" s="247"/>
      <c r="B37" s="206"/>
      <c r="C37" s="76"/>
      <c r="D37" s="32"/>
      <c r="E37" s="214"/>
      <c r="F37" s="78"/>
      <c r="G37" s="210"/>
      <c r="H37" s="211"/>
      <c r="I37" s="216"/>
      <c r="J37" s="249"/>
      <c r="K37" s="95"/>
      <c r="L37" s="95"/>
      <c r="M37" s="95"/>
      <c r="N37" s="217"/>
    </row>
    <row r="38" spans="1:14" ht="15.65" customHeight="1">
      <c r="A38" s="557" t="s">
        <v>332</v>
      </c>
      <c r="B38" s="29"/>
      <c r="C38" s="29"/>
      <c r="D38" s="200" t="s">
        <v>331</v>
      </c>
      <c r="E38" s="73"/>
      <c r="F38" s="73"/>
      <c r="G38" s="74"/>
      <c r="H38" s="75"/>
      <c r="I38" s="242"/>
      <c r="J38" s="248"/>
      <c r="K38" s="75"/>
      <c r="L38" s="75"/>
      <c r="M38" s="75"/>
      <c r="N38" s="560">
        <v>1</v>
      </c>
    </row>
    <row r="39" spans="1:14">
      <c r="A39" s="558"/>
      <c r="B39" s="212" t="s">
        <v>328</v>
      </c>
      <c r="C39" s="209" t="s">
        <v>330</v>
      </c>
      <c r="D39" s="21" t="s">
        <v>147</v>
      </c>
      <c r="E39" s="214">
        <v>299</v>
      </c>
      <c r="F39" s="78" t="s">
        <v>150</v>
      </c>
      <c r="G39" s="210">
        <v>1110</v>
      </c>
      <c r="H39" s="80">
        <f>E39*G39</f>
        <v>331890</v>
      </c>
      <c r="I39" s="216"/>
      <c r="J39" s="249"/>
      <c r="K39" s="53"/>
      <c r="L39" s="53"/>
      <c r="M39" s="53"/>
      <c r="N39" s="561"/>
    </row>
    <row r="40" spans="1:14">
      <c r="A40" s="558"/>
      <c r="B40" s="21" t="s">
        <v>147</v>
      </c>
      <c r="C40" s="76"/>
      <c r="D40" s="213" t="s">
        <v>216</v>
      </c>
      <c r="E40" s="77"/>
      <c r="F40" s="78"/>
      <c r="G40" s="79"/>
      <c r="H40" s="80"/>
      <c r="I40" s="216"/>
      <c r="J40" s="249" t="s">
        <v>269</v>
      </c>
      <c r="K40" s="53"/>
      <c r="L40" s="53"/>
      <c r="M40" s="53"/>
      <c r="N40" s="561"/>
    </row>
    <row r="41" spans="1:14">
      <c r="A41" s="558"/>
      <c r="B41" s="33" t="s">
        <v>329</v>
      </c>
      <c r="C41" s="76"/>
      <c r="D41" s="31" t="s">
        <v>338</v>
      </c>
      <c r="E41" s="77"/>
      <c r="F41" s="78"/>
      <c r="G41" s="79"/>
      <c r="H41" s="80"/>
      <c r="I41" s="216"/>
      <c r="J41" s="249"/>
      <c r="K41" s="53"/>
      <c r="L41" s="53"/>
      <c r="M41" s="53"/>
      <c r="N41" s="561"/>
    </row>
    <row r="42" spans="1:14" ht="15.5" thickBot="1">
      <c r="A42" s="559"/>
      <c r="B42" s="35" t="s">
        <v>149</v>
      </c>
      <c r="C42" s="82"/>
      <c r="D42" s="34"/>
      <c r="E42" s="83"/>
      <c r="F42" s="83"/>
      <c r="G42" s="84"/>
      <c r="H42" s="85"/>
      <c r="I42" s="243"/>
      <c r="J42" s="250"/>
      <c r="K42" s="19"/>
      <c r="L42" s="19"/>
      <c r="M42" s="19"/>
      <c r="N42" s="562"/>
    </row>
    <row r="43" spans="1:14" ht="15.5" thickBot="1">
      <c r="A43" s="247"/>
      <c r="B43" s="206"/>
      <c r="C43" s="76"/>
      <c r="D43" s="32"/>
      <c r="E43" s="214"/>
      <c r="F43" s="78"/>
      <c r="G43" s="210"/>
      <c r="H43" s="211"/>
      <c r="I43" s="216"/>
      <c r="J43" s="249"/>
      <c r="K43" s="95"/>
      <c r="L43" s="95"/>
      <c r="M43" s="95"/>
      <c r="N43" s="217"/>
    </row>
    <row r="44" spans="1:14" ht="15.65" customHeight="1">
      <c r="A44" s="572" t="s">
        <v>333</v>
      </c>
      <c r="B44" s="478"/>
      <c r="C44" s="29"/>
      <c r="D44" s="200" t="s">
        <v>197</v>
      </c>
      <c r="E44" s="73"/>
      <c r="F44" s="73"/>
      <c r="G44" s="74"/>
      <c r="H44" s="75"/>
      <c r="I44" s="242"/>
      <c r="J44" s="248"/>
      <c r="K44" s="75"/>
      <c r="L44" s="75"/>
      <c r="M44" s="75"/>
      <c r="N44" s="560">
        <v>2</v>
      </c>
    </row>
    <row r="45" spans="1:14">
      <c r="A45" s="573"/>
      <c r="B45" s="479" t="s">
        <v>221</v>
      </c>
      <c r="C45" s="76" t="s">
        <v>226</v>
      </c>
      <c r="D45" s="31" t="s">
        <v>160</v>
      </c>
      <c r="E45" s="214">
        <v>123</v>
      </c>
      <c r="F45" s="78" t="s">
        <v>85</v>
      </c>
      <c r="G45" s="210">
        <v>1500</v>
      </c>
      <c r="H45" s="80">
        <f>E45*G45</f>
        <v>184500</v>
      </c>
      <c r="I45" s="216"/>
      <c r="J45" s="249"/>
      <c r="K45" s="53"/>
      <c r="L45" s="53"/>
      <c r="M45" s="53"/>
      <c r="N45" s="561"/>
    </row>
    <row r="46" spans="1:14">
      <c r="A46" s="573"/>
      <c r="B46" s="480" t="s">
        <v>222</v>
      </c>
      <c r="C46" s="76"/>
      <c r="D46" s="31"/>
      <c r="E46" s="77"/>
      <c r="F46" s="78"/>
      <c r="G46" s="79"/>
      <c r="H46" s="80"/>
      <c r="I46" s="483" t="s">
        <v>227</v>
      </c>
      <c r="J46" s="249" t="s">
        <v>269</v>
      </c>
      <c r="K46" s="53"/>
      <c r="L46" s="53"/>
      <c r="M46" s="53"/>
      <c r="N46" s="561"/>
    </row>
    <row r="47" spans="1:14">
      <c r="A47" s="573"/>
      <c r="B47" s="481" t="s">
        <v>223</v>
      </c>
      <c r="C47" s="76"/>
      <c r="D47" s="32"/>
      <c r="E47" s="77"/>
      <c r="F47" s="78"/>
      <c r="G47" s="79"/>
      <c r="H47" s="80"/>
      <c r="I47" s="216"/>
      <c r="J47" s="249"/>
      <c r="K47" s="53"/>
      <c r="L47" s="53"/>
      <c r="M47" s="53"/>
      <c r="N47" s="561"/>
    </row>
    <row r="48" spans="1:14" ht="15.5" thickBot="1">
      <c r="A48" s="574"/>
      <c r="B48" s="482" t="s">
        <v>225</v>
      </c>
      <c r="C48" s="82"/>
      <c r="D48" s="34"/>
      <c r="E48" s="83"/>
      <c r="F48" s="83"/>
      <c r="G48" s="84"/>
      <c r="H48" s="85"/>
      <c r="I48" s="243"/>
      <c r="J48" s="250"/>
      <c r="K48" s="19"/>
      <c r="L48" s="19"/>
      <c r="M48" s="19"/>
      <c r="N48" s="562"/>
    </row>
    <row r="49" spans="1:14" ht="15.5" thickBot="1">
      <c r="A49" s="247"/>
      <c r="B49" s="206"/>
      <c r="C49" s="76"/>
      <c r="D49" s="32"/>
      <c r="E49" s="214"/>
      <c r="F49" s="78"/>
      <c r="G49" s="210"/>
      <c r="H49" s="211"/>
      <c r="I49" s="216"/>
      <c r="J49" s="249"/>
      <c r="K49" s="95"/>
      <c r="L49" s="95"/>
      <c r="M49" s="95"/>
      <c r="N49" s="217"/>
    </row>
    <row r="50" spans="1:14" ht="15.65" customHeight="1">
      <c r="A50" s="563" t="s">
        <v>334</v>
      </c>
      <c r="B50" s="500"/>
      <c r="C50" s="29"/>
      <c r="D50" s="200" t="s">
        <v>229</v>
      </c>
      <c r="E50" s="73"/>
      <c r="F50" s="73"/>
      <c r="G50" s="74"/>
      <c r="H50" s="75"/>
      <c r="I50" s="566" t="s">
        <v>234</v>
      </c>
      <c r="J50" s="569" t="s">
        <v>228</v>
      </c>
      <c r="K50" s="75"/>
      <c r="L50" s="75"/>
      <c r="M50" s="75"/>
      <c r="N50" s="560">
        <v>1</v>
      </c>
    </row>
    <row r="51" spans="1:14">
      <c r="A51" s="564"/>
      <c r="B51" s="501" t="s">
        <v>230</v>
      </c>
      <c r="C51" s="209" t="s">
        <v>231</v>
      </c>
      <c r="D51" s="213" t="s">
        <v>100</v>
      </c>
      <c r="E51" s="214">
        <v>2</v>
      </c>
      <c r="F51" s="78" t="s">
        <v>150</v>
      </c>
      <c r="G51" s="210">
        <v>770</v>
      </c>
      <c r="H51" s="80">
        <f>E51*G51</f>
        <v>1540</v>
      </c>
      <c r="I51" s="567"/>
      <c r="J51" s="570"/>
      <c r="K51" s="53"/>
      <c r="L51" s="53"/>
      <c r="M51" s="53"/>
      <c r="N51" s="561"/>
    </row>
    <row r="52" spans="1:14" ht="16.5">
      <c r="A52" s="564"/>
      <c r="B52" s="502" t="s">
        <v>100</v>
      </c>
      <c r="C52" s="76"/>
      <c r="D52" s="244" t="s">
        <v>169</v>
      </c>
      <c r="E52" s="77"/>
      <c r="F52" s="78"/>
      <c r="G52" s="79"/>
      <c r="H52" s="80"/>
      <c r="I52" s="567"/>
      <c r="J52" s="570"/>
      <c r="K52" s="53"/>
      <c r="L52" s="53"/>
      <c r="M52" s="53"/>
      <c r="N52" s="561"/>
    </row>
    <row r="53" spans="1:14" ht="16.5">
      <c r="A53" s="564"/>
      <c r="B53" s="503" t="s">
        <v>232</v>
      </c>
      <c r="C53" s="76"/>
      <c r="D53" s="32" t="s">
        <v>233</v>
      </c>
      <c r="E53" s="77"/>
      <c r="F53" s="78"/>
      <c r="G53" s="79"/>
      <c r="H53" s="80"/>
      <c r="I53" s="567"/>
      <c r="J53" s="570"/>
      <c r="K53" s="53"/>
      <c r="L53" s="53"/>
      <c r="M53" s="53"/>
      <c r="N53" s="561"/>
    </row>
    <row r="54" spans="1:14" ht="15.5" thickBot="1">
      <c r="A54" s="564"/>
      <c r="B54" s="504" t="s">
        <v>149</v>
      </c>
      <c r="C54" s="82"/>
      <c r="D54" s="34"/>
      <c r="E54" s="83"/>
      <c r="F54" s="83"/>
      <c r="G54" s="84"/>
      <c r="H54" s="85"/>
      <c r="I54" s="567"/>
      <c r="J54" s="570"/>
      <c r="K54" s="53"/>
      <c r="L54" s="53"/>
      <c r="M54" s="53"/>
      <c r="N54" s="561"/>
    </row>
    <row r="55" spans="1:14" ht="15.5" thickBot="1">
      <c r="A55" s="564"/>
      <c r="B55" s="505"/>
      <c r="C55" s="442"/>
      <c r="D55" s="443"/>
      <c r="E55" s="444"/>
      <c r="F55" s="445"/>
      <c r="G55" s="446"/>
      <c r="H55" s="447"/>
      <c r="I55" s="567"/>
      <c r="J55" s="570"/>
      <c r="K55" s="53"/>
      <c r="L55" s="53"/>
      <c r="M55" s="53"/>
      <c r="N55" s="561"/>
    </row>
    <row r="56" spans="1:14" ht="18.5" customHeight="1">
      <c r="A56" s="564"/>
      <c r="B56" s="509" t="s">
        <v>167</v>
      </c>
      <c r="C56" s="433"/>
      <c r="D56" s="434" t="s">
        <v>238</v>
      </c>
      <c r="E56" s="435">
        <v>1</v>
      </c>
      <c r="F56" s="201" t="s">
        <v>85</v>
      </c>
      <c r="G56" s="215">
        <v>4000</v>
      </c>
      <c r="H56" s="215">
        <f t="shared" ref="H56:H57" si="7">E56*G56</f>
        <v>4000</v>
      </c>
      <c r="I56" s="567"/>
      <c r="J56" s="570"/>
      <c r="K56" s="53"/>
      <c r="L56" s="498"/>
      <c r="M56" s="53"/>
      <c r="N56" s="561"/>
    </row>
    <row r="57" spans="1:14" ht="19.5" customHeight="1" thickBot="1">
      <c r="A57" s="564"/>
      <c r="B57" s="510" t="s">
        <v>236</v>
      </c>
      <c r="C57" s="309"/>
      <c r="D57" s="438" t="s">
        <v>244</v>
      </c>
      <c r="E57" s="439">
        <v>1</v>
      </c>
      <c r="F57" s="360" t="s">
        <v>85</v>
      </c>
      <c r="G57" s="85">
        <v>4000</v>
      </c>
      <c r="H57" s="85">
        <f t="shared" si="7"/>
        <v>4000</v>
      </c>
      <c r="I57" s="567"/>
      <c r="J57" s="570"/>
      <c r="K57" s="53"/>
      <c r="L57" s="498"/>
      <c r="M57" s="53"/>
      <c r="N57" s="561"/>
    </row>
    <row r="58" spans="1:14" ht="15.65" customHeight="1">
      <c r="A58" s="564"/>
      <c r="B58" s="500"/>
      <c r="C58" s="29"/>
      <c r="D58" s="200" t="s">
        <v>197</v>
      </c>
      <c r="E58" s="73"/>
      <c r="F58" s="73"/>
      <c r="G58" s="74"/>
      <c r="H58" s="75"/>
      <c r="I58" s="567"/>
      <c r="J58" s="570"/>
      <c r="K58" s="75"/>
      <c r="L58" s="75"/>
      <c r="M58" s="75"/>
      <c r="N58" s="561"/>
    </row>
    <row r="59" spans="1:14" ht="17.5" customHeight="1">
      <c r="A59" s="564"/>
      <c r="B59" s="508" t="s">
        <v>239</v>
      </c>
      <c r="C59" s="209" t="s">
        <v>240</v>
      </c>
      <c r="D59" s="484" t="s">
        <v>241</v>
      </c>
      <c r="E59" s="485">
        <v>24</v>
      </c>
      <c r="F59" s="486" t="s">
        <v>146</v>
      </c>
      <c r="G59" s="497">
        <v>390</v>
      </c>
      <c r="H59" s="497">
        <f t="shared" ref="H59:H60" si="8">E59*G59</f>
        <v>9360</v>
      </c>
      <c r="I59" s="567"/>
      <c r="J59" s="570"/>
      <c r="K59" s="53"/>
      <c r="L59" s="498"/>
      <c r="M59" s="53"/>
      <c r="N59" s="561"/>
    </row>
    <row r="60" spans="1:14" ht="17.5" customHeight="1" thickBot="1">
      <c r="A60" s="564"/>
      <c r="B60" s="506"/>
      <c r="C60" s="76" t="s">
        <v>161</v>
      </c>
      <c r="D60" s="32" t="s">
        <v>242</v>
      </c>
      <c r="E60" s="487">
        <v>81</v>
      </c>
      <c r="F60" s="488" t="s">
        <v>146</v>
      </c>
      <c r="G60" s="489">
        <v>390</v>
      </c>
      <c r="H60" s="489">
        <f t="shared" si="8"/>
        <v>31590</v>
      </c>
      <c r="I60" s="567"/>
      <c r="J60" s="570"/>
      <c r="K60" s="53"/>
      <c r="L60" s="498"/>
      <c r="M60" s="53"/>
      <c r="N60" s="561"/>
    </row>
    <row r="61" spans="1:14" ht="15.65" customHeight="1">
      <c r="A61" s="564"/>
      <c r="B61" s="500"/>
      <c r="C61" s="29"/>
      <c r="D61" s="200" t="s">
        <v>266</v>
      </c>
      <c r="E61" s="73"/>
      <c r="F61" s="73"/>
      <c r="G61" s="74"/>
      <c r="H61" s="75"/>
      <c r="I61" s="567"/>
      <c r="J61" s="570"/>
      <c r="K61" s="75"/>
      <c r="L61" s="75"/>
      <c r="M61" s="75"/>
      <c r="N61" s="561"/>
    </row>
    <row r="62" spans="1:14" ht="17.5" customHeight="1">
      <c r="A62" s="564"/>
      <c r="B62" s="506" t="s">
        <v>246</v>
      </c>
      <c r="C62" s="76" t="s">
        <v>161</v>
      </c>
      <c r="D62" s="32" t="s">
        <v>247</v>
      </c>
      <c r="E62" s="487">
        <v>72</v>
      </c>
      <c r="F62" s="488" t="s">
        <v>146</v>
      </c>
      <c r="G62" s="489">
        <v>10</v>
      </c>
      <c r="H62" s="489">
        <f t="shared" ref="H62" si="9">E62*G62</f>
        <v>720</v>
      </c>
      <c r="I62" s="567"/>
      <c r="J62" s="570"/>
      <c r="K62" s="53"/>
      <c r="L62" s="498"/>
      <c r="M62" s="53"/>
      <c r="N62" s="561"/>
    </row>
    <row r="63" spans="1:14" ht="17.5" customHeight="1">
      <c r="A63" s="564"/>
      <c r="B63" s="506" t="s">
        <v>248</v>
      </c>
      <c r="C63" s="76" t="s">
        <v>250</v>
      </c>
      <c r="D63" s="32" t="s">
        <v>251</v>
      </c>
      <c r="E63" s="487">
        <v>18</v>
      </c>
      <c r="F63" s="488" t="s">
        <v>265</v>
      </c>
      <c r="G63" s="489">
        <v>18</v>
      </c>
      <c r="H63" s="489">
        <f t="shared" ref="H63:H64" si="10">E63*G63</f>
        <v>324</v>
      </c>
      <c r="I63" s="567"/>
      <c r="J63" s="570"/>
      <c r="K63" s="53"/>
      <c r="L63" s="498"/>
      <c r="M63" s="53"/>
      <c r="N63" s="561"/>
    </row>
    <row r="64" spans="1:14" ht="19" customHeight="1">
      <c r="A64" s="564"/>
      <c r="B64" s="506" t="s">
        <v>252</v>
      </c>
      <c r="C64" s="76" t="s">
        <v>249</v>
      </c>
      <c r="D64" s="32" t="s">
        <v>253</v>
      </c>
      <c r="E64" s="487">
        <v>27</v>
      </c>
      <c r="F64" s="488" t="s">
        <v>265</v>
      </c>
      <c r="G64" s="489">
        <v>22</v>
      </c>
      <c r="H64" s="489">
        <f t="shared" si="10"/>
        <v>594</v>
      </c>
      <c r="I64" s="567"/>
      <c r="J64" s="570"/>
      <c r="K64" s="53"/>
      <c r="L64" s="498"/>
      <c r="M64" s="53"/>
      <c r="N64" s="561"/>
    </row>
    <row r="65" spans="1:14" ht="19" customHeight="1">
      <c r="A65" s="564"/>
      <c r="B65" s="506" t="s">
        <v>257</v>
      </c>
      <c r="C65" s="76" t="s">
        <v>254</v>
      </c>
      <c r="D65" s="494" t="s">
        <v>256</v>
      </c>
      <c r="E65" s="487">
        <v>50</v>
      </c>
      <c r="F65" s="488" t="s">
        <v>148</v>
      </c>
      <c r="G65" s="489">
        <v>57</v>
      </c>
      <c r="H65" s="489">
        <f t="shared" ref="H65:H67" si="11">E65*G65</f>
        <v>2850</v>
      </c>
      <c r="I65" s="567"/>
      <c r="J65" s="570"/>
      <c r="K65" s="53"/>
      <c r="L65" s="498"/>
      <c r="M65" s="53"/>
      <c r="N65" s="561"/>
    </row>
    <row r="66" spans="1:14" ht="17.5" customHeight="1" thickBot="1">
      <c r="A66" s="564"/>
      <c r="B66" s="507"/>
      <c r="C66" s="82" t="s">
        <v>255</v>
      </c>
      <c r="D66" s="34"/>
      <c r="E66" s="490">
        <v>50</v>
      </c>
      <c r="F66" s="491" t="s">
        <v>148</v>
      </c>
      <c r="G66" s="492">
        <v>57</v>
      </c>
      <c r="H66" s="492">
        <f t="shared" si="11"/>
        <v>2850</v>
      </c>
      <c r="I66" s="567"/>
      <c r="J66" s="570"/>
      <c r="K66" s="53"/>
      <c r="L66" s="498"/>
      <c r="M66" s="53"/>
      <c r="N66" s="561"/>
    </row>
    <row r="67" spans="1:14" ht="19" customHeight="1">
      <c r="A67" s="564"/>
      <c r="B67" s="508" t="s">
        <v>258</v>
      </c>
      <c r="C67" s="209" t="s">
        <v>259</v>
      </c>
      <c r="D67" s="484" t="s">
        <v>268</v>
      </c>
      <c r="E67" s="485">
        <v>23</v>
      </c>
      <c r="F67" s="486" t="s">
        <v>146</v>
      </c>
      <c r="G67" s="497">
        <v>113</v>
      </c>
      <c r="H67" s="497">
        <f t="shared" si="11"/>
        <v>2599</v>
      </c>
      <c r="I67" s="567"/>
      <c r="J67" s="570"/>
      <c r="K67" s="53"/>
      <c r="L67" s="498"/>
      <c r="M67" s="53"/>
      <c r="N67" s="561"/>
    </row>
    <row r="68" spans="1:14" ht="19" customHeight="1">
      <c r="A68" s="564"/>
      <c r="B68" s="508" t="s">
        <v>270</v>
      </c>
      <c r="C68" s="209" t="s">
        <v>259</v>
      </c>
      <c r="D68" s="484" t="s">
        <v>268</v>
      </c>
      <c r="E68" s="485">
        <v>23</v>
      </c>
      <c r="F68" s="486" t="s">
        <v>146</v>
      </c>
      <c r="G68" s="497">
        <v>45</v>
      </c>
      <c r="H68" s="497">
        <f t="shared" ref="H68" si="12">E68*G68</f>
        <v>1035</v>
      </c>
      <c r="I68" s="567"/>
      <c r="J68" s="570"/>
      <c r="K68" s="53"/>
      <c r="L68" s="498"/>
      <c r="M68" s="53"/>
      <c r="N68" s="561"/>
    </row>
    <row r="69" spans="1:14" ht="19" customHeight="1">
      <c r="A69" s="564"/>
      <c r="B69" s="506" t="s">
        <v>260</v>
      </c>
      <c r="C69" s="76" t="s">
        <v>261</v>
      </c>
      <c r="D69" s="32" t="s">
        <v>267</v>
      </c>
      <c r="E69" s="487">
        <v>23</v>
      </c>
      <c r="F69" s="488" t="s">
        <v>146</v>
      </c>
      <c r="G69" s="489">
        <v>100</v>
      </c>
      <c r="H69" s="489">
        <f t="shared" ref="H69" si="13">E69*G69</f>
        <v>2300</v>
      </c>
      <c r="I69" s="567"/>
      <c r="J69" s="570"/>
      <c r="K69" s="53"/>
      <c r="L69" s="498"/>
      <c r="M69" s="53"/>
      <c r="N69" s="561"/>
    </row>
    <row r="70" spans="1:14" ht="19" customHeight="1" thickBot="1">
      <c r="A70" s="565"/>
      <c r="B70" s="507" t="s">
        <v>262</v>
      </c>
      <c r="C70" s="82" t="s">
        <v>263</v>
      </c>
      <c r="D70" s="34" t="s">
        <v>267</v>
      </c>
      <c r="E70" s="490">
        <v>20</v>
      </c>
      <c r="F70" s="491" t="s">
        <v>146</v>
      </c>
      <c r="G70" s="492">
        <v>250</v>
      </c>
      <c r="H70" s="492">
        <f t="shared" ref="H70" si="14">E70*G70</f>
        <v>5000</v>
      </c>
      <c r="I70" s="568"/>
      <c r="J70" s="571"/>
      <c r="K70" s="19"/>
      <c r="L70" s="499"/>
      <c r="M70" s="19"/>
      <c r="N70" s="562"/>
    </row>
    <row r="71" spans="1:14" ht="19" customHeight="1" thickBot="1">
      <c r="A71" s="495"/>
      <c r="B71" s="496"/>
      <c r="C71" s="209"/>
      <c r="D71" s="484"/>
      <c r="E71" s="485"/>
      <c r="F71" s="486"/>
      <c r="G71" s="497"/>
      <c r="H71" s="497"/>
      <c r="I71" s="216"/>
      <c r="J71" s="89"/>
      <c r="K71" s="16"/>
      <c r="L71" s="448"/>
      <c r="M71" s="16"/>
      <c r="N71" s="470"/>
    </row>
    <row r="72" spans="1:14">
      <c r="A72" s="468"/>
      <c r="B72" s="340"/>
      <c r="C72" s="200" t="s">
        <v>335</v>
      </c>
      <c r="D72" s="341"/>
      <c r="E72" s="469">
        <f>SUMIF($F$8:$F$70,"M.",$E$8:$E$70)</f>
        <v>638.9</v>
      </c>
      <c r="F72" s="201" t="s">
        <v>148</v>
      </c>
      <c r="G72" s="436"/>
      <c r="H72" s="545">
        <f>SUMIF($F$8:$F$70,"M.",$H$8:$H$70)</f>
        <v>619504</v>
      </c>
      <c r="I72" s="93"/>
      <c r="J72" s="94"/>
      <c r="K72" s="95"/>
      <c r="L72" s="95"/>
      <c r="M72" s="95"/>
      <c r="N72" s="96"/>
    </row>
    <row r="73" spans="1:14">
      <c r="A73" s="53"/>
      <c r="B73" s="21"/>
      <c r="C73" s="53"/>
      <c r="D73" s="97"/>
      <c r="E73" s="92">
        <f>SUMIF($F$8:$F$70,"PCS.",$E$8:$E$70)</f>
        <v>391</v>
      </c>
      <c r="F73" s="90" t="s">
        <v>85</v>
      </c>
      <c r="G73" s="53"/>
      <c r="H73" s="546">
        <f>SUMIF($F$8:$F$70,"PCS.",$H$8:$H$70)</f>
        <v>245104</v>
      </c>
      <c r="I73" s="53"/>
      <c r="J73" s="98"/>
      <c r="K73" s="53"/>
      <c r="L73" s="53"/>
      <c r="M73" s="53"/>
      <c r="N73" s="99"/>
    </row>
    <row r="74" spans="1:14">
      <c r="A74" s="53"/>
      <c r="B74" s="21"/>
      <c r="C74" s="53"/>
      <c r="D74" s="100"/>
      <c r="E74" s="92">
        <f>SUMIF($F$8:$F$70,"SET.",$E$8:$E$70)</f>
        <v>45</v>
      </c>
      <c r="F74" s="437" t="s">
        <v>164</v>
      </c>
      <c r="G74" s="91"/>
      <c r="H74" s="546">
        <f>SUMIF($F$8:$F$70,"SET.",$H$8:$H$70)</f>
        <v>918</v>
      </c>
      <c r="I74" s="53"/>
      <c r="J74" s="98"/>
      <c r="K74" s="53"/>
      <c r="L74" s="53"/>
      <c r="M74" s="53"/>
      <c r="N74" s="99"/>
    </row>
    <row r="75" spans="1:14" ht="14" customHeight="1" thickBot="1">
      <c r="A75" s="367"/>
      <c r="B75" s="39" t="s">
        <v>145</v>
      </c>
      <c r="C75" s="113"/>
      <c r="D75" s="113"/>
      <c r="E75" s="39"/>
      <c r="F75" s="368"/>
      <c r="G75" s="86" t="s">
        <v>165</v>
      </c>
      <c r="H75" s="547">
        <f>SUM(H9:H71)</f>
        <v>865526</v>
      </c>
      <c r="I75" s="243"/>
      <c r="J75" s="370"/>
      <c r="K75" s="371"/>
      <c r="L75" s="372"/>
      <c r="M75" s="241"/>
      <c r="N75" s="373"/>
    </row>
    <row r="79" spans="1:14">
      <c r="C79" s="3"/>
    </row>
    <row r="80" spans="1:14">
      <c r="C80" s="3"/>
    </row>
    <row r="127" spans="1:1">
      <c r="A127" s="7" t="s">
        <v>99</v>
      </c>
    </row>
  </sheetData>
  <mergeCells count="18">
    <mergeCell ref="A2:H2"/>
    <mergeCell ref="F4:G4"/>
    <mergeCell ref="A32:A36"/>
    <mergeCell ref="N32:N36"/>
    <mergeCell ref="N8:N18"/>
    <mergeCell ref="A20:A24"/>
    <mergeCell ref="A8:A18"/>
    <mergeCell ref="N20:N24"/>
    <mergeCell ref="A26:A30"/>
    <mergeCell ref="N26:N30"/>
    <mergeCell ref="A38:A42"/>
    <mergeCell ref="N38:N42"/>
    <mergeCell ref="A50:A70"/>
    <mergeCell ref="I50:I70"/>
    <mergeCell ref="J50:J70"/>
    <mergeCell ref="N50:N70"/>
    <mergeCell ref="A44:A48"/>
    <mergeCell ref="N44:N48"/>
  </mergeCells>
  <phoneticPr fontId="13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E03B-A659-4BB4-A6CD-D3584EFCE196}">
  <sheetPr>
    <pageSetUpPr fitToPage="1"/>
  </sheetPr>
  <dimension ref="A1:O147"/>
  <sheetViews>
    <sheetView view="pageBreakPreview" topLeftCell="A25" zoomScale="70" zoomScaleNormal="60" zoomScaleSheetLayoutView="70" workbookViewId="0">
      <selection activeCell="I59" sqref="I59"/>
    </sheetView>
  </sheetViews>
  <sheetFormatPr defaultRowHeight="15"/>
  <cols>
    <col min="1" max="1" width="7.90625" customWidth="1"/>
    <col min="2" max="2" width="31.90625" style="184" customWidth="1"/>
    <col min="3" max="3" width="27.453125" style="251" customWidth="1"/>
    <col min="4" max="4" width="69.1796875" customWidth="1"/>
    <col min="5" max="5" width="10.453125" customWidth="1"/>
    <col min="6" max="6" width="5.6328125" style="251" customWidth="1"/>
    <col min="7" max="7" width="15.453125" customWidth="1"/>
    <col min="8" max="8" width="13.90625" style="251" customWidth="1"/>
    <col min="9" max="9" width="24.453125" customWidth="1"/>
    <col min="10" max="10" width="14.453125" customWidth="1"/>
    <col min="11" max="11" width="11.453125" style="251" customWidth="1"/>
    <col min="12" max="12" width="25.36328125" style="431" customWidth="1"/>
    <col min="13" max="13" width="10.08984375" style="251" customWidth="1"/>
    <col min="14" max="14" width="7" style="251" customWidth="1"/>
  </cols>
  <sheetData>
    <row r="1" spans="1:14">
      <c r="A1" s="152"/>
      <c r="I1" s="152"/>
      <c r="J1" s="152"/>
      <c r="K1" s="5"/>
      <c r="L1" s="252"/>
      <c r="M1" s="5"/>
      <c r="N1" s="5"/>
    </row>
    <row r="2" spans="1:14" ht="18" thickBot="1">
      <c r="A2" s="585" t="s">
        <v>98</v>
      </c>
      <c r="B2" s="585"/>
      <c r="C2" s="585"/>
      <c r="D2" s="585"/>
      <c r="E2" s="585"/>
      <c r="F2" s="585"/>
      <c r="G2" s="585"/>
      <c r="H2" s="585"/>
      <c r="I2" s="175"/>
      <c r="J2" s="3"/>
      <c r="K2" s="7"/>
      <c r="L2" s="253"/>
      <c r="M2" s="39"/>
      <c r="N2" s="39"/>
    </row>
    <row r="3" spans="1:14" ht="18" thickBot="1">
      <c r="A3" s="186"/>
      <c r="B3" s="187"/>
      <c r="C3" s="186"/>
      <c r="D3" s="186"/>
      <c r="E3" s="186"/>
      <c r="F3" s="186"/>
      <c r="G3" s="186"/>
      <c r="H3" s="186"/>
      <c r="I3" s="175"/>
      <c r="J3" s="3"/>
      <c r="K3" s="7"/>
      <c r="L3" s="253"/>
      <c r="M3" s="39"/>
      <c r="N3" s="39"/>
    </row>
    <row r="4" spans="1:14" ht="21.75" customHeight="1" thickBot="1">
      <c r="A4" s="254" t="s">
        <v>36</v>
      </c>
      <c r="B4" s="24" t="s">
        <v>96</v>
      </c>
      <c r="C4" s="42" t="s">
        <v>86</v>
      </c>
      <c r="D4" s="23" t="s">
        <v>87</v>
      </c>
      <c r="E4" s="42" t="s">
        <v>88</v>
      </c>
      <c r="F4" s="586" t="s">
        <v>89</v>
      </c>
      <c r="G4" s="587"/>
      <c r="H4" s="43" t="s">
        <v>90</v>
      </c>
      <c r="I4" s="44" t="s">
        <v>91</v>
      </c>
      <c r="J4" s="45" t="s">
        <v>92</v>
      </c>
      <c r="K4" s="46" t="s">
        <v>93</v>
      </c>
      <c r="L4" s="255" t="s">
        <v>162</v>
      </c>
      <c r="M4" s="256" t="s">
        <v>94</v>
      </c>
      <c r="N4" s="257" t="s">
        <v>95</v>
      </c>
    </row>
    <row r="5" spans="1:14">
      <c r="A5" s="258"/>
      <c r="B5" s="50"/>
      <c r="C5" s="51"/>
      <c r="D5" s="52"/>
      <c r="E5" s="59"/>
      <c r="F5" s="51"/>
      <c r="G5" s="100"/>
      <c r="H5" s="53"/>
      <c r="I5" s="259"/>
      <c r="J5" s="260"/>
      <c r="K5" s="55"/>
      <c r="L5" s="261"/>
      <c r="M5" s="262"/>
      <c r="N5" s="263"/>
    </row>
    <row r="6" spans="1:14">
      <c r="A6" s="264"/>
      <c r="B6" s="265" t="s">
        <v>97</v>
      </c>
      <c r="C6" s="66"/>
      <c r="D6" s="67" t="str">
        <f>'[4]NARITA '!D6</f>
        <v>FABRIC &amp; PARTS FOR WEAR &amp; SAMPLE CLOTHES</v>
      </c>
      <c r="E6" s="266"/>
      <c r="F6" s="267"/>
      <c r="G6" s="268" t="str">
        <f>'[5]shipper master'!C48</f>
        <v>F.O.B. TOKYO IN YEN</v>
      </c>
      <c r="H6" s="20"/>
      <c r="I6" s="269"/>
      <c r="J6" s="270"/>
      <c r="K6" s="62"/>
      <c r="L6" s="271"/>
      <c r="M6" s="272"/>
      <c r="N6" s="273"/>
    </row>
    <row r="7" spans="1:14">
      <c r="A7" s="264"/>
      <c r="B7" s="65"/>
      <c r="C7" s="66"/>
      <c r="D7" s="67" t="s">
        <v>163</v>
      </c>
      <c r="E7" s="67"/>
      <c r="F7" s="66"/>
      <c r="G7" s="268"/>
      <c r="H7" s="20"/>
      <c r="I7" s="274"/>
      <c r="J7" s="20"/>
      <c r="K7" s="275"/>
      <c r="L7" s="276"/>
      <c r="M7" s="277"/>
      <c r="N7" s="273"/>
    </row>
    <row r="8" spans="1:14" ht="15.5" thickBot="1">
      <c r="A8" s="278"/>
      <c r="B8" s="279"/>
      <c r="C8" s="279"/>
      <c r="D8" s="280"/>
      <c r="E8" s="281"/>
      <c r="F8" s="16"/>
      <c r="G8" s="88"/>
      <c r="H8" s="282"/>
      <c r="I8" s="283"/>
      <c r="J8" s="284"/>
      <c r="K8" s="285"/>
      <c r="L8" s="284"/>
      <c r="M8" s="286"/>
      <c r="N8" s="287"/>
    </row>
    <row r="9" spans="1:14" ht="15" customHeight="1" thickBot="1">
      <c r="A9" s="588" t="s">
        <v>336</v>
      </c>
      <c r="B9" s="525"/>
      <c r="C9" s="526"/>
      <c r="D9" s="288" t="s">
        <v>282</v>
      </c>
      <c r="E9" s="289"/>
      <c r="F9" s="290"/>
      <c r="G9" s="291"/>
      <c r="H9" s="292"/>
      <c r="I9" s="591" t="s">
        <v>322</v>
      </c>
      <c r="J9" s="293"/>
      <c r="K9" s="294"/>
      <c r="L9" s="294"/>
      <c r="M9" s="582"/>
      <c r="N9" s="582">
        <v>4</v>
      </c>
    </row>
    <row r="10" spans="1:14">
      <c r="A10" s="589"/>
      <c r="B10" s="295" t="s">
        <v>275</v>
      </c>
      <c r="C10" s="94"/>
      <c r="D10" s="296" t="s">
        <v>280</v>
      </c>
      <c r="E10" s="297"/>
      <c r="F10" s="298"/>
      <c r="G10" s="299"/>
      <c r="H10" s="300"/>
      <c r="I10" s="592"/>
      <c r="J10" s="301"/>
      <c r="K10" s="302"/>
      <c r="L10" s="302"/>
      <c r="M10" s="583"/>
      <c r="N10" s="583"/>
    </row>
    <row r="11" spans="1:14">
      <c r="A11" s="589"/>
      <c r="B11" s="295"/>
      <c r="C11" s="94"/>
      <c r="D11" s="296" t="s">
        <v>276</v>
      </c>
      <c r="E11" s="297">
        <v>28</v>
      </c>
      <c r="F11" s="298" t="s">
        <v>146</v>
      </c>
      <c r="G11" s="299">
        <v>71</v>
      </c>
      <c r="H11" s="300">
        <v>1988</v>
      </c>
      <c r="I11" s="592"/>
      <c r="J11" s="301"/>
      <c r="K11" s="302"/>
      <c r="L11" s="302"/>
      <c r="M11" s="583"/>
      <c r="N11" s="583"/>
    </row>
    <row r="12" spans="1:14" ht="16" customHeight="1">
      <c r="A12" s="589"/>
      <c r="B12" s="295"/>
      <c r="C12" s="94"/>
      <c r="D12" s="296" t="s">
        <v>277</v>
      </c>
      <c r="E12" s="297">
        <v>24</v>
      </c>
      <c r="F12" s="298" t="s">
        <v>146</v>
      </c>
      <c r="G12" s="299">
        <v>74</v>
      </c>
      <c r="H12" s="300">
        <v>1776</v>
      </c>
      <c r="I12" s="592"/>
      <c r="J12" s="301"/>
      <c r="K12" s="302"/>
      <c r="L12" s="302"/>
      <c r="M12" s="583"/>
      <c r="N12" s="583"/>
    </row>
    <row r="13" spans="1:14" ht="16.25" customHeight="1" thickBot="1">
      <c r="A13" s="589"/>
      <c r="B13" s="321" t="s">
        <v>278</v>
      </c>
      <c r="C13" s="322" t="s">
        <v>279</v>
      </c>
      <c r="D13" s="37" t="s">
        <v>281</v>
      </c>
      <c r="E13" s="323">
        <v>170</v>
      </c>
      <c r="F13" s="324" t="s">
        <v>85</v>
      </c>
      <c r="G13" s="325">
        <v>12</v>
      </c>
      <c r="H13" s="511">
        <v>2040</v>
      </c>
      <c r="I13" s="592"/>
      <c r="J13" s="301"/>
      <c r="K13" s="302"/>
      <c r="L13" s="302"/>
      <c r="M13" s="583"/>
      <c r="N13" s="583"/>
    </row>
    <row r="14" spans="1:14" ht="15.5" thickBot="1">
      <c r="A14" s="589"/>
      <c r="B14" s="449"/>
      <c r="C14" s="331"/>
      <c r="D14" s="332"/>
      <c r="E14" s="333"/>
      <c r="F14" s="334"/>
      <c r="G14" s="450"/>
      <c r="H14" s="456"/>
      <c r="I14" s="592"/>
      <c r="J14" s="301"/>
      <c r="K14" s="302"/>
      <c r="L14" s="302"/>
      <c r="M14" s="583"/>
      <c r="N14" s="583"/>
    </row>
    <row r="15" spans="1:14" ht="15.5" thickBot="1">
      <c r="A15" s="589"/>
      <c r="B15" s="527"/>
      <c r="C15" s="528"/>
      <c r="D15" s="288" t="s">
        <v>288</v>
      </c>
      <c r="E15" s="452"/>
      <c r="F15" s="453"/>
      <c r="G15" s="454"/>
      <c r="H15" s="455"/>
      <c r="I15" s="592"/>
      <c r="J15" s="302"/>
      <c r="K15" s="302"/>
      <c r="L15" s="302"/>
      <c r="M15" s="583"/>
      <c r="N15" s="583"/>
    </row>
    <row r="16" spans="1:14" ht="13.5" customHeight="1">
      <c r="A16" s="589"/>
      <c r="B16" s="512">
        <v>1000</v>
      </c>
      <c r="C16" s="513"/>
      <c r="D16" s="514" t="s">
        <v>273</v>
      </c>
      <c r="E16" s="515"/>
      <c r="F16" s="347"/>
      <c r="G16" s="516"/>
      <c r="H16" s="517"/>
      <c r="I16" s="592"/>
      <c r="J16" s="301"/>
      <c r="K16" s="302"/>
      <c r="L16" s="302"/>
      <c r="M16" s="583"/>
      <c r="N16" s="583"/>
    </row>
    <row r="17" spans="1:14">
      <c r="A17" s="589"/>
      <c r="B17" s="303"/>
      <c r="C17" s="98"/>
      <c r="D17" s="36" t="s">
        <v>283</v>
      </c>
      <c r="E17" s="304">
        <v>52</v>
      </c>
      <c r="F17" s="305" t="s">
        <v>150</v>
      </c>
      <c r="G17" s="306">
        <v>550</v>
      </c>
      <c r="H17" s="300">
        <v>28600</v>
      </c>
      <c r="I17" s="592"/>
      <c r="J17" s="301"/>
      <c r="K17" s="302"/>
      <c r="L17" s="302"/>
      <c r="M17" s="583"/>
      <c r="N17" s="583"/>
    </row>
    <row r="18" spans="1:14">
      <c r="A18" s="589"/>
      <c r="B18" s="310" t="s">
        <v>284</v>
      </c>
      <c r="C18" s="311"/>
      <c r="D18" s="312" t="s">
        <v>289</v>
      </c>
      <c r="E18" s="317"/>
      <c r="F18" s="319"/>
      <c r="G18" s="318"/>
      <c r="H18" s="456"/>
      <c r="I18" s="592"/>
      <c r="J18" s="301"/>
      <c r="K18" s="302"/>
      <c r="L18" s="302"/>
      <c r="M18" s="583"/>
      <c r="N18" s="583"/>
    </row>
    <row r="19" spans="1:14" ht="16.25" customHeight="1">
      <c r="A19" s="589"/>
      <c r="B19" s="303"/>
      <c r="C19" s="98"/>
      <c r="D19" s="36" t="s">
        <v>285</v>
      </c>
      <c r="E19" s="304">
        <v>66</v>
      </c>
      <c r="F19" s="305" t="s">
        <v>146</v>
      </c>
      <c r="G19" s="306">
        <v>55</v>
      </c>
      <c r="H19" s="307">
        <v>3630</v>
      </c>
      <c r="I19" s="592"/>
      <c r="J19" s="301"/>
      <c r="K19" s="302"/>
      <c r="L19" s="302"/>
      <c r="M19" s="583"/>
      <c r="N19" s="583"/>
    </row>
    <row r="20" spans="1:14" ht="16.25" customHeight="1" thickBot="1">
      <c r="A20" s="589"/>
      <c r="B20" s="518" t="s">
        <v>286</v>
      </c>
      <c r="C20" s="519" t="s">
        <v>287</v>
      </c>
      <c r="D20" s="520" t="s">
        <v>290</v>
      </c>
      <c r="E20" s="521">
        <v>100</v>
      </c>
      <c r="F20" s="522" t="s">
        <v>146</v>
      </c>
      <c r="G20" s="523">
        <v>35</v>
      </c>
      <c r="H20" s="511">
        <v>3500</v>
      </c>
      <c r="I20" s="592"/>
      <c r="J20" s="301"/>
      <c r="K20" s="302"/>
      <c r="L20" s="302"/>
      <c r="M20" s="583"/>
      <c r="N20" s="583"/>
    </row>
    <row r="21" spans="1:14" ht="16.25" customHeight="1" thickBot="1">
      <c r="A21" s="589"/>
      <c r="B21" s="449"/>
      <c r="C21" s="331"/>
      <c r="D21" s="332"/>
      <c r="E21" s="333"/>
      <c r="F21" s="334"/>
      <c r="G21" s="450"/>
      <c r="H21" s="456"/>
      <c r="I21" s="592"/>
      <c r="J21" s="301"/>
      <c r="K21" s="302"/>
      <c r="L21" s="302"/>
      <c r="M21" s="583"/>
      <c r="N21" s="583"/>
    </row>
    <row r="22" spans="1:14" ht="16.25" customHeight="1" thickBot="1">
      <c r="A22" s="589"/>
      <c r="B22" s="527"/>
      <c r="C22" s="528"/>
      <c r="D22" s="288" t="s">
        <v>294</v>
      </c>
      <c r="E22" s="452"/>
      <c r="F22" s="453"/>
      <c r="G22" s="454"/>
      <c r="H22" s="455"/>
      <c r="I22" s="592"/>
      <c r="J22" s="301"/>
      <c r="K22" s="302"/>
      <c r="L22" s="302"/>
      <c r="M22" s="583"/>
      <c r="N22" s="583"/>
    </row>
    <row r="23" spans="1:14">
      <c r="A23" s="589"/>
      <c r="B23" s="295">
        <v>1000</v>
      </c>
      <c r="C23" s="94" t="s">
        <v>188</v>
      </c>
      <c r="D23" s="296" t="s">
        <v>273</v>
      </c>
      <c r="E23" s="297">
        <v>18</v>
      </c>
      <c r="F23" s="298" t="s">
        <v>150</v>
      </c>
      <c r="G23" s="299">
        <v>550</v>
      </c>
      <c r="H23" s="300">
        <v>9900</v>
      </c>
      <c r="I23" s="592"/>
      <c r="J23" s="301"/>
      <c r="K23" s="302"/>
      <c r="L23" s="302"/>
      <c r="M23" s="583"/>
      <c r="N23" s="583"/>
    </row>
    <row r="24" spans="1:14" ht="16.5">
      <c r="A24" s="589"/>
      <c r="B24" s="303" t="s">
        <v>295</v>
      </c>
      <c r="C24" s="98" t="s">
        <v>168</v>
      </c>
      <c r="D24" s="36" t="s">
        <v>296</v>
      </c>
      <c r="E24" s="304"/>
      <c r="F24" s="305"/>
      <c r="G24" s="306"/>
      <c r="H24" s="300"/>
      <c r="I24" s="592"/>
      <c r="J24" s="301"/>
      <c r="K24" s="302"/>
      <c r="L24" s="302"/>
      <c r="M24" s="583"/>
      <c r="N24" s="583"/>
    </row>
    <row r="25" spans="1:14">
      <c r="A25" s="589"/>
      <c r="B25" s="303"/>
      <c r="C25" s="98"/>
      <c r="D25" s="36" t="s">
        <v>291</v>
      </c>
      <c r="E25" s="304">
        <v>100</v>
      </c>
      <c r="F25" s="305" t="s">
        <v>85</v>
      </c>
      <c r="G25" s="306">
        <v>200</v>
      </c>
      <c r="H25" s="307">
        <v>20000</v>
      </c>
      <c r="I25" s="592"/>
      <c r="J25" s="308"/>
      <c r="K25" s="302"/>
      <c r="L25" s="302"/>
      <c r="M25" s="583"/>
      <c r="N25" s="583"/>
    </row>
    <row r="26" spans="1:14" ht="17" thickBot="1">
      <c r="A26" s="589"/>
      <c r="B26" s="321" t="s">
        <v>292</v>
      </c>
      <c r="C26" s="322" t="s">
        <v>168</v>
      </c>
      <c r="D26" s="458" t="s">
        <v>293</v>
      </c>
      <c r="E26" s="323">
        <v>60</v>
      </c>
      <c r="F26" s="324" t="s">
        <v>148</v>
      </c>
      <c r="G26" s="325">
        <v>87</v>
      </c>
      <c r="H26" s="457">
        <v>5220</v>
      </c>
      <c r="I26" s="592"/>
      <c r="J26" s="530" t="s">
        <v>228</v>
      </c>
      <c r="K26" s="302"/>
      <c r="L26" s="302"/>
      <c r="M26" s="583"/>
      <c r="N26" s="583"/>
    </row>
    <row r="27" spans="1:14" ht="15.5" thickBot="1">
      <c r="A27" s="589"/>
      <c r="B27" s="310"/>
      <c r="C27" s="311"/>
      <c r="D27" s="312"/>
      <c r="E27" s="313"/>
      <c r="F27" s="314"/>
      <c r="G27" s="315"/>
      <c r="H27" s="316"/>
      <c r="I27" s="592"/>
      <c r="J27" s="302"/>
      <c r="K27" s="302"/>
      <c r="L27" s="302"/>
      <c r="M27" s="583"/>
      <c r="N27" s="583"/>
    </row>
    <row r="28" spans="1:14" ht="13.5" customHeight="1" thickBot="1">
      <c r="A28" s="589"/>
      <c r="B28" s="527"/>
      <c r="C28" s="528"/>
      <c r="D28" s="288" t="s">
        <v>310</v>
      </c>
      <c r="E28" s="452"/>
      <c r="F28" s="453"/>
      <c r="G28" s="454"/>
      <c r="H28" s="455"/>
      <c r="I28" s="592"/>
      <c r="J28" s="301"/>
      <c r="K28" s="302"/>
      <c r="L28" s="302"/>
      <c r="M28" s="583"/>
      <c r="N28" s="583"/>
    </row>
    <row r="29" spans="1:14" ht="16.5">
      <c r="A29" s="589"/>
      <c r="B29" s="449" t="s">
        <v>271</v>
      </c>
      <c r="C29" s="331"/>
      <c r="D29" s="332" t="s">
        <v>304</v>
      </c>
      <c r="E29" s="333"/>
      <c r="F29" s="334"/>
      <c r="G29" s="450"/>
      <c r="H29" s="451"/>
      <c r="I29" s="592"/>
      <c r="J29" s="301"/>
      <c r="K29" s="302"/>
      <c r="L29" s="302"/>
      <c r="M29" s="583"/>
      <c r="N29" s="583"/>
    </row>
    <row r="30" spans="1:14">
      <c r="A30" s="589"/>
      <c r="B30" s="310"/>
      <c r="C30" s="311"/>
      <c r="D30" s="312" t="s">
        <v>272</v>
      </c>
      <c r="E30" s="317">
        <v>70</v>
      </c>
      <c r="F30" s="305" t="s">
        <v>148</v>
      </c>
      <c r="G30" s="318">
        <v>420</v>
      </c>
      <c r="H30" s="307">
        <v>29400</v>
      </c>
      <c r="I30" s="592"/>
      <c r="J30" s="301"/>
      <c r="K30" s="302"/>
      <c r="L30" s="302"/>
      <c r="M30" s="583"/>
      <c r="N30" s="583"/>
    </row>
    <row r="31" spans="1:14" ht="16.5">
      <c r="A31" s="589"/>
      <c r="B31" s="310" t="s">
        <v>297</v>
      </c>
      <c r="C31" s="311" t="s">
        <v>168</v>
      </c>
      <c r="D31" s="312" t="s">
        <v>305</v>
      </c>
      <c r="E31" s="317">
        <v>69</v>
      </c>
      <c r="F31" s="319" t="s">
        <v>148</v>
      </c>
      <c r="G31" s="318">
        <v>340</v>
      </c>
      <c r="H31" s="524">
        <v>23460</v>
      </c>
      <c r="I31" s="592"/>
      <c r="J31" s="301"/>
      <c r="K31" s="302"/>
      <c r="L31" s="302"/>
      <c r="M31" s="583"/>
      <c r="N31" s="583"/>
    </row>
    <row r="32" spans="1:14" ht="16.5">
      <c r="A32" s="589"/>
      <c r="B32" s="310" t="s">
        <v>298</v>
      </c>
      <c r="C32" s="311"/>
      <c r="D32" s="312" t="s">
        <v>306</v>
      </c>
      <c r="E32" s="317">
        <v>360</v>
      </c>
      <c r="F32" s="319" t="s">
        <v>85</v>
      </c>
      <c r="G32" s="318">
        <v>42</v>
      </c>
      <c r="H32" s="524">
        <v>15120</v>
      </c>
      <c r="I32" s="592"/>
      <c r="J32" s="301"/>
      <c r="K32" s="302"/>
      <c r="L32" s="302"/>
      <c r="M32" s="583"/>
      <c r="N32" s="583"/>
    </row>
    <row r="33" spans="1:14" ht="16.5">
      <c r="A33" s="589"/>
      <c r="B33" s="310" t="s">
        <v>299</v>
      </c>
      <c r="C33" s="311"/>
      <c r="D33" s="312" t="s">
        <v>307</v>
      </c>
      <c r="E33" s="317">
        <v>210</v>
      </c>
      <c r="F33" s="319" t="s">
        <v>85</v>
      </c>
      <c r="G33" s="318">
        <v>5</v>
      </c>
      <c r="H33" s="524">
        <v>1050</v>
      </c>
      <c r="I33" s="592"/>
      <c r="J33" s="301"/>
      <c r="K33" s="302"/>
      <c r="L33" s="302"/>
      <c r="M33" s="583"/>
      <c r="N33" s="583"/>
    </row>
    <row r="34" spans="1:14" ht="16.25" customHeight="1">
      <c r="A34" s="589"/>
      <c r="B34" s="310">
        <v>1000</v>
      </c>
      <c r="C34" s="311"/>
      <c r="D34" s="459" t="s">
        <v>273</v>
      </c>
      <c r="E34" s="317"/>
      <c r="F34" s="319"/>
      <c r="G34" s="318"/>
      <c r="H34" s="320"/>
      <c r="I34" s="592"/>
      <c r="J34" s="301"/>
      <c r="K34" s="302"/>
      <c r="L34" s="302"/>
      <c r="M34" s="583"/>
      <c r="N34" s="583"/>
    </row>
    <row r="35" spans="1:14" ht="16.25" customHeight="1">
      <c r="A35" s="589"/>
      <c r="B35" s="310"/>
      <c r="C35" s="311"/>
      <c r="D35" s="36" t="s">
        <v>274</v>
      </c>
      <c r="E35" s="317">
        <v>30</v>
      </c>
      <c r="F35" s="305" t="s">
        <v>148</v>
      </c>
      <c r="G35" s="318">
        <v>550</v>
      </c>
      <c r="H35" s="307">
        <v>16500</v>
      </c>
      <c r="I35" s="592"/>
      <c r="J35" s="301"/>
      <c r="K35" s="302"/>
      <c r="L35" s="302"/>
      <c r="M35" s="583"/>
      <c r="N35" s="583"/>
    </row>
    <row r="36" spans="1:14">
      <c r="A36" s="589"/>
      <c r="B36" s="310" t="s">
        <v>300</v>
      </c>
      <c r="C36" s="311" t="s">
        <v>301</v>
      </c>
      <c r="D36" s="312" t="s">
        <v>308</v>
      </c>
      <c r="E36" s="317">
        <v>7</v>
      </c>
      <c r="F36" s="305" t="s">
        <v>148</v>
      </c>
      <c r="G36" s="318">
        <v>330</v>
      </c>
      <c r="H36" s="307">
        <v>2310</v>
      </c>
      <c r="I36" s="592"/>
      <c r="J36" s="301"/>
      <c r="K36" s="302"/>
      <c r="L36" s="302"/>
      <c r="M36" s="583"/>
      <c r="N36" s="583"/>
    </row>
    <row r="37" spans="1:14" ht="15.5" thickBot="1">
      <c r="A37" s="589"/>
      <c r="B37" s="321" t="s">
        <v>302</v>
      </c>
      <c r="C37" s="322" t="s">
        <v>303</v>
      </c>
      <c r="D37" s="37" t="s">
        <v>309</v>
      </c>
      <c r="E37" s="323">
        <v>30</v>
      </c>
      <c r="F37" s="324" t="s">
        <v>164</v>
      </c>
      <c r="G37" s="325">
        <v>120</v>
      </c>
      <c r="H37" s="457">
        <v>3600</v>
      </c>
      <c r="I37" s="592"/>
      <c r="J37" s="301"/>
      <c r="K37" s="302"/>
      <c r="L37" s="302"/>
      <c r="M37" s="583"/>
      <c r="N37" s="583"/>
    </row>
    <row r="38" spans="1:14" ht="15.5" thickBot="1">
      <c r="A38" s="589"/>
      <c r="B38" s="449"/>
      <c r="C38" s="331"/>
      <c r="D38" s="332"/>
      <c r="E38" s="333"/>
      <c r="F38" s="334"/>
      <c r="G38" s="450"/>
      <c r="H38" s="456"/>
      <c r="I38" s="592"/>
      <c r="J38" s="301"/>
      <c r="K38" s="302"/>
      <c r="L38" s="302"/>
      <c r="M38" s="583"/>
      <c r="N38" s="583"/>
    </row>
    <row r="39" spans="1:14" ht="15.5" thickBot="1">
      <c r="A39" s="589"/>
      <c r="B39" s="527"/>
      <c r="C39" s="528"/>
      <c r="D39" s="288" t="s">
        <v>319</v>
      </c>
      <c r="E39" s="452"/>
      <c r="F39" s="453"/>
      <c r="G39" s="454"/>
      <c r="H39" s="455"/>
      <c r="I39" s="592"/>
      <c r="J39" s="302"/>
      <c r="K39" s="302"/>
      <c r="L39" s="302"/>
      <c r="M39" s="583"/>
      <c r="N39" s="583"/>
    </row>
    <row r="40" spans="1:14" ht="13.5" customHeight="1">
      <c r="A40" s="589"/>
      <c r="B40" s="512">
        <v>1000</v>
      </c>
      <c r="C40" s="513" t="s">
        <v>188</v>
      </c>
      <c r="D40" s="514" t="s">
        <v>273</v>
      </c>
      <c r="E40" s="515">
        <v>57</v>
      </c>
      <c r="F40" s="347" t="s">
        <v>148</v>
      </c>
      <c r="G40" s="516">
        <v>550</v>
      </c>
      <c r="H40" s="517">
        <v>31350</v>
      </c>
      <c r="I40" s="592"/>
      <c r="J40" s="301"/>
      <c r="K40" s="302"/>
      <c r="L40" s="302"/>
      <c r="M40" s="583"/>
      <c r="N40" s="583"/>
    </row>
    <row r="41" spans="1:14" ht="16.5">
      <c r="A41" s="589"/>
      <c r="B41" s="303" t="s">
        <v>286</v>
      </c>
      <c r="C41" s="98" t="s">
        <v>287</v>
      </c>
      <c r="D41" s="36" t="s">
        <v>290</v>
      </c>
      <c r="E41" s="304">
        <v>100</v>
      </c>
      <c r="F41" s="305" t="s">
        <v>85</v>
      </c>
      <c r="G41" s="306">
        <v>35</v>
      </c>
      <c r="H41" s="300">
        <v>3500</v>
      </c>
      <c r="I41" s="592"/>
      <c r="J41" s="301"/>
      <c r="K41" s="302"/>
      <c r="L41" s="302"/>
      <c r="M41" s="583"/>
      <c r="N41" s="583"/>
    </row>
    <row r="42" spans="1:14" ht="16.5">
      <c r="A42" s="589"/>
      <c r="B42" s="310" t="s">
        <v>311</v>
      </c>
      <c r="C42" s="311" t="s">
        <v>312</v>
      </c>
      <c r="D42" s="312" t="s">
        <v>316</v>
      </c>
      <c r="E42" s="317">
        <v>74</v>
      </c>
      <c r="F42" s="319" t="s">
        <v>85</v>
      </c>
      <c r="G42" s="318">
        <v>13</v>
      </c>
      <c r="H42" s="456">
        <v>962</v>
      </c>
      <c r="I42" s="592"/>
      <c r="J42" s="301"/>
      <c r="K42" s="302"/>
      <c r="L42" s="302"/>
      <c r="M42" s="583"/>
      <c r="N42" s="583"/>
    </row>
    <row r="43" spans="1:14">
      <c r="A43" s="589"/>
      <c r="B43" s="310" t="s">
        <v>313</v>
      </c>
      <c r="C43" s="311" t="s">
        <v>314</v>
      </c>
      <c r="D43" s="312" t="s">
        <v>317</v>
      </c>
      <c r="E43" s="317">
        <v>74</v>
      </c>
      <c r="F43" s="319" t="s">
        <v>85</v>
      </c>
      <c r="G43" s="318">
        <v>80</v>
      </c>
      <c r="H43" s="456">
        <v>5920</v>
      </c>
      <c r="I43" s="592"/>
      <c r="J43" s="301"/>
      <c r="K43" s="302"/>
      <c r="L43" s="302"/>
      <c r="M43" s="583"/>
      <c r="N43" s="583"/>
    </row>
    <row r="44" spans="1:14" ht="16.25" customHeight="1">
      <c r="A44" s="589"/>
      <c r="B44" s="303">
        <v>500</v>
      </c>
      <c r="C44" s="98"/>
      <c r="D44" s="36" t="s">
        <v>318</v>
      </c>
      <c r="E44" s="304">
        <v>73</v>
      </c>
      <c r="F44" s="305" t="s">
        <v>148</v>
      </c>
      <c r="G44" s="306">
        <v>220</v>
      </c>
      <c r="H44" s="307">
        <v>16060</v>
      </c>
      <c r="I44" s="592"/>
      <c r="J44" s="301"/>
      <c r="K44" s="302"/>
      <c r="L44" s="302"/>
      <c r="M44" s="583"/>
      <c r="N44" s="583"/>
    </row>
    <row r="45" spans="1:14" ht="16.25" customHeight="1" thickBot="1">
      <c r="A45" s="590"/>
      <c r="B45" s="518" t="s">
        <v>315</v>
      </c>
      <c r="C45" s="519" t="s">
        <v>168</v>
      </c>
      <c r="D45" s="520" t="s">
        <v>305</v>
      </c>
      <c r="E45" s="521">
        <v>17</v>
      </c>
      <c r="F45" s="522" t="s">
        <v>148</v>
      </c>
      <c r="G45" s="523">
        <v>340</v>
      </c>
      <c r="H45" s="511">
        <v>5780</v>
      </c>
      <c r="I45" s="593"/>
      <c r="J45" s="529"/>
      <c r="K45" s="326"/>
      <c r="L45" s="326"/>
      <c r="M45" s="584"/>
      <c r="N45" s="584"/>
    </row>
    <row r="46" spans="1:14" ht="15.5" thickBot="1">
      <c r="A46" s="330"/>
      <c r="B46" s="16"/>
      <c r="C46" s="331"/>
      <c r="D46" s="332"/>
      <c r="E46" s="333"/>
      <c r="F46" s="334"/>
      <c r="G46" s="335"/>
      <c r="H46" s="327"/>
      <c r="I46" s="336"/>
      <c r="J46" s="328"/>
      <c r="K46" s="329"/>
      <c r="L46" s="302"/>
      <c r="M46" s="337"/>
      <c r="N46" s="338"/>
    </row>
    <row r="47" spans="1:14">
      <c r="A47" s="339"/>
      <c r="B47" s="340" t="s">
        <v>145</v>
      </c>
      <c r="C47" s="200" t="s">
        <v>321</v>
      </c>
      <c r="D47" s="341"/>
      <c r="E47" s="342">
        <f>SUMIF($F$9:$F$46,"M.",$E$9:$E$46)</f>
        <v>453</v>
      </c>
      <c r="F47" s="201" t="s">
        <v>148</v>
      </c>
      <c r="G47" s="343"/>
      <c r="H47" s="344">
        <f>SUMIF($F$9:$F$46,"M.",$H$9:$H$46)</f>
        <v>168580</v>
      </c>
      <c r="I47" s="343"/>
      <c r="J47" s="345"/>
      <c r="K47" s="346"/>
      <c r="L47" s="347"/>
      <c r="M47" s="75"/>
      <c r="N47" s="348"/>
    </row>
    <row r="48" spans="1:14">
      <c r="A48" s="349"/>
      <c r="B48" s="21"/>
      <c r="C48" s="53"/>
      <c r="D48" s="97"/>
      <c r="E48" s="350">
        <f>SUMIF($F$9:$F$46,"PCS.",$E$9:$E$46)</f>
        <v>1306</v>
      </c>
      <c r="F48" s="90" t="s">
        <v>85</v>
      </c>
      <c r="G48" s="351"/>
      <c r="H48" s="352">
        <f>SUMIF($F$9:$F$46,"PCS.",$H$9:$H$46)</f>
        <v>59486</v>
      </c>
      <c r="I48" s="100"/>
      <c r="J48" s="353"/>
      <c r="K48" s="354"/>
      <c r="L48" s="305"/>
      <c r="M48" s="53"/>
      <c r="N48" s="355"/>
    </row>
    <row r="49" spans="1:14" ht="15.5" thickBot="1">
      <c r="A49" s="356"/>
      <c r="B49" s="357"/>
      <c r="C49" s="19"/>
      <c r="D49" s="358"/>
      <c r="E49" s="359">
        <f>SUMIF($F$9:$F$46,"SET.",$E$9:$E$46)</f>
        <v>30</v>
      </c>
      <c r="F49" s="360" t="s">
        <v>164</v>
      </c>
      <c r="G49" s="361"/>
      <c r="H49" s="362">
        <f>SUMIF($F$9:$F$46,"SET.",$H$9:$H$46)</f>
        <v>3600</v>
      </c>
      <c r="I49" s="363"/>
      <c r="J49" s="364"/>
      <c r="K49" s="365"/>
      <c r="L49" s="324"/>
      <c r="M49" s="19"/>
      <c r="N49" s="366"/>
    </row>
    <row r="50" spans="1:14" ht="14" customHeight="1" thickBot="1">
      <c r="A50" s="367"/>
      <c r="B50" s="39" t="s">
        <v>145</v>
      </c>
      <c r="C50" s="113"/>
      <c r="D50" s="113"/>
      <c r="E50" s="39"/>
      <c r="F50" s="368"/>
      <c r="G50" s="86" t="s">
        <v>165</v>
      </c>
      <c r="H50" s="369">
        <f>SUM(H9:H46)</f>
        <v>231666</v>
      </c>
      <c r="I50" s="243"/>
      <c r="J50" s="370"/>
      <c r="K50" s="371"/>
      <c r="L50" s="372"/>
      <c r="M50" s="241"/>
      <c r="N50" s="373"/>
    </row>
    <row r="51" spans="1:14">
      <c r="A51" s="374"/>
      <c r="B51" s="5"/>
      <c r="C51" s="375"/>
      <c r="D51" s="3"/>
      <c r="E51" s="376"/>
      <c r="F51" s="377"/>
      <c r="G51" s="378"/>
      <c r="H51" s="379"/>
      <c r="I51" s="8"/>
      <c r="J51" s="7"/>
      <c r="K51"/>
      <c r="L51"/>
      <c r="M51" s="7"/>
      <c r="N51" s="7"/>
    </row>
    <row r="52" spans="1:14">
      <c r="A52" s="374"/>
      <c r="B52" s="5"/>
      <c r="C52" s="375"/>
      <c r="D52" s="3"/>
      <c r="E52" s="376"/>
      <c r="F52" s="377"/>
      <c r="G52" s="378"/>
      <c r="H52" s="379"/>
      <c r="I52" s="8"/>
      <c r="J52" s="7"/>
      <c r="K52"/>
      <c r="L52"/>
      <c r="M52" s="7"/>
      <c r="N52" s="7"/>
    </row>
    <row r="53" spans="1:14">
      <c r="A53" s="374"/>
      <c r="B53" s="5"/>
      <c r="C53" s="375"/>
      <c r="D53" s="3"/>
      <c r="E53" s="376"/>
      <c r="F53" s="377"/>
      <c r="G53" s="378"/>
      <c r="H53" s="379"/>
      <c r="I53" s="8"/>
      <c r="J53" s="7"/>
      <c r="K53"/>
      <c r="L53"/>
      <c r="M53" s="7"/>
      <c r="N53" s="7"/>
    </row>
    <row r="54" spans="1:14">
      <c r="A54" s="374"/>
      <c r="B54" s="5"/>
      <c r="C54" s="375"/>
      <c r="D54" s="3"/>
      <c r="E54" s="376"/>
      <c r="F54" s="7"/>
      <c r="G54" s="378"/>
      <c r="H54" s="379"/>
      <c r="I54" s="8"/>
      <c r="J54" s="7"/>
      <c r="K54"/>
      <c r="L54"/>
      <c r="M54" s="7"/>
      <c r="N54" s="7"/>
    </row>
    <row r="55" spans="1:14">
      <c r="A55" s="374"/>
      <c r="B55" s="380"/>
      <c r="C55" s="7"/>
      <c r="D55" s="3"/>
      <c r="E55" s="381"/>
      <c r="F55" s="382"/>
      <c r="G55" s="383"/>
      <c r="H55" s="379"/>
      <c r="I55" s="8"/>
      <c r="J55" s="7"/>
      <c r="K55"/>
      <c r="L55"/>
      <c r="M55" s="7"/>
      <c r="N55" s="7"/>
    </row>
    <row r="56" spans="1:14">
      <c r="A56" s="374"/>
      <c r="B56" s="5"/>
      <c r="C56" s="375"/>
      <c r="D56" s="3"/>
      <c r="E56" s="376"/>
      <c r="F56" s="377"/>
      <c r="G56" s="378"/>
      <c r="H56" s="379"/>
      <c r="I56" s="8"/>
      <c r="J56" s="7"/>
      <c r="K56"/>
      <c r="L56"/>
      <c r="M56" s="7"/>
      <c r="N56" s="7"/>
    </row>
    <row r="57" spans="1:14" s="195" customFormat="1">
      <c r="A57" s="374"/>
      <c r="B57" s="380"/>
      <c r="C57" s="7"/>
      <c r="D57" s="3"/>
      <c r="E57" s="381"/>
      <c r="F57" s="382"/>
      <c r="G57" s="383"/>
      <c r="H57" s="379"/>
      <c r="I57" s="384"/>
      <c r="J57"/>
      <c r="K57"/>
      <c r="L57"/>
      <c r="M57" s="7"/>
      <c r="N57" s="7"/>
    </row>
    <row r="58" spans="1:14" s="195" customFormat="1">
      <c r="A58" s="374"/>
      <c r="B58" s="380"/>
      <c r="C58" s="7"/>
      <c r="D58" s="3"/>
      <c r="E58" s="381"/>
      <c r="F58" s="382"/>
      <c r="G58" s="383"/>
      <c r="H58" s="379"/>
      <c r="I58" s="384"/>
      <c r="J58"/>
      <c r="K58"/>
      <c r="L58"/>
      <c r="M58" s="7"/>
      <c r="N58" s="7"/>
    </row>
    <row r="59" spans="1:14">
      <c r="A59" s="374"/>
      <c r="B59" s="380"/>
      <c r="C59" s="7"/>
      <c r="D59" s="3"/>
      <c r="E59" s="381"/>
      <c r="F59" s="382"/>
      <c r="G59" s="383"/>
      <c r="H59" s="379"/>
      <c r="I59" s="384"/>
      <c r="K59"/>
      <c r="L59"/>
      <c r="M59" s="7"/>
      <c r="N59" s="7"/>
    </row>
    <row r="60" spans="1:14" ht="14" customHeight="1">
      <c r="A60" s="385"/>
      <c r="B60" s="386"/>
      <c r="C60" s="387"/>
      <c r="D60" s="388"/>
      <c r="E60" s="389"/>
      <c r="F60" s="389"/>
      <c r="G60" s="387"/>
      <c r="H60" s="1"/>
      <c r="I60" s="8"/>
      <c r="J60" s="390"/>
      <c r="K60"/>
      <c r="L60"/>
      <c r="M60" s="7"/>
      <c r="N60" s="7"/>
    </row>
    <row r="61" spans="1:14">
      <c r="A61" s="374"/>
      <c r="B61" s="5"/>
      <c r="C61" s="375"/>
      <c r="D61" s="3"/>
      <c r="E61" s="376"/>
      <c r="F61" s="377"/>
      <c r="G61" s="378"/>
      <c r="H61" s="379"/>
      <c r="I61" s="8"/>
      <c r="J61" s="7"/>
      <c r="K61"/>
      <c r="L61"/>
      <c r="M61" s="7"/>
      <c r="N61" s="7"/>
    </row>
    <row r="62" spans="1:14">
      <c r="A62" s="374"/>
      <c r="B62" s="5"/>
      <c r="C62" s="375"/>
      <c r="D62" s="3"/>
      <c r="E62" s="376"/>
      <c r="F62" s="377"/>
      <c r="G62" s="378"/>
      <c r="H62" s="379"/>
      <c r="I62" s="8"/>
      <c r="J62" s="7"/>
      <c r="K62"/>
      <c r="L62"/>
      <c r="M62" s="7"/>
      <c r="N62" s="7"/>
    </row>
    <row r="63" spans="1:14">
      <c r="A63" s="374"/>
      <c r="B63" s="5"/>
      <c r="C63" s="375"/>
      <c r="D63" s="3"/>
      <c r="E63" s="376"/>
      <c r="F63" s="377"/>
      <c r="G63" s="378"/>
      <c r="H63" s="379"/>
      <c r="I63" s="8"/>
      <c r="J63" s="7"/>
      <c r="K63"/>
      <c r="L63"/>
      <c r="M63" s="7"/>
      <c r="N63" s="7"/>
    </row>
    <row r="64" spans="1:14">
      <c r="A64" s="156"/>
      <c r="B64" s="391"/>
      <c r="C64" s="7"/>
      <c r="D64" s="3"/>
      <c r="E64" s="381"/>
      <c r="F64" s="382"/>
      <c r="G64" s="383"/>
      <c r="H64" s="379"/>
      <c r="I64" s="8"/>
      <c r="J64" s="7"/>
      <c r="K64"/>
      <c r="L64"/>
      <c r="M64" s="7"/>
      <c r="N64" s="7"/>
    </row>
    <row r="65" spans="1:14">
      <c r="A65" s="374"/>
      <c r="B65" s="5"/>
      <c r="C65" s="375"/>
      <c r="D65" s="3"/>
      <c r="E65" s="376"/>
      <c r="F65" s="382"/>
      <c r="G65" s="383"/>
      <c r="H65" s="379"/>
      <c r="I65" s="8"/>
      <c r="J65" s="7"/>
      <c r="K65"/>
      <c r="L65"/>
      <c r="M65" s="7"/>
      <c r="N65" s="7"/>
    </row>
    <row r="66" spans="1:14">
      <c r="A66" s="374"/>
      <c r="B66" s="5"/>
      <c r="C66" s="375"/>
      <c r="D66" s="3"/>
      <c r="E66" s="376"/>
      <c r="F66" s="382"/>
      <c r="G66" s="383"/>
      <c r="H66" s="379"/>
      <c r="I66" s="8"/>
      <c r="J66" s="7"/>
      <c r="K66"/>
      <c r="L66"/>
      <c r="M66" s="7"/>
      <c r="N66" s="7"/>
    </row>
    <row r="67" spans="1:14">
      <c r="A67" s="392"/>
      <c r="B67" s="393"/>
      <c r="C67" s="394"/>
      <c r="D67" s="395"/>
      <c r="E67" s="396"/>
      <c r="F67" s="397"/>
      <c r="G67" s="398"/>
      <c r="H67" s="399"/>
      <c r="K67"/>
      <c r="L67"/>
      <c r="M67"/>
      <c r="N67"/>
    </row>
    <row r="68" spans="1:14">
      <c r="A68" s="374"/>
      <c r="B68" s="5"/>
      <c r="C68" s="375"/>
      <c r="D68" s="3"/>
      <c r="E68" s="376"/>
      <c r="F68" s="377"/>
      <c r="G68" s="378"/>
      <c r="H68" s="379"/>
      <c r="I68" s="8"/>
      <c r="J68" s="7"/>
      <c r="K68"/>
      <c r="L68"/>
      <c r="M68" s="7"/>
      <c r="N68" s="7"/>
    </row>
    <row r="69" spans="1:14">
      <c r="A69" s="374"/>
      <c r="B69" s="5"/>
      <c r="C69" s="375"/>
      <c r="D69" s="3"/>
      <c r="E69" s="376"/>
      <c r="F69" s="7"/>
      <c r="G69" s="378"/>
      <c r="H69" s="379"/>
      <c r="I69" s="8"/>
      <c r="J69" s="7"/>
      <c r="K69"/>
      <c r="L69"/>
      <c r="M69" s="7"/>
      <c r="N69" s="7"/>
    </row>
    <row r="70" spans="1:14">
      <c r="A70" s="374"/>
      <c r="B70" s="380"/>
      <c r="C70" s="7"/>
      <c r="D70" s="3"/>
      <c r="E70" s="381"/>
      <c r="F70" s="382"/>
      <c r="G70" s="383"/>
      <c r="H70" s="379"/>
      <c r="I70" s="8"/>
      <c r="J70" s="7"/>
      <c r="K70"/>
      <c r="L70"/>
      <c r="M70" s="7"/>
      <c r="N70" s="7"/>
    </row>
    <row r="71" spans="1:14">
      <c r="A71" s="374"/>
      <c r="B71" s="5"/>
      <c r="C71" s="375"/>
      <c r="D71" s="3"/>
      <c r="E71" s="376"/>
      <c r="F71" s="377"/>
      <c r="G71" s="378"/>
      <c r="H71" s="379"/>
      <c r="I71" s="8"/>
      <c r="J71" s="7"/>
      <c r="K71"/>
      <c r="L71"/>
      <c r="M71" s="7"/>
      <c r="N71" s="7"/>
    </row>
    <row r="72" spans="1:14" s="195" customFormat="1">
      <c r="A72" s="374"/>
      <c r="B72" s="380"/>
      <c r="C72" s="7"/>
      <c r="D72" s="3"/>
      <c r="E72" s="381"/>
      <c r="F72" s="382"/>
      <c r="G72" s="383"/>
      <c r="H72" s="379"/>
      <c r="I72" s="384"/>
      <c r="J72"/>
      <c r="K72"/>
      <c r="L72"/>
      <c r="M72" s="7"/>
      <c r="N72" s="7"/>
    </row>
    <row r="73" spans="1:14">
      <c r="A73" s="374"/>
      <c r="B73" s="5"/>
      <c r="C73" s="375"/>
      <c r="D73" s="3"/>
      <c r="E73" s="376"/>
      <c r="F73" s="377"/>
      <c r="G73" s="378"/>
      <c r="H73" s="379"/>
      <c r="I73" s="8"/>
      <c r="J73" s="7"/>
      <c r="K73"/>
      <c r="L73"/>
      <c r="M73" s="7"/>
      <c r="N73" s="7"/>
    </row>
    <row r="74" spans="1:14" ht="14" customHeight="1">
      <c r="A74" s="385"/>
      <c r="B74" s="386"/>
      <c r="C74" s="387"/>
      <c r="D74" s="388"/>
      <c r="E74" s="400"/>
      <c r="F74" s="400"/>
      <c r="G74" s="401"/>
      <c r="H74" s="402"/>
      <c r="I74" s="8"/>
      <c r="J74" s="390"/>
      <c r="K74"/>
      <c r="L74"/>
      <c r="M74" s="7"/>
      <c r="N74" s="7"/>
    </row>
    <row r="75" spans="1:14" ht="14" customHeight="1">
      <c r="A75" s="385"/>
      <c r="B75" s="380"/>
      <c r="C75" s="7"/>
      <c r="D75" s="403"/>
      <c r="E75" s="404"/>
      <c r="F75" s="405"/>
      <c r="G75" s="406"/>
      <c r="H75" s="407"/>
      <c r="I75" s="8"/>
      <c r="J75" s="390"/>
      <c r="K75"/>
      <c r="L75"/>
      <c r="M75" s="7"/>
      <c r="N75" s="7"/>
    </row>
    <row r="76" spans="1:14" ht="14" customHeight="1">
      <c r="A76" s="385"/>
      <c r="B76" s="380"/>
      <c r="C76" s="7"/>
      <c r="D76" s="403"/>
      <c r="E76" s="404"/>
      <c r="F76" s="405"/>
      <c r="G76" s="406"/>
      <c r="H76" s="407"/>
      <c r="I76" s="8"/>
      <c r="J76" s="390"/>
      <c r="K76"/>
      <c r="L76"/>
      <c r="M76" s="7"/>
      <c r="N76" s="7"/>
    </row>
    <row r="77" spans="1:14">
      <c r="A77" s="374"/>
      <c r="B77" s="380"/>
      <c r="C77" s="7"/>
      <c r="D77" s="403"/>
      <c r="E77" s="404"/>
      <c r="F77" s="405"/>
      <c r="G77" s="406"/>
      <c r="H77" s="407"/>
      <c r="I77" s="384"/>
      <c r="K77"/>
      <c r="L77"/>
      <c r="M77" s="7"/>
      <c r="N77" s="7"/>
    </row>
    <row r="78" spans="1:14" ht="14" customHeight="1">
      <c r="A78" s="385"/>
      <c r="B78" s="386"/>
      <c r="C78" s="387"/>
      <c r="D78" s="388"/>
      <c r="E78" s="400"/>
      <c r="F78" s="400"/>
      <c r="G78" s="401"/>
      <c r="H78" s="402"/>
      <c r="I78" s="8"/>
      <c r="J78" s="390"/>
      <c r="K78"/>
      <c r="L78"/>
      <c r="M78" s="7"/>
      <c r="N78" s="7"/>
    </row>
    <row r="79" spans="1:14">
      <c r="A79" s="374"/>
      <c r="B79" s="5"/>
      <c r="C79" s="375"/>
      <c r="D79" s="403"/>
      <c r="E79" s="408"/>
      <c r="F79" s="409"/>
      <c r="G79" s="410"/>
      <c r="H79" s="407"/>
      <c r="I79" s="8"/>
      <c r="J79" s="7"/>
      <c r="K79"/>
      <c r="L79"/>
      <c r="M79" s="7"/>
      <c r="N79" s="7"/>
    </row>
    <row r="80" spans="1:14">
      <c r="A80" s="374"/>
      <c r="B80" s="5"/>
      <c r="C80" s="375"/>
      <c r="D80" s="403"/>
      <c r="E80" s="408"/>
      <c r="F80" s="409"/>
      <c r="G80" s="410"/>
      <c r="H80" s="407"/>
      <c r="I80" s="8"/>
      <c r="J80" s="7"/>
      <c r="K80"/>
      <c r="L80"/>
      <c r="M80" s="7"/>
      <c r="N80" s="7"/>
    </row>
    <row r="81" spans="1:14">
      <c r="A81" s="374"/>
      <c r="B81" s="5"/>
      <c r="C81" s="375"/>
      <c r="D81" s="403"/>
      <c r="E81" s="408"/>
      <c r="F81" s="409"/>
      <c r="G81" s="410"/>
      <c r="H81" s="407"/>
      <c r="I81" s="8"/>
      <c r="J81" s="7"/>
      <c r="K81"/>
      <c r="L81"/>
      <c r="M81" s="7"/>
      <c r="N81" s="7"/>
    </row>
    <row r="82" spans="1:14">
      <c r="A82" s="156"/>
      <c r="B82" s="391"/>
      <c r="C82" s="7"/>
      <c r="D82" s="403"/>
      <c r="E82" s="404"/>
      <c r="F82" s="405"/>
      <c r="G82" s="406"/>
      <c r="H82" s="407"/>
      <c r="I82" s="8"/>
      <c r="J82" s="7"/>
      <c r="K82"/>
      <c r="L82"/>
      <c r="M82" s="7"/>
      <c r="N82" s="7"/>
    </row>
    <row r="83" spans="1:14">
      <c r="A83" s="374"/>
      <c r="B83" s="5"/>
      <c r="C83" s="375"/>
      <c r="D83" s="403"/>
      <c r="E83" s="408"/>
      <c r="F83" s="405"/>
      <c r="G83" s="406"/>
      <c r="H83" s="407"/>
      <c r="I83" s="8"/>
      <c r="J83" s="7"/>
      <c r="K83"/>
      <c r="L83"/>
      <c r="M83" s="7"/>
      <c r="N83" s="7"/>
    </row>
    <row r="84" spans="1:14">
      <c r="A84" s="374"/>
      <c r="B84" s="5"/>
      <c r="C84" s="375"/>
      <c r="D84" s="403"/>
      <c r="E84" s="408"/>
      <c r="F84" s="411"/>
      <c r="G84" s="410"/>
      <c r="H84" s="407"/>
      <c r="I84" s="8"/>
      <c r="J84" s="7"/>
      <c r="K84"/>
      <c r="L84"/>
      <c r="M84" s="7"/>
      <c r="N84" s="7"/>
    </row>
    <row r="85" spans="1:14">
      <c r="A85" s="374"/>
      <c r="B85" s="380"/>
      <c r="C85" s="7"/>
      <c r="D85" s="403"/>
      <c r="E85" s="404"/>
      <c r="F85" s="405"/>
      <c r="G85" s="406"/>
      <c r="H85" s="407"/>
      <c r="I85" s="8"/>
      <c r="J85" s="7"/>
      <c r="K85"/>
      <c r="L85"/>
      <c r="M85" s="7"/>
      <c r="N85" s="7"/>
    </row>
    <row r="86" spans="1:14">
      <c r="A86" s="374"/>
      <c r="B86" s="5"/>
      <c r="C86" s="375"/>
      <c r="D86" s="403"/>
      <c r="E86" s="408"/>
      <c r="F86" s="405"/>
      <c r="G86" s="410"/>
      <c r="H86" s="407"/>
      <c r="I86" s="8"/>
      <c r="J86" s="7"/>
      <c r="K86"/>
      <c r="L86"/>
      <c r="M86" s="7"/>
      <c r="N86" s="7"/>
    </row>
    <row r="87" spans="1:14">
      <c r="A87" s="374"/>
      <c r="B87" s="5"/>
      <c r="C87" s="375"/>
      <c r="D87" s="403"/>
      <c r="E87" s="408"/>
      <c r="F87" s="405"/>
      <c r="G87" s="410"/>
      <c r="H87" s="407"/>
      <c r="I87" s="8"/>
      <c r="J87" s="7"/>
      <c r="K87"/>
      <c r="L87"/>
      <c r="M87" s="7"/>
      <c r="N87" s="7"/>
    </row>
    <row r="88" spans="1:14">
      <c r="A88" s="374"/>
      <c r="B88" s="386"/>
      <c r="C88" s="386"/>
      <c r="D88" s="388"/>
      <c r="E88" s="412"/>
      <c r="F88" s="400"/>
      <c r="G88" s="401"/>
      <c r="H88" s="402"/>
      <c r="I88" s="8"/>
      <c r="J88" s="390"/>
      <c r="K88"/>
      <c r="L88"/>
      <c r="M88" s="7"/>
      <c r="N88" s="7"/>
    </row>
    <row r="89" spans="1:14">
      <c r="A89" s="413"/>
      <c r="B89" s="7"/>
      <c r="C89" s="7"/>
      <c r="D89" s="403"/>
      <c r="E89" s="404"/>
      <c r="F89" s="405"/>
      <c r="G89" s="410"/>
      <c r="H89" s="407"/>
      <c r="I89" s="8"/>
      <c r="J89" s="390"/>
      <c r="K89"/>
      <c r="L89"/>
      <c r="M89" s="7"/>
      <c r="N89" s="7"/>
    </row>
    <row r="90" spans="1:14">
      <c r="A90" s="414"/>
      <c r="B90" s="386"/>
      <c r="C90" s="386"/>
      <c r="D90" s="388"/>
      <c r="E90" s="404"/>
      <c r="F90" s="411"/>
      <c r="G90" s="410"/>
      <c r="H90" s="407"/>
      <c r="K90"/>
      <c r="L90"/>
      <c r="M90" s="7"/>
      <c r="N90" s="7"/>
    </row>
    <row r="91" spans="1:14">
      <c r="A91" s="415"/>
      <c r="B91" s="7"/>
      <c r="C91" s="7"/>
      <c r="D91" s="416"/>
      <c r="E91" s="404"/>
      <c r="F91" s="411"/>
      <c r="G91" s="410"/>
      <c r="H91" s="407"/>
      <c r="I91" s="417"/>
      <c r="J91" s="418"/>
      <c r="K91"/>
      <c r="L91"/>
      <c r="M91" s="7"/>
      <c r="N91" s="7"/>
    </row>
    <row r="92" spans="1:14">
      <c r="A92" s="5"/>
      <c r="B92" s="5"/>
      <c r="C92" s="7"/>
      <c r="D92" s="416"/>
      <c r="E92" s="408"/>
      <c r="F92" s="411"/>
      <c r="G92" s="410"/>
      <c r="H92" s="407"/>
      <c r="K92"/>
      <c r="L92"/>
      <c r="M92" s="7"/>
      <c r="N92" s="7"/>
    </row>
    <row r="93" spans="1:14">
      <c r="A93" s="419"/>
      <c r="B93" s="22"/>
      <c r="C93" s="171"/>
      <c r="D93" s="403"/>
      <c r="E93" s="420"/>
      <c r="F93" s="409"/>
      <c r="G93" s="407"/>
      <c r="H93" s="420"/>
      <c r="I93" s="379"/>
      <c r="J93" s="3"/>
      <c r="K93" s="7"/>
      <c r="L93" s="136"/>
      <c r="M93" s="7"/>
    </row>
    <row r="94" spans="1:14">
      <c r="A94" s="3"/>
      <c r="B94" s="22"/>
      <c r="C94" s="7"/>
      <c r="D94" s="26"/>
      <c r="E94" s="420"/>
      <c r="F94" s="409"/>
      <c r="G94" s="407"/>
      <c r="H94" s="420"/>
      <c r="I94" s="3"/>
      <c r="J94" s="3"/>
      <c r="K94" s="7"/>
      <c r="L94" s="136"/>
      <c r="M94" s="7"/>
    </row>
    <row r="95" spans="1:14">
      <c r="A95" s="195"/>
      <c r="B95" s="421"/>
      <c r="C95" s="240"/>
      <c r="D95" s="422"/>
      <c r="E95" s="423"/>
      <c r="F95" s="424"/>
      <c r="G95" s="425"/>
      <c r="H95" s="426"/>
      <c r="I95" s="120"/>
      <c r="J95" s="120"/>
      <c r="K95" s="240"/>
      <c r="L95" s="427"/>
      <c r="M95" s="240"/>
      <c r="N95" s="428"/>
    </row>
    <row r="96" spans="1:14">
      <c r="E96" s="429"/>
      <c r="F96" s="429"/>
      <c r="G96" s="429"/>
      <c r="H96" s="430"/>
    </row>
    <row r="99" spans="1:15" s="251" customFormat="1">
      <c r="A99"/>
      <c r="B99" s="184"/>
      <c r="C99" s="429"/>
      <c r="D99" s="429"/>
      <c r="E99"/>
      <c r="G99"/>
      <c r="I99" s="429"/>
      <c r="J99" s="429"/>
      <c r="K99" s="430"/>
      <c r="L99" s="429"/>
      <c r="O99"/>
    </row>
    <row r="100" spans="1:15" s="251" customFormat="1">
      <c r="A100"/>
      <c r="B100" s="184"/>
      <c r="C100" s="429"/>
      <c r="D100" s="429"/>
      <c r="E100"/>
      <c r="G100"/>
      <c r="I100" s="429"/>
      <c r="J100" s="429"/>
      <c r="K100" s="430"/>
      <c r="L100" s="429"/>
      <c r="O100"/>
    </row>
    <row r="147" spans="1:15" s="184" customFormat="1" ht="20">
      <c r="A147" s="432" t="s">
        <v>99</v>
      </c>
      <c r="C147" s="251"/>
      <c r="D147"/>
      <c r="E147"/>
      <c r="F147" s="251"/>
      <c r="G147"/>
      <c r="H147" s="251"/>
      <c r="I147"/>
      <c r="J147"/>
      <c r="K147" s="251"/>
      <c r="L147" s="431"/>
      <c r="M147" s="251"/>
      <c r="N147" s="251"/>
      <c r="O147"/>
    </row>
  </sheetData>
  <mergeCells count="6">
    <mergeCell ref="N9:N45"/>
    <mergeCell ref="A2:H2"/>
    <mergeCell ref="F4:G4"/>
    <mergeCell ref="A9:A45"/>
    <mergeCell ref="I9:I45"/>
    <mergeCell ref="M9:M45"/>
  </mergeCells>
  <phoneticPr fontId="13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5F18-F202-4962-A2BE-650BD0B58DD8}">
  <sheetPr>
    <tabColor rgb="FFFF0000"/>
    <pageSetUpPr fitToPage="1"/>
  </sheetPr>
  <dimension ref="A1:I10"/>
  <sheetViews>
    <sheetView view="pageBreakPreview" zoomScale="40" zoomScaleNormal="90" zoomScaleSheetLayoutView="40" workbookViewId="0">
      <selection activeCell="J6" sqref="J6"/>
    </sheetView>
  </sheetViews>
  <sheetFormatPr defaultRowHeight="31.5"/>
  <cols>
    <col min="1" max="1" width="14.453125" customWidth="1"/>
    <col min="2" max="2" width="40.90625" style="222" customWidth="1"/>
    <col min="3" max="3" width="41.36328125" style="223" customWidth="1"/>
    <col min="4" max="4" width="86.08984375" style="223" customWidth="1"/>
    <col min="5" max="5" width="42.08984375" style="223" customWidth="1"/>
    <col min="6" max="6" width="38.1796875" style="225" customWidth="1"/>
    <col min="7" max="7" width="50.6328125" style="225" customWidth="1"/>
    <col min="8" max="8" width="34.90625" style="226" customWidth="1"/>
    <col min="9" max="9" width="34.90625" style="227" customWidth="1"/>
    <col min="10" max="16" width="34.90625" customWidth="1"/>
  </cols>
  <sheetData>
    <row r="1" spans="1:9">
      <c r="D1" s="224" t="s">
        <v>151</v>
      </c>
    </row>
    <row r="2" spans="1:9" s="232" customFormat="1" ht="88.4" customHeight="1" thickBot="1">
      <c r="A2" s="228"/>
      <c r="B2" s="229" t="s">
        <v>152</v>
      </c>
      <c r="C2" s="230" t="s">
        <v>153</v>
      </c>
      <c r="D2" s="230"/>
      <c r="E2" s="230" t="s">
        <v>154</v>
      </c>
      <c r="F2" s="231" t="s">
        <v>155</v>
      </c>
      <c r="G2" s="231" t="s">
        <v>156</v>
      </c>
      <c r="H2" s="230" t="s">
        <v>157</v>
      </c>
      <c r="I2" s="231" t="s">
        <v>158</v>
      </c>
    </row>
    <row r="3" spans="1:9" ht="194.9" customHeight="1" thickBot="1">
      <c r="A3" s="233"/>
      <c r="B3" s="234" t="s">
        <v>166</v>
      </c>
      <c r="C3" s="235" t="s">
        <v>324</v>
      </c>
      <c r="D3" s="236" t="s">
        <v>237</v>
      </c>
      <c r="E3" s="237" t="s">
        <v>159</v>
      </c>
      <c r="F3" s="238" t="s">
        <v>100</v>
      </c>
      <c r="G3" s="238"/>
      <c r="H3" s="238" t="s">
        <v>190</v>
      </c>
      <c r="I3" s="239">
        <v>9</v>
      </c>
    </row>
    <row r="4" spans="1:9" ht="194.9" customHeight="1" thickBot="1">
      <c r="A4" s="233"/>
      <c r="B4" s="234" t="s">
        <v>235</v>
      </c>
      <c r="C4" s="235" t="s">
        <v>323</v>
      </c>
      <c r="D4" s="236" t="s">
        <v>243</v>
      </c>
      <c r="E4" s="237" t="s">
        <v>159</v>
      </c>
      <c r="F4" s="238" t="s">
        <v>147</v>
      </c>
      <c r="G4" s="238"/>
      <c r="H4" s="238" t="s">
        <v>169</v>
      </c>
      <c r="I4" s="239">
        <v>9</v>
      </c>
    </row>
    <row r="5" spans="1:9" ht="194.9" customHeight="1" thickBot="1">
      <c r="A5" s="233"/>
      <c r="B5" s="234" t="s">
        <v>341</v>
      </c>
      <c r="C5" s="235" t="s">
        <v>342</v>
      </c>
      <c r="D5" s="236" t="s">
        <v>341</v>
      </c>
      <c r="E5" s="237" t="s">
        <v>343</v>
      </c>
      <c r="F5" s="238" t="s">
        <v>160</v>
      </c>
      <c r="G5" s="238"/>
      <c r="H5" s="238" t="s">
        <v>169</v>
      </c>
      <c r="I5" s="594" t="s">
        <v>333</v>
      </c>
    </row>
    <row r="6" spans="1:9" ht="194.9" customHeight="1" thickBot="1">
      <c r="A6" s="233"/>
      <c r="B6" s="234"/>
      <c r="C6" s="235"/>
      <c r="D6" s="236"/>
      <c r="E6" s="237"/>
      <c r="F6" s="238"/>
      <c r="G6" s="238"/>
      <c r="H6" s="238"/>
      <c r="I6" s="239"/>
    </row>
    <row r="7" spans="1:9" ht="194.9" customHeight="1" thickBot="1">
      <c r="A7" s="233"/>
      <c r="B7" s="234"/>
      <c r="C7" s="235"/>
      <c r="D7" s="236"/>
      <c r="E7" s="237"/>
      <c r="F7" s="238"/>
      <c r="G7" s="238"/>
      <c r="H7" s="238"/>
      <c r="I7" s="239"/>
    </row>
    <row r="8" spans="1:9" ht="194.9" customHeight="1">
      <c r="A8" s="233"/>
      <c r="B8" s="234"/>
      <c r="C8" s="235"/>
      <c r="D8" s="236"/>
      <c r="E8" s="237"/>
      <c r="F8" s="238"/>
      <c r="G8" s="238"/>
      <c r="H8" s="238"/>
      <c r="I8" s="239"/>
    </row>
    <row r="9" spans="1:9" ht="134.15" customHeight="1"/>
    <row r="10" spans="1:9" ht="134.15" customHeight="1"/>
  </sheetData>
  <phoneticPr fontId="13"/>
  <pageMargins left="0.51181102362204722" right="0" top="0.74803149606299213" bottom="0.74803149606299213" header="0.31496062992125984" footer="0.31496062992125984"/>
  <pageSetup paperSize="9" scale="25" fitToHeight="0" orientation="portrait" r:id="rId1"/>
  <headerFooter>
    <oddFooter>&amp;C&amp;"Century Gothic,太字"&amp;10&amp;  -   P A G E  3- &amp;P   -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38"/>
  <sheetViews>
    <sheetView view="pageBreakPreview" topLeftCell="A16" zoomScale="60" zoomScaleNormal="70" workbookViewId="0">
      <selection activeCell="B35" sqref="B35"/>
    </sheetView>
  </sheetViews>
  <sheetFormatPr defaultRowHeight="15"/>
  <cols>
    <col min="1" max="1" width="7.90625" customWidth="1"/>
    <col min="2" max="2" width="38.08984375" style="184" customWidth="1"/>
    <col min="3" max="3" width="81.6328125" customWidth="1"/>
    <col min="4" max="4" width="23.6328125" customWidth="1"/>
  </cols>
  <sheetData>
    <row r="1" spans="1:4" ht="17.5" customHeight="1">
      <c r="A1" s="152"/>
    </row>
    <row r="2" spans="1:4" ht="15" customHeight="1">
      <c r="A2" s="585" t="s">
        <v>141</v>
      </c>
      <c r="B2" s="585"/>
      <c r="C2" s="185"/>
    </row>
    <row r="3" spans="1:4" ht="15.65" customHeight="1" thickBot="1">
      <c r="A3" s="186"/>
      <c r="B3" s="187"/>
      <c r="C3" s="186"/>
    </row>
    <row r="4" spans="1:4" ht="21.75" customHeight="1" thickBot="1">
      <c r="A4" s="188" t="s">
        <v>36</v>
      </c>
      <c r="B4" s="24" t="s">
        <v>96</v>
      </c>
      <c r="C4" s="23" t="s">
        <v>87</v>
      </c>
      <c r="D4" s="189" t="s">
        <v>142</v>
      </c>
    </row>
    <row r="5" spans="1:4" ht="16" customHeight="1">
      <c r="A5" s="575" t="s">
        <v>189</v>
      </c>
      <c r="B5" s="29"/>
      <c r="C5" s="200" t="s">
        <v>245</v>
      </c>
      <c r="D5" s="190"/>
    </row>
    <row r="6" spans="1:4" ht="16" customHeight="1">
      <c r="A6" s="576"/>
      <c r="B6" s="30" t="s">
        <v>172</v>
      </c>
      <c r="C6" s="31" t="s">
        <v>100</v>
      </c>
      <c r="D6" s="531"/>
    </row>
    <row r="7" spans="1:4" ht="16" customHeight="1">
      <c r="A7" s="576"/>
      <c r="B7" s="21" t="s">
        <v>147</v>
      </c>
      <c r="C7" s="244" t="s">
        <v>169</v>
      </c>
      <c r="D7" s="531"/>
    </row>
    <row r="8" spans="1:4" ht="16" customHeight="1">
      <c r="A8" s="576"/>
      <c r="B8" s="33" t="s">
        <v>173</v>
      </c>
      <c r="C8" s="32" t="s">
        <v>191</v>
      </c>
      <c r="D8" s="531"/>
    </row>
    <row r="9" spans="1:4" ht="16" customHeight="1" thickBot="1">
      <c r="A9" s="577"/>
      <c r="B9" s="35" t="s">
        <v>174</v>
      </c>
      <c r="C9" s="532"/>
      <c r="D9" s="533"/>
    </row>
    <row r="10" spans="1:4" ht="15" customHeight="1" thickBot="1">
      <c r="A10" s="246"/>
      <c r="B10" s="212"/>
      <c r="C10" s="213"/>
      <c r="D10" s="462"/>
    </row>
    <row r="11" spans="1:4" ht="21.75" customHeight="1" thickBot="1">
      <c r="A11" s="188" t="s">
        <v>36</v>
      </c>
      <c r="B11" s="24" t="s">
        <v>96</v>
      </c>
      <c r="C11" s="23" t="s">
        <v>87</v>
      </c>
      <c r="D11" s="189" t="s">
        <v>142</v>
      </c>
    </row>
    <row r="12" spans="1:4" ht="17" customHeight="1">
      <c r="A12" s="575" t="s">
        <v>200</v>
      </c>
      <c r="B12" s="29"/>
      <c r="C12" s="534" t="s">
        <v>197</v>
      </c>
      <c r="D12" s="207"/>
    </row>
    <row r="13" spans="1:4" ht="16.399999999999999" customHeight="1">
      <c r="A13" s="576"/>
      <c r="B13" s="30" t="s">
        <v>192</v>
      </c>
      <c r="C13" s="30" t="s">
        <v>147</v>
      </c>
      <c r="D13" s="191"/>
    </row>
    <row r="14" spans="1:4" ht="15" customHeight="1">
      <c r="A14" s="576"/>
      <c r="B14" s="21" t="s">
        <v>147</v>
      </c>
      <c r="C14" s="244" t="s">
        <v>198</v>
      </c>
      <c r="D14" s="191"/>
    </row>
    <row r="15" spans="1:4" ht="15" customHeight="1">
      <c r="A15" s="576"/>
      <c r="B15" s="33" t="s">
        <v>193</v>
      </c>
      <c r="C15" s="32" t="s">
        <v>199</v>
      </c>
      <c r="D15" s="191"/>
    </row>
    <row r="16" spans="1:4" ht="15" customHeight="1" thickBot="1">
      <c r="A16" s="577"/>
      <c r="B16" s="35" t="s">
        <v>194</v>
      </c>
      <c r="C16" s="34"/>
      <c r="D16" s="191"/>
    </row>
    <row r="17" spans="1:4" ht="15" customHeight="1" thickBot="1">
      <c r="A17" s="247"/>
      <c r="B17" s="35"/>
      <c r="C17" s="34"/>
      <c r="D17" s="192"/>
    </row>
    <row r="18" spans="1:4" ht="21.75" customHeight="1" thickBot="1">
      <c r="A18" s="188" t="s">
        <v>36</v>
      </c>
      <c r="B18" s="24" t="s">
        <v>96</v>
      </c>
      <c r="C18" s="535" t="s">
        <v>87</v>
      </c>
      <c r="D18" s="189" t="s">
        <v>142</v>
      </c>
    </row>
    <row r="19" spans="1:4" ht="16.5" customHeight="1">
      <c r="A19" s="575" t="s">
        <v>210</v>
      </c>
      <c r="B19" s="29"/>
      <c r="C19" s="534" t="s">
        <v>206</v>
      </c>
      <c r="D19" s="191" t="s">
        <v>65</v>
      </c>
    </row>
    <row r="20" spans="1:4" ht="16.399999999999999" customHeight="1">
      <c r="A20" s="576"/>
      <c r="B20" s="212" t="s">
        <v>203</v>
      </c>
      <c r="C20" s="30" t="s">
        <v>100</v>
      </c>
      <c r="D20" s="191"/>
    </row>
    <row r="21" spans="1:4" ht="15" customHeight="1">
      <c r="A21" s="576"/>
      <c r="B21" s="21" t="s">
        <v>147</v>
      </c>
      <c r="C21" s="244" t="s">
        <v>169</v>
      </c>
      <c r="D21" s="191"/>
    </row>
    <row r="22" spans="1:4" ht="15" customHeight="1">
      <c r="A22" s="576"/>
      <c r="B22" s="33" t="s">
        <v>204</v>
      </c>
      <c r="C22" s="32" t="s">
        <v>207</v>
      </c>
      <c r="D22" s="191"/>
    </row>
    <row r="23" spans="1:4" ht="15" customHeight="1" thickBot="1">
      <c r="A23" s="577"/>
      <c r="B23" s="35" t="s">
        <v>149</v>
      </c>
      <c r="C23" s="34"/>
      <c r="D23" s="199"/>
    </row>
    <row r="24" spans="1:4" ht="14" customHeight="1" thickBot="1">
      <c r="A24" s="247"/>
      <c r="B24" s="206"/>
      <c r="C24" s="32"/>
      <c r="D24" s="194"/>
    </row>
    <row r="25" spans="1:4" ht="21.75" customHeight="1" thickBot="1">
      <c r="A25" s="188" t="s">
        <v>36</v>
      </c>
      <c r="B25" s="24" t="s">
        <v>96</v>
      </c>
      <c r="C25" s="535" t="s">
        <v>87</v>
      </c>
      <c r="D25" s="189" t="s">
        <v>142</v>
      </c>
    </row>
    <row r="26" spans="1:4" ht="17.5" customHeight="1">
      <c r="A26" s="575" t="s">
        <v>211</v>
      </c>
      <c r="B26" s="29"/>
      <c r="C26" s="534" t="s">
        <v>215</v>
      </c>
      <c r="D26" s="463"/>
    </row>
    <row r="27" spans="1:4" ht="16.399999999999999" customHeight="1">
      <c r="A27" s="576"/>
      <c r="B27" s="212" t="s">
        <v>212</v>
      </c>
      <c r="C27" s="30" t="s">
        <v>147</v>
      </c>
      <c r="D27" s="193"/>
    </row>
    <row r="28" spans="1:4" ht="16.399999999999999" customHeight="1">
      <c r="A28" s="576"/>
      <c r="B28" s="21" t="s">
        <v>147</v>
      </c>
      <c r="C28" s="213" t="s">
        <v>217</v>
      </c>
      <c r="D28" s="193"/>
    </row>
    <row r="29" spans="1:4" ht="16.399999999999999" customHeight="1">
      <c r="A29" s="576"/>
      <c r="B29" s="33" t="s">
        <v>213</v>
      </c>
      <c r="C29" s="31" t="s">
        <v>218</v>
      </c>
      <c r="D29" s="191" t="s">
        <v>143</v>
      </c>
    </row>
    <row r="30" spans="1:4" ht="16.399999999999999" customHeight="1" thickBot="1">
      <c r="A30" s="577"/>
      <c r="B30" s="35" t="s">
        <v>149</v>
      </c>
      <c r="C30" s="34"/>
      <c r="D30" s="465" t="s">
        <v>65</v>
      </c>
    </row>
    <row r="31" spans="1:4" ht="14" customHeight="1" thickBot="1">
      <c r="A31" s="247"/>
      <c r="B31" s="206"/>
      <c r="C31" s="32"/>
      <c r="D31" s="194"/>
    </row>
    <row r="32" spans="1:4" ht="21.75" customHeight="1" thickBot="1">
      <c r="A32" s="188" t="s">
        <v>36</v>
      </c>
      <c r="B32" s="24" t="s">
        <v>96</v>
      </c>
      <c r="C32" s="535" t="s">
        <v>87</v>
      </c>
      <c r="D32" s="189" t="s">
        <v>142</v>
      </c>
    </row>
    <row r="33" spans="1:4" ht="17.5" customHeight="1">
      <c r="A33" s="575" t="s">
        <v>332</v>
      </c>
      <c r="B33" s="29"/>
      <c r="C33" s="534" t="s">
        <v>331</v>
      </c>
      <c r="D33" s="463"/>
    </row>
    <row r="34" spans="1:4" ht="16.399999999999999" customHeight="1">
      <c r="A34" s="576"/>
      <c r="B34" s="212" t="s">
        <v>328</v>
      </c>
      <c r="C34" s="30" t="s">
        <v>147</v>
      </c>
      <c r="D34" s="193"/>
    </row>
    <row r="35" spans="1:4" ht="16.399999999999999" customHeight="1">
      <c r="A35" s="576"/>
      <c r="B35" s="21" t="s">
        <v>147</v>
      </c>
      <c r="C35" s="213" t="s">
        <v>216</v>
      </c>
      <c r="D35" s="193"/>
    </row>
    <row r="36" spans="1:4" ht="16.399999999999999" customHeight="1">
      <c r="A36" s="576"/>
      <c r="B36" s="33" t="s">
        <v>329</v>
      </c>
      <c r="C36" s="31" t="s">
        <v>337</v>
      </c>
      <c r="D36" s="191" t="s">
        <v>143</v>
      </c>
    </row>
    <row r="37" spans="1:4" ht="16.399999999999999" customHeight="1" thickBot="1">
      <c r="A37" s="577"/>
      <c r="B37" s="35" t="s">
        <v>149</v>
      </c>
      <c r="C37" s="34"/>
      <c r="D37" s="465" t="s">
        <v>65</v>
      </c>
    </row>
    <row r="38" spans="1:4" ht="15" customHeight="1" thickBot="1">
      <c r="A38" s="247"/>
      <c r="B38" s="206"/>
      <c r="C38" s="32"/>
      <c r="D38" s="464"/>
    </row>
    <row r="39" spans="1:4" ht="21" customHeight="1" thickBot="1">
      <c r="A39" s="188" t="s">
        <v>36</v>
      </c>
      <c r="B39" s="24" t="s">
        <v>96</v>
      </c>
      <c r="C39" s="535" t="s">
        <v>87</v>
      </c>
      <c r="D39" s="189" t="s">
        <v>142</v>
      </c>
    </row>
    <row r="40" spans="1:4" ht="15" customHeight="1">
      <c r="A40" s="572" t="s">
        <v>224</v>
      </c>
      <c r="B40" s="478"/>
      <c r="C40" s="534" t="s">
        <v>197</v>
      </c>
      <c r="D40" s="194"/>
    </row>
    <row r="41" spans="1:4" ht="18" customHeight="1">
      <c r="A41" s="573"/>
      <c r="B41" s="479" t="s">
        <v>221</v>
      </c>
      <c r="C41" s="31" t="s">
        <v>160</v>
      </c>
      <c r="D41" s="207"/>
    </row>
    <row r="42" spans="1:4" ht="16.399999999999999" customHeight="1">
      <c r="A42" s="573"/>
      <c r="B42" s="480" t="s">
        <v>222</v>
      </c>
      <c r="C42" s="31"/>
      <c r="D42" s="191" t="s">
        <v>325</v>
      </c>
    </row>
    <row r="43" spans="1:4" ht="16.399999999999999" customHeight="1">
      <c r="A43" s="573"/>
      <c r="B43" s="481" t="s">
        <v>223</v>
      </c>
      <c r="C43" s="32"/>
      <c r="D43" s="191" t="s">
        <v>65</v>
      </c>
    </row>
    <row r="44" spans="1:4" ht="16.399999999999999" customHeight="1" thickBot="1">
      <c r="A44" s="574"/>
      <c r="B44" s="482" t="s">
        <v>225</v>
      </c>
      <c r="C44" s="34"/>
      <c r="D44" s="465"/>
    </row>
    <row r="45" spans="1:4" ht="16.399999999999999" customHeight="1" thickBot="1">
      <c r="A45" s="440"/>
      <c r="B45" s="441"/>
      <c r="C45" s="443"/>
      <c r="D45" s="193"/>
    </row>
    <row r="46" spans="1:4" ht="21" customHeight="1" thickBot="1">
      <c r="A46" s="460" t="s">
        <v>36</v>
      </c>
      <c r="B46" s="461" t="s">
        <v>96</v>
      </c>
      <c r="C46" s="536" t="s">
        <v>87</v>
      </c>
      <c r="D46" s="189" t="s">
        <v>142</v>
      </c>
    </row>
    <row r="47" spans="1:4" ht="16.399999999999999" customHeight="1">
      <c r="A47" s="563" t="s">
        <v>264</v>
      </c>
      <c r="B47" s="500"/>
      <c r="C47" s="534" t="s">
        <v>229</v>
      </c>
      <c r="D47" s="190"/>
    </row>
    <row r="48" spans="1:4" ht="16.399999999999999" customHeight="1">
      <c r="A48" s="564"/>
      <c r="B48" s="501" t="s">
        <v>230</v>
      </c>
      <c r="C48" s="213" t="s">
        <v>100</v>
      </c>
      <c r="D48" s="191"/>
    </row>
    <row r="49" spans="1:4" ht="16.399999999999999" customHeight="1">
      <c r="A49" s="564"/>
      <c r="B49" s="502" t="s">
        <v>100</v>
      </c>
      <c r="C49" s="244" t="s">
        <v>169</v>
      </c>
      <c r="D49" s="191"/>
    </row>
    <row r="50" spans="1:4" ht="16.399999999999999" customHeight="1">
      <c r="A50" s="564"/>
      <c r="B50" s="503" t="s">
        <v>232</v>
      </c>
      <c r="C50" s="32" t="s">
        <v>233</v>
      </c>
      <c r="D50" s="466"/>
    </row>
    <row r="51" spans="1:4" ht="16.399999999999999" customHeight="1" thickBot="1">
      <c r="A51" s="564"/>
      <c r="B51" s="504" t="s">
        <v>149</v>
      </c>
      <c r="C51" s="34"/>
      <c r="D51" s="466"/>
    </row>
    <row r="52" spans="1:4" ht="16.399999999999999" customHeight="1" thickBot="1">
      <c r="A52" s="564"/>
      <c r="B52" s="505"/>
      <c r="C52" s="443"/>
      <c r="D52" s="466"/>
    </row>
    <row r="53" spans="1:4" ht="16.399999999999999" customHeight="1">
      <c r="A53" s="564"/>
      <c r="B53" s="509" t="s">
        <v>167</v>
      </c>
      <c r="C53" s="493" t="s">
        <v>238</v>
      </c>
      <c r="D53" s="466"/>
    </row>
    <row r="54" spans="1:4" ht="16.399999999999999" customHeight="1" thickBot="1">
      <c r="A54" s="564"/>
      <c r="B54" s="510" t="s">
        <v>236</v>
      </c>
      <c r="C54" s="34" t="s">
        <v>244</v>
      </c>
      <c r="D54" s="466"/>
    </row>
    <row r="55" spans="1:4" ht="16.399999999999999" customHeight="1">
      <c r="A55" s="564"/>
      <c r="B55" s="500"/>
      <c r="C55" s="534" t="s">
        <v>197</v>
      </c>
      <c r="D55" s="466"/>
    </row>
    <row r="56" spans="1:4" ht="16.399999999999999" customHeight="1">
      <c r="A56" s="564"/>
      <c r="B56" s="508" t="s">
        <v>239</v>
      </c>
      <c r="C56" s="484" t="s">
        <v>241</v>
      </c>
      <c r="D56" s="466"/>
    </row>
    <row r="57" spans="1:4" ht="16.399999999999999" customHeight="1" thickBot="1">
      <c r="A57" s="564"/>
      <c r="B57" s="506"/>
      <c r="C57" s="32" t="s">
        <v>242</v>
      </c>
      <c r="D57" s="466"/>
    </row>
    <row r="58" spans="1:4" ht="16.399999999999999" customHeight="1">
      <c r="A58" s="564"/>
      <c r="B58" s="500"/>
      <c r="C58" s="534" t="s">
        <v>266</v>
      </c>
      <c r="D58" s="466"/>
    </row>
    <row r="59" spans="1:4" ht="16.399999999999999" customHeight="1">
      <c r="A59" s="564"/>
      <c r="B59" s="506" t="s">
        <v>246</v>
      </c>
      <c r="C59" s="32" t="s">
        <v>247</v>
      </c>
      <c r="D59" s="191" t="s">
        <v>143</v>
      </c>
    </row>
    <row r="60" spans="1:4" ht="16.399999999999999" customHeight="1">
      <c r="A60" s="564"/>
      <c r="B60" s="506" t="s">
        <v>248</v>
      </c>
      <c r="C60" s="32" t="s">
        <v>251</v>
      </c>
      <c r="D60" s="191" t="s">
        <v>65</v>
      </c>
    </row>
    <row r="61" spans="1:4" ht="16.399999999999999" customHeight="1">
      <c r="A61" s="564"/>
      <c r="B61" s="506" t="s">
        <v>252</v>
      </c>
      <c r="C61" s="32" t="s">
        <v>253</v>
      </c>
      <c r="D61" s="191"/>
    </row>
    <row r="62" spans="1:4" ht="16.399999999999999" customHeight="1">
      <c r="A62" s="564"/>
      <c r="B62" s="506" t="s">
        <v>257</v>
      </c>
      <c r="C62" s="494" t="s">
        <v>256</v>
      </c>
      <c r="D62" s="191"/>
    </row>
    <row r="63" spans="1:4" ht="16.399999999999999" customHeight="1" thickBot="1">
      <c r="A63" s="564"/>
      <c r="B63" s="507"/>
      <c r="C63" s="34"/>
      <c r="D63" s="191"/>
    </row>
    <row r="64" spans="1:4" ht="16.399999999999999" customHeight="1">
      <c r="A64" s="564"/>
      <c r="B64" s="508" t="s">
        <v>258</v>
      </c>
      <c r="C64" s="484" t="s">
        <v>268</v>
      </c>
      <c r="D64" s="191"/>
    </row>
    <row r="65" spans="1:4" ht="15" customHeight="1">
      <c r="A65" s="564"/>
      <c r="B65" s="508" t="s">
        <v>270</v>
      </c>
      <c r="C65" s="484" t="s">
        <v>268</v>
      </c>
      <c r="D65" s="198"/>
    </row>
    <row r="66" spans="1:4" ht="15" customHeight="1">
      <c r="A66" s="564"/>
      <c r="B66" s="506" t="s">
        <v>260</v>
      </c>
      <c r="C66" s="32" t="s">
        <v>267</v>
      </c>
      <c r="D66" s="198"/>
    </row>
    <row r="67" spans="1:4" ht="17.5" customHeight="1" thickBot="1">
      <c r="A67" s="565"/>
      <c r="B67" s="507" t="s">
        <v>262</v>
      </c>
      <c r="C67" s="34" t="s">
        <v>267</v>
      </c>
      <c r="D67" s="198"/>
    </row>
    <row r="68" spans="1:4" ht="16.399999999999999" customHeight="1" thickBot="1">
      <c r="A68" s="194"/>
      <c r="B68" s="194"/>
      <c r="C68" s="194"/>
      <c r="D68" s="194"/>
    </row>
    <row r="69" spans="1:4" ht="21" customHeight="1" thickBot="1">
      <c r="A69" s="460" t="s">
        <v>36</v>
      </c>
      <c r="B69" s="461" t="s">
        <v>96</v>
      </c>
      <c r="C69" s="46" t="s">
        <v>87</v>
      </c>
      <c r="D69" s="189" t="s">
        <v>142</v>
      </c>
    </row>
    <row r="70" spans="1:4" ht="15" customHeight="1" thickBot="1">
      <c r="A70" s="588" t="s">
        <v>320</v>
      </c>
      <c r="B70" s="525"/>
      <c r="C70" s="288" t="s">
        <v>282</v>
      </c>
      <c r="D70" s="467"/>
    </row>
    <row r="71" spans="1:4" ht="15" customHeight="1">
      <c r="A71" s="589"/>
      <c r="B71" s="537" t="s">
        <v>275</v>
      </c>
      <c r="C71" s="296" t="s">
        <v>280</v>
      </c>
      <c r="D71" s="198"/>
    </row>
    <row r="72" spans="1:4" ht="15" customHeight="1">
      <c r="A72" s="589"/>
      <c r="B72" s="537"/>
      <c r="C72" s="296" t="s">
        <v>276</v>
      </c>
      <c r="D72" s="198"/>
    </row>
    <row r="73" spans="1:4" ht="21.65" customHeight="1">
      <c r="A73" s="589"/>
      <c r="B73" s="537"/>
      <c r="C73" s="296" t="s">
        <v>277</v>
      </c>
      <c r="D73" s="198"/>
    </row>
    <row r="74" spans="1:4" ht="15" customHeight="1" thickBot="1">
      <c r="A74" s="589"/>
      <c r="B74" s="538" t="s">
        <v>278</v>
      </c>
      <c r="C74" s="37" t="s">
        <v>281</v>
      </c>
      <c r="D74" s="198"/>
    </row>
    <row r="75" spans="1:4" ht="16.399999999999999" customHeight="1" thickBot="1">
      <c r="A75" s="589"/>
      <c r="B75" s="539"/>
      <c r="C75" s="332"/>
      <c r="D75" s="198"/>
    </row>
    <row r="76" spans="1:4" ht="16.399999999999999" customHeight="1" thickBot="1">
      <c r="A76" s="589"/>
      <c r="B76" s="540"/>
      <c r="C76" s="288" t="s">
        <v>288</v>
      </c>
      <c r="D76" s="198"/>
    </row>
    <row r="77" spans="1:4" ht="16.399999999999999" customHeight="1">
      <c r="A77" s="589"/>
      <c r="B77" s="541">
        <v>1000</v>
      </c>
      <c r="C77" s="514" t="s">
        <v>273</v>
      </c>
      <c r="D77" s="198"/>
    </row>
    <row r="78" spans="1:4" ht="16.399999999999999" customHeight="1">
      <c r="A78" s="589"/>
      <c r="B78" s="542"/>
      <c r="C78" s="36" t="s">
        <v>283</v>
      </c>
      <c r="D78" s="198"/>
    </row>
    <row r="79" spans="1:4" ht="16.399999999999999" customHeight="1">
      <c r="A79" s="589"/>
      <c r="B79" s="543" t="s">
        <v>284</v>
      </c>
      <c r="C79" s="312" t="s">
        <v>289</v>
      </c>
      <c r="D79" s="198"/>
    </row>
    <row r="80" spans="1:4" ht="16.399999999999999" customHeight="1">
      <c r="A80" s="589"/>
      <c r="B80" s="542"/>
      <c r="C80" s="36" t="s">
        <v>285</v>
      </c>
      <c r="D80" s="198"/>
    </row>
    <row r="81" spans="1:4" ht="16.399999999999999" customHeight="1" thickBot="1">
      <c r="A81" s="589"/>
      <c r="B81" s="544" t="s">
        <v>286</v>
      </c>
      <c r="C81" s="520" t="s">
        <v>290</v>
      </c>
      <c r="D81" s="198"/>
    </row>
    <row r="82" spans="1:4" ht="16.399999999999999" customHeight="1" thickBot="1">
      <c r="A82" s="589"/>
      <c r="B82" s="539"/>
      <c r="C82" s="332"/>
      <c r="D82" s="198"/>
    </row>
    <row r="83" spans="1:4" ht="16.399999999999999" customHeight="1" thickBot="1">
      <c r="A83" s="589"/>
      <c r="B83" s="540"/>
      <c r="C83" s="288" t="s">
        <v>294</v>
      </c>
      <c r="D83" s="198"/>
    </row>
    <row r="84" spans="1:4" ht="16.399999999999999" customHeight="1">
      <c r="A84" s="589"/>
      <c r="B84" s="537">
        <v>1000</v>
      </c>
      <c r="C84" s="296" t="s">
        <v>273</v>
      </c>
      <c r="D84" s="198"/>
    </row>
    <row r="85" spans="1:4" ht="16.399999999999999" customHeight="1">
      <c r="A85" s="589"/>
      <c r="B85" s="542" t="s">
        <v>295</v>
      </c>
      <c r="C85" s="36" t="s">
        <v>296</v>
      </c>
      <c r="D85" s="198"/>
    </row>
    <row r="86" spans="1:4" ht="16.399999999999999" customHeight="1">
      <c r="A86" s="589"/>
      <c r="B86" s="542"/>
      <c r="C86" s="36" t="s">
        <v>291</v>
      </c>
      <c r="D86" s="191" t="s">
        <v>143</v>
      </c>
    </row>
    <row r="87" spans="1:4" ht="16.399999999999999" customHeight="1" thickBot="1">
      <c r="A87" s="589"/>
      <c r="B87" s="538" t="s">
        <v>292</v>
      </c>
      <c r="C87" s="458" t="s">
        <v>293</v>
      </c>
      <c r="D87" s="191" t="s">
        <v>65</v>
      </c>
    </row>
    <row r="88" spans="1:4" ht="16.399999999999999" customHeight="1" thickBot="1">
      <c r="A88" s="589"/>
      <c r="B88" s="543"/>
      <c r="C88" s="312"/>
      <c r="D88" s="198"/>
    </row>
    <row r="89" spans="1:4" ht="16.399999999999999" customHeight="1" thickBot="1">
      <c r="A89" s="589"/>
      <c r="B89" s="540"/>
      <c r="C89" s="288" t="s">
        <v>310</v>
      </c>
      <c r="D89" s="198"/>
    </row>
    <row r="90" spans="1:4" ht="16.399999999999999" customHeight="1">
      <c r="A90" s="589"/>
      <c r="B90" s="539" t="s">
        <v>271</v>
      </c>
      <c r="C90" s="332" t="s">
        <v>304</v>
      </c>
      <c r="D90" s="198"/>
    </row>
    <row r="91" spans="1:4" ht="16.399999999999999" customHeight="1">
      <c r="A91" s="589"/>
      <c r="B91" s="543"/>
      <c r="C91" s="312" t="s">
        <v>272</v>
      </c>
      <c r="D91" s="198"/>
    </row>
    <row r="92" spans="1:4" ht="16.399999999999999" customHeight="1">
      <c r="A92" s="589"/>
      <c r="B92" s="543" t="s">
        <v>297</v>
      </c>
      <c r="C92" s="312" t="s">
        <v>305</v>
      </c>
      <c r="D92" s="198"/>
    </row>
    <row r="93" spans="1:4" ht="16.399999999999999" customHeight="1">
      <c r="A93" s="589"/>
      <c r="B93" s="543" t="s">
        <v>298</v>
      </c>
      <c r="C93" s="312" t="s">
        <v>306</v>
      </c>
      <c r="D93" s="198"/>
    </row>
    <row r="94" spans="1:4" ht="16.399999999999999" customHeight="1">
      <c r="A94" s="589"/>
      <c r="B94" s="543" t="s">
        <v>299</v>
      </c>
      <c r="C94" s="312" t="s">
        <v>307</v>
      </c>
      <c r="D94" s="198"/>
    </row>
    <row r="95" spans="1:4" ht="16.399999999999999" customHeight="1">
      <c r="A95" s="589"/>
      <c r="B95" s="543">
        <v>1000</v>
      </c>
      <c r="C95" s="459" t="s">
        <v>273</v>
      </c>
      <c r="D95" s="198"/>
    </row>
    <row r="96" spans="1:4" ht="15" customHeight="1">
      <c r="A96" s="589"/>
      <c r="B96" s="543"/>
      <c r="C96" s="36" t="s">
        <v>274</v>
      </c>
      <c r="D96" s="198"/>
    </row>
    <row r="97" spans="1:4" ht="15" customHeight="1">
      <c r="A97" s="589"/>
      <c r="B97" s="543" t="s">
        <v>300</v>
      </c>
      <c r="C97" s="312" t="s">
        <v>308</v>
      </c>
      <c r="D97" s="198"/>
    </row>
    <row r="98" spans="1:4" ht="15" customHeight="1" thickBot="1">
      <c r="A98" s="589"/>
      <c r="B98" s="538" t="s">
        <v>302</v>
      </c>
      <c r="C98" s="37" t="s">
        <v>309</v>
      </c>
      <c r="D98" s="191"/>
    </row>
    <row r="99" spans="1:4" ht="15" customHeight="1" thickBot="1">
      <c r="A99" s="589"/>
      <c r="B99" s="539"/>
      <c r="C99" s="332"/>
      <c r="D99" s="191"/>
    </row>
    <row r="100" spans="1:4" ht="16.399999999999999" customHeight="1" thickBot="1">
      <c r="A100" s="589"/>
      <c r="B100" s="540"/>
      <c r="C100" s="288" t="s">
        <v>319</v>
      </c>
      <c r="D100" s="198"/>
    </row>
    <row r="101" spans="1:4" ht="16.399999999999999" customHeight="1">
      <c r="A101" s="589"/>
      <c r="B101" s="541">
        <v>1000</v>
      </c>
      <c r="C101" s="514" t="s">
        <v>273</v>
      </c>
      <c r="D101" s="198"/>
    </row>
    <row r="102" spans="1:4" ht="15" customHeight="1">
      <c r="A102" s="589"/>
      <c r="B102" s="542" t="s">
        <v>286</v>
      </c>
      <c r="C102" s="36" t="s">
        <v>290</v>
      </c>
      <c r="D102" s="198"/>
    </row>
    <row r="103" spans="1:4" ht="15" customHeight="1">
      <c r="A103" s="589"/>
      <c r="B103" s="543" t="s">
        <v>311</v>
      </c>
      <c r="C103" s="312" t="s">
        <v>316</v>
      </c>
      <c r="D103" s="198"/>
    </row>
    <row r="104" spans="1:4" ht="15.5" customHeight="1">
      <c r="A104" s="589"/>
      <c r="B104" s="543" t="s">
        <v>313</v>
      </c>
      <c r="C104" s="312" t="s">
        <v>317</v>
      </c>
      <c r="D104" s="198"/>
    </row>
    <row r="105" spans="1:4" ht="16.5" customHeight="1">
      <c r="A105" s="589"/>
      <c r="B105" s="542">
        <v>500</v>
      </c>
      <c r="C105" s="36" t="s">
        <v>318</v>
      </c>
      <c r="D105" s="198"/>
    </row>
    <row r="106" spans="1:4" ht="16.399999999999999" customHeight="1" thickBot="1">
      <c r="A106" s="590"/>
      <c r="B106" s="544" t="s">
        <v>315</v>
      </c>
      <c r="C106" s="520" t="s">
        <v>305</v>
      </c>
      <c r="D106" s="199"/>
    </row>
    <row r="107" spans="1:4" ht="15" customHeight="1">
      <c r="A107" s="194"/>
      <c r="B107" s="194"/>
      <c r="C107" s="194"/>
      <c r="D107" s="194"/>
    </row>
    <row r="108" spans="1:4" ht="15" customHeight="1">
      <c r="A108" s="194"/>
      <c r="B108" s="194"/>
      <c r="C108" s="194"/>
      <c r="D108" s="194"/>
    </row>
    <row r="109" spans="1:4" ht="15" customHeight="1">
      <c r="A109" s="194"/>
      <c r="B109" s="194"/>
      <c r="C109" s="194"/>
      <c r="D109" s="194"/>
    </row>
    <row r="110" spans="1:4" ht="15" customHeight="1">
      <c r="A110" s="194"/>
      <c r="B110" s="194"/>
      <c r="C110" s="194"/>
      <c r="D110" s="194"/>
    </row>
    <row r="111" spans="1:4" ht="15" customHeight="1">
      <c r="A111" s="194"/>
      <c r="B111" s="194"/>
      <c r="C111" s="194"/>
      <c r="D111" s="194"/>
    </row>
    <row r="112" spans="1:4" ht="15.65" customHeight="1">
      <c r="A112" s="194"/>
      <c r="B112" s="194"/>
      <c r="C112" s="194"/>
      <c r="D112" s="194"/>
    </row>
    <row r="113" spans="1:4" ht="15" customHeight="1">
      <c r="A113" s="194"/>
      <c r="B113" s="194"/>
      <c r="C113" s="194"/>
      <c r="D113" s="194"/>
    </row>
    <row r="114" spans="1:4" ht="15" customHeight="1">
      <c r="A114" s="194"/>
      <c r="B114" s="194"/>
      <c r="C114" s="194"/>
      <c r="D114" s="194"/>
    </row>
    <row r="115" spans="1:4" ht="15" customHeight="1">
      <c r="A115" s="194"/>
      <c r="B115" s="194"/>
      <c r="C115" s="194"/>
      <c r="D115" s="194"/>
    </row>
    <row r="116" spans="1:4" ht="15" customHeight="1">
      <c r="A116" s="194"/>
      <c r="B116" s="194"/>
      <c r="C116" s="194"/>
      <c r="D116" s="194"/>
    </row>
    <row r="117" spans="1:4" ht="15" customHeight="1">
      <c r="A117" s="194"/>
      <c r="B117" s="194"/>
      <c r="C117" s="194"/>
      <c r="D117" s="194"/>
    </row>
    <row r="118" spans="1:4" ht="15" customHeight="1">
      <c r="A118" s="194"/>
      <c r="B118" s="194"/>
      <c r="C118" s="194"/>
      <c r="D118" s="194"/>
    </row>
    <row r="119" spans="1:4" s="195" customFormat="1" ht="15" customHeight="1">
      <c r="A119" s="194"/>
      <c r="B119" s="194"/>
      <c r="C119" s="194"/>
      <c r="D119" s="194"/>
    </row>
    <row r="120" spans="1:4" s="195" customFormat="1" ht="15" customHeight="1">
      <c r="A120" s="194"/>
      <c r="B120" s="194"/>
      <c r="C120" s="194"/>
      <c r="D120" s="194"/>
    </row>
    <row r="121" spans="1:4" ht="15" customHeight="1">
      <c r="A121" s="194"/>
      <c r="B121" s="194"/>
      <c r="C121" s="194"/>
      <c r="D121" s="194"/>
    </row>
    <row r="122" spans="1:4" ht="14.15" customHeight="1">
      <c r="A122" s="194"/>
      <c r="B122" s="194"/>
      <c r="C122" s="194"/>
      <c r="D122" s="194"/>
    </row>
    <row r="123" spans="1:4" ht="15" customHeight="1">
      <c r="A123" s="194"/>
      <c r="B123" s="194"/>
      <c r="C123" s="194"/>
      <c r="D123" s="194"/>
    </row>
    <row r="124" spans="1:4" ht="15" customHeight="1">
      <c r="A124" s="194"/>
      <c r="B124" s="194"/>
      <c r="C124" s="194"/>
      <c r="D124" s="194"/>
    </row>
    <row r="125" spans="1:4" ht="15" customHeight="1">
      <c r="A125" s="194"/>
      <c r="B125" s="194"/>
      <c r="C125" s="194"/>
      <c r="D125" s="194"/>
    </row>
    <row r="126" spans="1:4" ht="15" customHeight="1">
      <c r="A126" s="194"/>
      <c r="B126" s="194"/>
      <c r="C126" s="194"/>
      <c r="D126" s="194"/>
    </row>
    <row r="127" spans="1:4" ht="15" customHeight="1">
      <c r="A127" s="194"/>
      <c r="B127" s="194"/>
      <c r="C127" s="194"/>
      <c r="D127" s="194"/>
    </row>
    <row r="128" spans="1:4" ht="15" customHeight="1">
      <c r="A128" s="194"/>
      <c r="B128" s="194"/>
      <c r="C128" s="194"/>
      <c r="D128" s="194"/>
    </row>
    <row r="129" spans="1:4" ht="12.65" customHeight="1">
      <c r="A129" s="194"/>
      <c r="B129" s="194"/>
      <c r="C129" s="194"/>
      <c r="D129" s="194"/>
    </row>
    <row r="130" spans="1:4" ht="15.65" customHeight="1">
      <c r="A130" s="194"/>
      <c r="B130" s="194"/>
      <c r="C130" s="194"/>
      <c r="D130" s="194"/>
    </row>
    <row r="131" spans="1:4" ht="41.15" customHeight="1">
      <c r="A131" s="194"/>
      <c r="B131" s="194"/>
      <c r="C131" s="194"/>
      <c r="D131" s="194"/>
    </row>
    <row r="132" spans="1:4" ht="21.75" customHeight="1">
      <c r="A132" s="194"/>
      <c r="B132" s="194"/>
      <c r="C132" s="194"/>
      <c r="D132" s="194"/>
    </row>
    <row r="133" spans="1:4" ht="15" customHeight="1" thickBot="1">
      <c r="A133" s="196"/>
      <c r="B133" s="196"/>
      <c r="C133" s="196"/>
      <c r="D133" s="196"/>
    </row>
    <row r="134" spans="1:4" ht="10.4" customHeight="1">
      <c r="A134" s="170"/>
      <c r="B134" s="170"/>
      <c r="C134" s="197"/>
      <c r="D134" s="170"/>
    </row>
    <row r="135" spans="1:4">
      <c r="A135" s="170"/>
      <c r="B135" s="170"/>
      <c r="C135" s="170"/>
      <c r="D135" s="170"/>
    </row>
    <row r="136" spans="1:4">
      <c r="A136" s="170"/>
      <c r="B136" s="170"/>
      <c r="C136" s="170"/>
      <c r="D136" s="170"/>
    </row>
    <row r="137" spans="1:4">
      <c r="A137" s="170"/>
      <c r="B137" s="170"/>
      <c r="C137" s="170"/>
      <c r="D137" s="170"/>
    </row>
    <row r="138" spans="1:4">
      <c r="A138" s="170"/>
      <c r="B138" s="170"/>
      <c r="C138" s="170"/>
      <c r="D138" s="170"/>
    </row>
  </sheetData>
  <mergeCells count="9">
    <mergeCell ref="A47:A67"/>
    <mergeCell ref="A70:A106"/>
    <mergeCell ref="A33:A37"/>
    <mergeCell ref="A2:B2"/>
    <mergeCell ref="A5:A9"/>
    <mergeCell ref="A26:A30"/>
    <mergeCell ref="A40:A44"/>
    <mergeCell ref="A12:A16"/>
    <mergeCell ref="A19:A23"/>
  </mergeCells>
  <phoneticPr fontId="13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6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8</vt:i4>
      </vt:variant>
    </vt:vector>
  </HeadingPairs>
  <TitlesOfParts>
    <vt:vector size="15" baseType="lpstr">
      <vt:lpstr>shipper master</vt:lpstr>
      <vt:lpstr>case mark </vt:lpstr>
      <vt:lpstr>invoice</vt:lpstr>
      <vt:lpstr>NARITA </vt:lpstr>
      <vt:lpstr>NARITA (2)</vt:lpstr>
      <vt:lpstr>サンプル製品カタログ</vt:lpstr>
      <vt:lpstr>LABEL</vt:lpstr>
      <vt:lpstr>LABEL!Print_Area</vt:lpstr>
      <vt:lpstr>'NARITA '!Print_Area</vt:lpstr>
      <vt:lpstr>'NARITA (2)'!Print_Area</vt:lpstr>
      <vt:lpstr>サンプル製品カタログ!Print_Area</vt:lpstr>
      <vt:lpstr>LABEL!Print_Titles</vt:lpstr>
      <vt:lpstr>'NARITA '!Print_Titles</vt:lpstr>
      <vt:lpstr>'NARITA (2)'!Print_Titles</vt:lpstr>
      <vt:lpstr>サンプル製品カタログ!Print_Titles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2025-05-08T09:18:40Z</dcterms:modified>
</cp:coreProperties>
</file>