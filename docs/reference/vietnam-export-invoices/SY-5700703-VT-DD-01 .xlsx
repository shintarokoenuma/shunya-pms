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A850242C-346D-4479-8BAB-696581B4F7D0}" xr6:coauthVersionLast="47" xr6:coauthVersionMax="47" xr10:uidLastSave="{00000000-0000-0000-0000-000000000000}"/>
  <bookViews>
    <workbookView xWindow="-110" yWindow="-110" windowWidth="25820" windowHeight="14620" activeTab="3" xr2:uid="{00000000-000D-0000-FFFF-FFFF00000000}"/>
  </bookViews>
  <sheets>
    <sheet name="shipper master" sheetId="17" r:id="rId1"/>
    <sheet name="case mark " sheetId="54" r:id="rId2"/>
    <sheet name="invoice" sheetId="21" r:id="rId3"/>
    <sheet name="NARITA " sheetId="60" r:id="rId4"/>
    <sheet name="LABEL" sheetId="62" r:id="rId5"/>
  </sheets>
  <externalReferences>
    <externalReference r:id="rId6"/>
    <externalReference r:id="rId7"/>
  </externalReferences>
  <definedNames>
    <definedName name="pricetable" localSheetId="1">#REF!</definedName>
    <definedName name="pricetable" localSheetId="4">#REF!</definedName>
    <definedName name="pricetable" localSheetId="3">#REF!</definedName>
    <definedName name="pricetable">#REF!</definedName>
    <definedName name="_xlnm.Print_Area" localSheetId="4">LABEL!$A$1:$D$38</definedName>
    <definedName name="_xlnm.Print_Area" localSheetId="3">'NARITA '!$A$2:$P$45</definedName>
    <definedName name="_xlnm.Print_Titles" localSheetId="4">LABEL!$1:$4</definedName>
    <definedName name="_xlnm.Print_Titles" localSheetId="3">'NARITA '!$1:$6</definedName>
  </definedNames>
  <calcPr calcId="191029"/>
</workbook>
</file>

<file path=xl/calcChain.xml><?xml version="1.0" encoding="utf-8"?>
<calcChain xmlns="http://schemas.openxmlformats.org/spreadsheetml/2006/main">
  <c r="C45" i="17" l="1"/>
  <c r="L31" i="21"/>
  <c r="J31" i="21"/>
  <c r="E31" i="21"/>
  <c r="L30" i="21"/>
  <c r="L29" i="21"/>
  <c r="L28" i="21"/>
  <c r="L27" i="21"/>
  <c r="K30" i="21"/>
  <c r="J30" i="21"/>
  <c r="K29" i="21"/>
  <c r="J29" i="21"/>
  <c r="K28" i="21"/>
  <c r="J28" i="21"/>
  <c r="B29" i="21"/>
  <c r="H45" i="60"/>
  <c r="H44" i="60"/>
  <c r="E44" i="60"/>
  <c r="E43" i="60"/>
  <c r="H43" i="60"/>
  <c r="H32" i="60"/>
  <c r="H36" i="60"/>
  <c r="H16" i="60"/>
  <c r="H15" i="60"/>
  <c r="H28" i="60"/>
  <c r="H21" i="60"/>
  <c r="E42" i="60" l="1"/>
  <c r="E41" i="60"/>
  <c r="J27" i="21" s="1"/>
  <c r="H35" i="60" l="1"/>
  <c r="H27" i="60"/>
  <c r="H42" i="60" s="1"/>
  <c r="H9" i="60" l="1"/>
  <c r="H41" i="60" s="1"/>
  <c r="K27" i="21" l="1"/>
  <c r="G6" i="60"/>
  <c r="D6" i="60"/>
  <c r="K9" i="21" l="1"/>
  <c r="K10" i="21"/>
  <c r="K11" i="21"/>
  <c r="I3" i="54"/>
  <c r="I18" i="54" l="1"/>
  <c r="A18" i="54"/>
  <c r="I16" i="54"/>
  <c r="A16" i="54"/>
  <c r="I15" i="54"/>
  <c r="A15" i="54"/>
  <c r="I14" i="54"/>
  <c r="A14" i="54"/>
  <c r="I7" i="54"/>
  <c r="A7" i="54"/>
  <c r="I5" i="54"/>
  <c r="A5" i="54"/>
  <c r="I4" i="54"/>
  <c r="A4" i="54"/>
  <c r="A3" i="54"/>
  <c r="H31" i="21" l="1"/>
  <c r="A10" i="21" l="1"/>
  <c r="B28" i="21"/>
  <c r="E7" i="21"/>
  <c r="A35" i="21"/>
  <c r="A34" i="21"/>
  <c r="A8" i="21"/>
  <c r="A2" i="21"/>
  <c r="A3" i="21"/>
  <c r="A4" i="21"/>
  <c r="K4" i="21"/>
  <c r="A5" i="21"/>
  <c r="K5" i="21"/>
  <c r="A7" i="21"/>
  <c r="A9" i="21"/>
  <c r="E9" i="21"/>
  <c r="A11" i="21"/>
  <c r="A13" i="21"/>
  <c r="E13" i="21"/>
  <c r="A14" i="21"/>
  <c r="A15" i="21"/>
  <c r="E15" i="21"/>
  <c r="A16" i="21"/>
  <c r="A17" i="21"/>
  <c r="A19" i="21"/>
  <c r="A21" i="21"/>
  <c r="C21" i="21"/>
  <c r="F21" i="21"/>
  <c r="B24" i="21"/>
  <c r="K24" i="21"/>
  <c r="B26" i="21"/>
  <c r="C36" i="21"/>
  <c r="A37" i="21"/>
  <c r="A2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27" i="17"/>
  <c r="C49" i="17" s="1"/>
  <c r="K8" i="21" l="1"/>
  <c r="I13" i="54"/>
  <c r="A13" i="54"/>
  <c r="I2" i="54"/>
  <c r="A2" i="54"/>
  <c r="E11" i="21"/>
</calcChain>
</file>

<file path=xl/sharedStrings.xml><?xml version="1.0" encoding="utf-8"?>
<sst xmlns="http://schemas.openxmlformats.org/spreadsheetml/2006/main" count="288" uniqueCount="199">
  <si>
    <t>SHIPPER NAME</t>
    <phoneticPr fontId="6" type="noConversion"/>
  </si>
  <si>
    <t xml:space="preserve"> </t>
    <phoneticPr fontId="10"/>
  </si>
  <si>
    <t>S/CODE</t>
    <phoneticPr fontId="6" type="noConversion"/>
  </si>
  <si>
    <t>SHIPPER ADDRESS 2</t>
    <phoneticPr fontId="11"/>
  </si>
  <si>
    <t>SHIPPER ADDRESS 1</t>
    <phoneticPr fontId="11"/>
  </si>
  <si>
    <t>SHIPPER ADDRESS 3</t>
    <phoneticPr fontId="11"/>
  </si>
  <si>
    <t xml:space="preserve">SHIPPER </t>
    <phoneticPr fontId="11"/>
  </si>
  <si>
    <t>TEL</t>
    <phoneticPr fontId="11"/>
  </si>
  <si>
    <t>FAX</t>
    <phoneticPr fontId="11"/>
  </si>
  <si>
    <t>CONSIGNEE</t>
    <phoneticPr fontId="10"/>
  </si>
  <si>
    <t>INVOICE NO.</t>
    <phoneticPr fontId="10"/>
  </si>
  <si>
    <t>INVOICE DATE</t>
    <phoneticPr fontId="10"/>
  </si>
  <si>
    <t>CONTRACT NO.</t>
    <phoneticPr fontId="10"/>
  </si>
  <si>
    <t>L/C NO.</t>
    <phoneticPr fontId="10"/>
  </si>
  <si>
    <t>PAYMENT METHOD</t>
    <phoneticPr fontId="10"/>
  </si>
  <si>
    <t>SHIPPED PER</t>
    <phoneticPr fontId="10"/>
  </si>
  <si>
    <t>FROM</t>
    <phoneticPr fontId="10"/>
  </si>
  <si>
    <t>TO</t>
    <phoneticPr fontId="10"/>
  </si>
  <si>
    <t>VIA</t>
    <phoneticPr fontId="10"/>
  </si>
  <si>
    <t>CASE MARK</t>
    <phoneticPr fontId="10"/>
  </si>
  <si>
    <t>Q'TY</t>
    <phoneticPr fontId="10"/>
  </si>
  <si>
    <t>AMOUNT</t>
    <phoneticPr fontId="10"/>
  </si>
  <si>
    <t>U/PRICE</t>
    <phoneticPr fontId="10"/>
  </si>
  <si>
    <t>C/NO.</t>
    <phoneticPr fontId="10"/>
  </si>
  <si>
    <t>SIZE</t>
    <phoneticPr fontId="11"/>
  </si>
  <si>
    <t>ART NO.</t>
    <phoneticPr fontId="11"/>
  </si>
  <si>
    <t xml:space="preserve">  DESCRIPTION  OF  GOODS</t>
    <phoneticPr fontId="10"/>
  </si>
  <si>
    <t>TOTAL :</t>
    <phoneticPr fontId="11"/>
  </si>
  <si>
    <t>COLOR</t>
    <phoneticPr fontId="11"/>
  </si>
  <si>
    <t>INVOICE</t>
    <phoneticPr fontId="11"/>
  </si>
  <si>
    <t>ATTN OR VAT NO.</t>
    <phoneticPr fontId="11"/>
  </si>
  <si>
    <t xml:space="preserve">ORDER NO. </t>
    <phoneticPr fontId="10"/>
  </si>
  <si>
    <t>ORDER DATE</t>
    <phoneticPr fontId="11"/>
  </si>
  <si>
    <t>TEL/FAX</t>
    <phoneticPr fontId="11"/>
  </si>
  <si>
    <t>ATTN</t>
    <phoneticPr fontId="11"/>
  </si>
  <si>
    <t>CONSIGNEE :</t>
    <phoneticPr fontId="11"/>
  </si>
  <si>
    <t>CONSIGNEE ADDRESS1</t>
    <phoneticPr fontId="11"/>
  </si>
  <si>
    <t>CONSIGNEE ADDRESS2</t>
    <phoneticPr fontId="11"/>
  </si>
  <si>
    <t>CONSIGNEE ADDRESS3</t>
    <phoneticPr fontId="11"/>
  </si>
  <si>
    <t>TEL</t>
    <phoneticPr fontId="11"/>
  </si>
  <si>
    <t>FAX</t>
    <phoneticPr fontId="11"/>
  </si>
  <si>
    <t>PAYMENT 1</t>
    <phoneticPr fontId="11"/>
  </si>
  <si>
    <t>PAYMENT 2</t>
    <phoneticPr fontId="11"/>
  </si>
  <si>
    <t>SHIPPER PER</t>
    <phoneticPr fontId="11"/>
  </si>
  <si>
    <t>INVOICE DATE</t>
    <phoneticPr fontId="11"/>
  </si>
  <si>
    <t>INVOICE NO.</t>
    <phoneticPr fontId="11"/>
  </si>
  <si>
    <t>CONTRACT NO.</t>
    <phoneticPr fontId="11"/>
  </si>
  <si>
    <t>CONTRACT DATE</t>
    <phoneticPr fontId="11"/>
  </si>
  <si>
    <t>ORDER DATE</t>
    <phoneticPr fontId="11"/>
  </si>
  <si>
    <t>ORDER NO.</t>
    <phoneticPr fontId="11"/>
  </si>
  <si>
    <t>L/C DATE</t>
    <phoneticPr fontId="11"/>
  </si>
  <si>
    <t>FROM</t>
    <phoneticPr fontId="11"/>
  </si>
  <si>
    <t xml:space="preserve"> TOKYO, JAPAN</t>
    <phoneticPr fontId="11"/>
  </si>
  <si>
    <t>TO</t>
    <phoneticPr fontId="11"/>
  </si>
  <si>
    <t>VIA</t>
    <phoneticPr fontId="11"/>
  </si>
  <si>
    <t>SHIPPING TERMS</t>
    <phoneticPr fontId="11"/>
  </si>
  <si>
    <t>TITTLE 1</t>
    <phoneticPr fontId="11"/>
  </si>
  <si>
    <t>TITTLE 2</t>
    <phoneticPr fontId="11"/>
  </si>
  <si>
    <t>ATTACHE</t>
    <phoneticPr fontId="11"/>
  </si>
  <si>
    <t>- DETAILS AS PER ATTACHED SHEET -</t>
    <phoneticPr fontId="11"/>
  </si>
  <si>
    <t>C/NO.</t>
    <phoneticPr fontId="11"/>
  </si>
  <si>
    <t>STYLE NO.</t>
    <phoneticPr fontId="11"/>
  </si>
  <si>
    <t>DESCRIPTION</t>
    <phoneticPr fontId="11"/>
  </si>
  <si>
    <t>Q'TY CODE</t>
    <phoneticPr fontId="11"/>
  </si>
  <si>
    <t>QUANTITY</t>
    <phoneticPr fontId="11"/>
  </si>
  <si>
    <t>UNIT PRICE</t>
    <phoneticPr fontId="11"/>
  </si>
  <si>
    <t>AMOUNT</t>
    <phoneticPr fontId="11"/>
  </si>
  <si>
    <t>DISCOUNT</t>
    <phoneticPr fontId="11"/>
  </si>
  <si>
    <t>CASE MARK1</t>
    <phoneticPr fontId="11"/>
  </si>
  <si>
    <t>CASE MARK2</t>
    <phoneticPr fontId="11"/>
  </si>
  <si>
    <t>CASE MARK3</t>
    <phoneticPr fontId="11"/>
  </si>
  <si>
    <t>CASE MARK4</t>
    <phoneticPr fontId="11"/>
  </si>
  <si>
    <t>CASE MARK5</t>
    <phoneticPr fontId="11"/>
  </si>
  <si>
    <t>CASE MARK6</t>
    <phoneticPr fontId="11"/>
  </si>
  <si>
    <t>TOTAL</t>
    <phoneticPr fontId="11"/>
  </si>
  <si>
    <t>MANUFACTURED BY</t>
    <phoneticPr fontId="11"/>
  </si>
  <si>
    <t>ORIGIN</t>
    <phoneticPr fontId="11"/>
  </si>
  <si>
    <t>COUNTRY OF ORIGIN : JAPAN</t>
    <phoneticPr fontId="11"/>
  </si>
  <si>
    <t>OUR BANK</t>
    <phoneticPr fontId="11"/>
  </si>
  <si>
    <t>ETD TYO</t>
    <phoneticPr fontId="11"/>
  </si>
  <si>
    <t>DELIVERY SCHEDULES</t>
    <phoneticPr fontId="11"/>
  </si>
  <si>
    <t>INSURANCE</t>
    <phoneticPr fontId="11"/>
  </si>
  <si>
    <t>REMARK 1</t>
    <phoneticPr fontId="11"/>
  </si>
  <si>
    <t>AIR FREIGHT</t>
    <phoneticPr fontId="11"/>
  </si>
  <si>
    <t>YOUR (OUR) FORWARDER</t>
    <phoneticPr fontId="11"/>
  </si>
  <si>
    <t>CUSTOMS AGENT</t>
    <phoneticPr fontId="11"/>
  </si>
  <si>
    <t>FORWARDER</t>
    <phoneticPr fontId="11"/>
  </si>
  <si>
    <t>C/O ISSUED DATE</t>
    <phoneticPr fontId="11"/>
  </si>
  <si>
    <t>COUNTRY</t>
    <phoneticPr fontId="11"/>
  </si>
  <si>
    <t>F.O.B. TOKYO IN YEN</t>
    <phoneticPr fontId="11"/>
  </si>
  <si>
    <t xml:space="preserve"> SHUNYA CO., LTD.</t>
    <phoneticPr fontId="11"/>
  </si>
  <si>
    <t xml:space="preserve"> KENSHIN BLDG., 1F, 1-22-10 DOUGENZAKA,</t>
    <phoneticPr fontId="11"/>
  </si>
  <si>
    <t xml:space="preserve"> SHIBUYA-KU 150-0043</t>
    <phoneticPr fontId="11"/>
  </si>
  <si>
    <t xml:space="preserve"> TEL : +81(0)3-5459-1177</t>
    <phoneticPr fontId="11"/>
  </si>
  <si>
    <t xml:space="preserve"> - SAME AS BUYER -</t>
    <phoneticPr fontId="11"/>
  </si>
  <si>
    <t xml:space="preserve"> HOCHIMINH-CITY, VIETNAM</t>
    <phoneticPr fontId="11"/>
  </si>
  <si>
    <t>" NO COMMER VALUE</t>
    <phoneticPr fontId="11"/>
  </si>
  <si>
    <t xml:space="preserve">  VALUE FOR CUSTOMS PURPOSE ONLY "</t>
    <phoneticPr fontId="11"/>
  </si>
  <si>
    <t xml:space="preserve"> C/NO.</t>
    <phoneticPr fontId="11"/>
  </si>
  <si>
    <t>VIETNAM</t>
    <phoneticPr fontId="11"/>
  </si>
  <si>
    <t>PREPAID</t>
    <phoneticPr fontId="11"/>
  </si>
  <si>
    <t>IMPORTER</t>
    <phoneticPr fontId="10"/>
  </si>
  <si>
    <t>COVERED BY SHIPPER</t>
    <phoneticPr fontId="11"/>
  </si>
  <si>
    <t>MEITETSU WORLD TRANSPORT (MR. NAMIKI)</t>
    <phoneticPr fontId="11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</si>
  <si>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11"/>
  </si>
  <si>
    <t>BUYER</t>
    <phoneticPr fontId="11"/>
  </si>
  <si>
    <t>BUYER ADDRESS1</t>
    <phoneticPr fontId="11"/>
  </si>
  <si>
    <t>BUYER ADDRESS2</t>
    <phoneticPr fontId="11"/>
  </si>
  <si>
    <t>BUYER ADDRESS3</t>
    <phoneticPr fontId="11"/>
  </si>
  <si>
    <t xml:space="preserve"> AIRCRAFT</t>
    <phoneticPr fontId="11"/>
  </si>
  <si>
    <t>持ち帰り条件</t>
    <rPh sb="0" eb="1">
      <t>モ</t>
    </rPh>
    <rPh sb="2" eb="3">
      <t>カエ</t>
    </rPh>
    <rPh sb="4" eb="6">
      <t>ジョウケン</t>
    </rPh>
    <phoneticPr fontId="11"/>
  </si>
  <si>
    <t>" NO COMMERCIAL VALUE</t>
    <phoneticPr fontId="11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</si>
  <si>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1"/>
  </si>
  <si>
    <t xml:space="preserve">  AFTER MANUFACTURED AT VIET NAM "</t>
    <phoneticPr fontId="11"/>
  </si>
  <si>
    <t xml:space="preserve"> VALUE FOR CUSTOMS PURPOSE ONLY "</t>
    <phoneticPr fontId="11"/>
  </si>
  <si>
    <t xml:space="preserve"> NO COMMERCIAL</t>
    <phoneticPr fontId="10"/>
  </si>
  <si>
    <t>M.</t>
    <phoneticPr fontId="11"/>
  </si>
  <si>
    <t>PCS.</t>
    <phoneticPr fontId="11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</si>
  <si>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</si>
  <si>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</si>
  <si>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</si>
  <si>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</si>
  <si>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</si>
  <si>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</si>
  <si>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</si>
  <si>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</si>
  <si>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</si>
  <si>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</si>
  <si>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>TOTAL :</t>
  </si>
  <si>
    <t xml:space="preserve">ART NO. </t>
    <phoneticPr fontId="11"/>
  </si>
  <si>
    <t>(H.S. CODE)</t>
    <phoneticPr fontId="11"/>
  </si>
  <si>
    <t>- ATTACHED SHEET -</t>
    <phoneticPr fontId="11"/>
  </si>
  <si>
    <t xml:space="preserve"> </t>
    <phoneticPr fontId="11"/>
  </si>
  <si>
    <t>TOTAL CARTONS :</t>
    <phoneticPr fontId="11"/>
  </si>
  <si>
    <t>TOTAL GROSS WEIGHT :</t>
    <phoneticPr fontId="11"/>
  </si>
  <si>
    <t>原産国</t>
    <rPh sb="0" eb="3">
      <t>ゲンサンコク</t>
    </rPh>
    <phoneticPr fontId="11"/>
  </si>
  <si>
    <t>MADE IN JAPAN</t>
    <phoneticPr fontId="11"/>
  </si>
  <si>
    <t>VIVAN GARMENTS VIET NAM COMPANY LIMITED</t>
    <phoneticPr fontId="11"/>
  </si>
  <si>
    <t>Hamlet 3 , Long Hau Commune , Can Giuoc District,</t>
    <phoneticPr fontId="11"/>
  </si>
  <si>
    <t xml:space="preserve"> Long An Province , VietNam</t>
    <phoneticPr fontId="11"/>
  </si>
  <si>
    <t xml:space="preserve"> TEL : :   ( 084 ) 097 22 00 798  ATTN : MR. TUAN</t>
    <phoneticPr fontId="11"/>
  </si>
  <si>
    <t>SET.</t>
    <phoneticPr fontId="11"/>
  </si>
  <si>
    <t>MADE  IN JAPAN</t>
    <phoneticPr fontId="11"/>
  </si>
  <si>
    <t>FABRIC &amp; PARTS FOR WEAR &amp; SAMPLE CLOTHES</t>
    <phoneticPr fontId="11"/>
  </si>
  <si>
    <t xml:space="preserve"> TEL : ( 084 ) 097 22 00 798  ATTN : MR. TUAN</t>
    <phoneticPr fontId="11"/>
  </si>
  <si>
    <r>
      <rPr>
        <b/>
        <i/>
        <sz val="10"/>
        <rFont val="ＭＳ Ｐゴシック"/>
        <family val="3"/>
        <charset val="128"/>
      </rPr>
      <t>搬入内容</t>
    </r>
    <rPh sb="0" eb="2">
      <t>ハンニュウ</t>
    </rPh>
    <phoneticPr fontId="11"/>
  </si>
  <si>
    <r>
      <t>MADE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IN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JAPAN</t>
    </r>
    <phoneticPr fontId="11"/>
  </si>
  <si>
    <t>LABEL SHEET -</t>
    <phoneticPr fontId="11"/>
  </si>
  <si>
    <t>KGS</t>
    <phoneticPr fontId="11"/>
  </si>
  <si>
    <t>長繊維、プリント加工なし</t>
    <rPh sb="0" eb="1">
      <t>ナガ</t>
    </rPh>
    <rPh sb="1" eb="3">
      <t>センイ</t>
    </rPh>
    <rPh sb="8" eb="9">
      <t>ナ</t>
    </rPh>
    <phoneticPr fontId="11"/>
  </si>
  <si>
    <t>KNIT FABRIC</t>
    <phoneticPr fontId="11"/>
  </si>
  <si>
    <t>C/#MIX</t>
    <phoneticPr fontId="11"/>
  </si>
  <si>
    <t>May, 22 2024</t>
    <phoneticPr fontId="11"/>
  </si>
  <si>
    <t>古着　プリントなし</t>
    <rPh sb="0" eb="1">
      <t>フルギ</t>
    </rPh>
    <phoneticPr fontId="11"/>
  </si>
  <si>
    <t>1</t>
    <phoneticPr fontId="11"/>
  </si>
  <si>
    <t>D17 Street , Sai Gon South Residential Area</t>
    <phoneticPr fontId="11"/>
  </si>
  <si>
    <t>T4100</t>
    <phoneticPr fontId="11"/>
  </si>
  <si>
    <t>後染めチュール生地</t>
    <rPh sb="0" eb="1">
      <t>アト</t>
    </rPh>
    <rPh sb="1" eb="2">
      <t>ゾ</t>
    </rPh>
    <rPh sb="7" eb="9">
      <t>キジ</t>
    </rPh>
    <phoneticPr fontId="11"/>
  </si>
  <si>
    <t>STYLE: cc24aw-03</t>
    <phoneticPr fontId="11"/>
  </si>
  <si>
    <t>WOVEN FABRIC</t>
    <phoneticPr fontId="11"/>
  </si>
  <si>
    <t>NYLON 100%</t>
    <phoneticPr fontId="11"/>
  </si>
  <si>
    <r>
      <t>WIDTH:162CM (16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</si>
  <si>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C/#302 GRAY</t>
    <phoneticPr fontId="11"/>
  </si>
  <si>
    <r>
      <rPr>
        <b/>
        <sz val="10"/>
        <rFont val="Yu Gothic"/>
        <family val="2"/>
        <charset val="128"/>
      </rPr>
      <t>入庫</t>
    </r>
    <r>
      <rPr>
        <b/>
        <sz val="10"/>
        <rFont val="Century Gothic"/>
        <family val="2"/>
      </rPr>
      <t>NO.</t>
    </r>
    <r>
      <rPr>
        <b/>
        <sz val="10"/>
        <rFont val="Century Gothic"/>
        <family val="2"/>
        <charset val="128"/>
      </rPr>
      <t>22064979</t>
    </r>
    <rPh sb="0" eb="2">
      <t>ニュウコ</t>
    </rPh>
    <phoneticPr fontId="11"/>
  </si>
  <si>
    <t>cashmere 100%</t>
    <phoneticPr fontId="11"/>
  </si>
  <si>
    <t>men's crew neck used knit wear</t>
    <phoneticPr fontId="11"/>
  </si>
  <si>
    <t>made in japan</t>
    <phoneticPr fontId="11"/>
  </si>
  <si>
    <t>STYLE: 23sy-AC04/05/06</t>
    <phoneticPr fontId="11"/>
  </si>
  <si>
    <t>men's used T-shirt</t>
    <phoneticPr fontId="11"/>
  </si>
  <si>
    <t>COTTON 100%</t>
    <phoneticPr fontId="11"/>
  </si>
  <si>
    <t>C/#GRAY</t>
    <phoneticPr fontId="11"/>
  </si>
  <si>
    <t>古着　プリント有</t>
    <rPh sb="0" eb="1">
      <t>フルギ</t>
    </rPh>
    <rPh sb="7" eb="8">
      <t>アリ</t>
    </rPh>
    <phoneticPr fontId="11"/>
  </si>
  <si>
    <t>#7017</t>
    <phoneticPr fontId="11"/>
  </si>
  <si>
    <t>短繊維、プリント加工なし</t>
    <rPh sb="0" eb="1">
      <t>ミジカ</t>
    </rPh>
    <rPh sb="1" eb="3">
      <t>センイ</t>
    </rPh>
    <rPh sb="8" eb="9">
      <t>ナ</t>
    </rPh>
    <phoneticPr fontId="11"/>
  </si>
  <si>
    <t>後染めスレキ生地　朱子織</t>
    <rPh sb="0" eb="1">
      <t>アト</t>
    </rPh>
    <rPh sb="1" eb="2">
      <t>ゾ</t>
    </rPh>
    <rPh sb="6" eb="8">
      <t>キジ</t>
    </rPh>
    <rPh sb="9" eb="11">
      <t>シュシ</t>
    </rPh>
    <rPh sb="11" eb="12">
      <t>オリ</t>
    </rPh>
    <phoneticPr fontId="11"/>
  </si>
  <si>
    <t>C/#258 BEIGE</t>
    <phoneticPr fontId="11"/>
  </si>
  <si>
    <t>c/#1-1 BLACK</t>
    <phoneticPr fontId="11"/>
  </si>
  <si>
    <t>STYLE: 24A-CS02</t>
    <phoneticPr fontId="11"/>
  </si>
  <si>
    <r>
      <t>WIDTH:102CM (125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</si>
  <si>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r>
      <rPr>
        <b/>
        <sz val="10"/>
        <rFont val="ＭＳ Ｐゴシック"/>
        <family val="2"/>
        <charset val="128"/>
      </rPr>
      <t>入庫</t>
    </r>
    <r>
      <rPr>
        <b/>
        <sz val="10"/>
        <rFont val="Century Gothic"/>
        <family val="2"/>
        <charset val="128"/>
      </rPr>
      <t>NO,22065136</t>
    </r>
    <phoneticPr fontId="11"/>
  </si>
  <si>
    <t>used denim cloth</t>
    <phoneticPr fontId="11"/>
  </si>
  <si>
    <t>STYLE: 25SS-SV-701/706</t>
    <phoneticPr fontId="11"/>
  </si>
  <si>
    <t>C/#BLUE</t>
    <phoneticPr fontId="11"/>
  </si>
  <si>
    <t>KG.</t>
    <phoneticPr fontId="11"/>
  </si>
  <si>
    <t>pattern paper</t>
    <phoneticPr fontId="11"/>
  </si>
  <si>
    <t>cc24aw-41 pattern paper</t>
    <phoneticPr fontId="11"/>
  </si>
  <si>
    <t>2-5</t>
    <phoneticPr fontId="11"/>
  </si>
  <si>
    <t>6-7</t>
    <phoneticPr fontId="11"/>
  </si>
  <si>
    <t>巻反</t>
    <rPh sb="0" eb="1">
      <t>マキ</t>
    </rPh>
    <rPh sb="1" eb="2">
      <t>タン</t>
    </rPh>
    <phoneticPr fontId="11"/>
  </si>
  <si>
    <r>
      <rPr>
        <b/>
        <sz val="14"/>
        <rFont val="ＭＳ Ｐゴシック"/>
        <family val="2"/>
        <charset val="128"/>
      </rPr>
      <t>箱</t>
    </r>
    <r>
      <rPr>
        <b/>
        <sz val="14"/>
        <rFont val="Century Gothic"/>
        <family val="2"/>
      </rPr>
      <t>NO.2</t>
    </r>
    <r>
      <rPr>
        <b/>
        <sz val="14"/>
        <rFont val="ＭＳ Ｐゴシック"/>
        <family val="2"/>
        <charset val="128"/>
      </rPr>
      <t>～</t>
    </r>
    <r>
      <rPr>
        <b/>
        <sz val="14"/>
        <rFont val="Century Gothic"/>
        <family val="2"/>
      </rPr>
      <t>3</t>
    </r>
    <rPh sb="0" eb="1">
      <t>ハコ</t>
    </rPh>
    <phoneticPr fontId="11"/>
  </si>
  <si>
    <r>
      <rPr>
        <b/>
        <sz val="14"/>
        <rFont val="ＭＳ Ｐゴシック"/>
        <family val="2"/>
        <charset val="128"/>
      </rPr>
      <t>箱</t>
    </r>
    <r>
      <rPr>
        <b/>
        <sz val="14"/>
        <rFont val="Century Gothic"/>
        <family val="2"/>
      </rPr>
      <t>NO.1</t>
    </r>
    <rPh sb="0" eb="1">
      <t>ハコ</t>
    </rPh>
    <phoneticPr fontId="11"/>
  </si>
  <si>
    <t>7CARTONS</t>
    <phoneticPr fontId="11"/>
  </si>
  <si>
    <t xml:space="preserve"> C/NO. 1-7</t>
    <phoneticPr fontId="11"/>
  </si>
  <si>
    <r>
      <t>116</t>
    </r>
    <r>
      <rPr>
        <b/>
        <sz val="10"/>
        <rFont val="Yu Gothic"/>
        <family val="2"/>
        <charset val="128"/>
      </rPr>
      <t>　　</t>
    </r>
    <r>
      <rPr>
        <b/>
        <sz val="10"/>
        <rFont val="Century Gothic"/>
        <family val="2"/>
      </rPr>
      <t>M.</t>
    </r>
    <r>
      <rPr>
        <b/>
        <sz val="10"/>
        <rFont val="Yu Gothic"/>
        <family val="2"/>
        <charset val="128"/>
      </rPr>
      <t>　　　　</t>
    </r>
    <r>
      <rPr>
        <b/>
        <sz val="10"/>
        <rFont val="Century Gothic"/>
        <family val="2"/>
      </rPr>
      <t>74</t>
    </r>
    <phoneticPr fontId="11"/>
  </si>
  <si>
    <t>July, 03 2024</t>
    <phoneticPr fontId="11"/>
  </si>
  <si>
    <t xml:space="preserve"> SY-5700703-VT-DD-01</t>
    <phoneticPr fontId="11"/>
  </si>
  <si>
    <t>116M 74PCS. 1SET. 28.8KG</t>
    <phoneticPr fontId="11"/>
  </si>
  <si>
    <t>7PACKAGES</t>
    <phoneticPr fontId="11"/>
  </si>
  <si>
    <t>NO.22065156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</si>
</sst>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26" formatCode="\$#,##0.00_);[Red]\(\$#,##0.00\)"/>
    <numFmt numFmtId="176" formatCode="_(* #,##0_);_(* \(#,##0\);_(* &quot;-&quot;_);_(@_)"/>
    <numFmt numFmtId="177" formatCode="[$€-410]\ #,##0.00_);[Red]\([$€-410]\ #,##0.00\)"/>
    <numFmt numFmtId="178" formatCode="0_);[Red]\(0\)"/>
    <numFmt numFmtId="179" formatCode="[$€-410]\ #,##0.00;\-[$€-410]\ #,##0.00"/>
    <numFmt numFmtId="180" formatCode="&quot;¥&quot;#,##0_);\(&quot;¥&quot;#,##0\)"/>
    <numFmt numFmtId="181" formatCode="&quot;¥&quot;#,##0_);[Red]\(&quot;¥&quot;#,##0\)"/>
    <numFmt numFmtId="182" formatCode="#,##0.0"/>
    <numFmt numFmtId="183" formatCode="_(* #,##0.0_);_(* \(#,##0.0\);_(* &quot;-&quot;_);_(@_)"/>
    <numFmt numFmtId="184" formatCode="#,##0.0_);\(#,##0.0\)"/>
    <numFmt numFmtId="185" formatCode="m/d;@"/>
  </numFmts>
  <fonts count="55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22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b/>
      <i/>
      <sz val="9"/>
      <name val="Century Gothic"/>
      <family val="2"/>
    </font>
    <font>
      <sz val="16"/>
      <name val="Century Gothic"/>
      <family val="2"/>
    </font>
    <font>
      <b/>
      <u/>
      <sz val="11"/>
      <name val="Century Gothic"/>
      <family val="2"/>
    </font>
    <font>
      <b/>
      <i/>
      <sz val="10"/>
      <name val="Century Gothic"/>
      <family val="2"/>
    </font>
    <font>
      <i/>
      <sz val="10"/>
      <name val="Century Gothic"/>
      <family val="2"/>
    </font>
    <font>
      <b/>
      <sz val="20"/>
      <name val="Century Gothic"/>
      <family val="2"/>
    </font>
    <font>
      <u/>
      <sz val="10"/>
      <color indexed="12"/>
      <name val="Verdana"/>
      <family val="2"/>
    </font>
    <font>
      <sz val="28"/>
      <name val="新細明體"/>
      <family val="1"/>
    </font>
    <font>
      <b/>
      <i/>
      <sz val="20"/>
      <name val="Century Gothic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sz val="28"/>
      <name val="ＭＳ Ｐゴシック"/>
      <family val="3"/>
      <charset val="128"/>
      <scheme val="minor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b/>
      <u/>
      <sz val="10"/>
      <color theme="3"/>
      <name val="Century Gothic"/>
      <family val="2"/>
    </font>
    <font>
      <b/>
      <sz val="14"/>
      <name val="Century Gothic"/>
      <family val="2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u/>
      <sz val="10"/>
      <color theme="1"/>
      <name val="Century Gothic"/>
      <family val="2"/>
    </font>
    <font>
      <b/>
      <sz val="10"/>
      <color rgb="FFFF0000"/>
      <name val="MS PGothic"/>
      <family val="3"/>
      <charset val="128"/>
    </font>
    <font>
      <b/>
      <sz val="10"/>
      <color theme="1"/>
      <name val="Yu Gothic"/>
      <family val="3"/>
      <charset val="128"/>
    </font>
    <font>
      <b/>
      <sz val="10"/>
      <color theme="1"/>
      <name val="Microsoft YaHei"/>
      <family val="3"/>
      <charset val="134"/>
    </font>
    <font>
      <b/>
      <sz val="12"/>
      <color rgb="FFFF0000"/>
      <name val="Century Gothic"/>
      <family val="2"/>
    </font>
    <font>
      <b/>
      <sz val="10"/>
      <name val="ＭＳ Ｐゴシック"/>
      <family val="3"/>
      <charset val="128"/>
      <scheme val="major"/>
    </font>
    <font>
      <sz val="11"/>
      <name val="ＭＳ Ｐゴシック"/>
      <family val="3"/>
      <charset val="128"/>
    </font>
    <font>
      <b/>
      <sz val="10"/>
      <name val="Yu Gothic"/>
      <family val="2"/>
      <charset val="128"/>
    </font>
    <font>
      <b/>
      <sz val="10"/>
      <name val="Century Gothic"/>
      <family val="2"/>
      <charset val="128"/>
    </font>
    <font>
      <b/>
      <sz val="10"/>
      <color rgb="FFFF0000"/>
      <name val="Yu Gothic"/>
      <family val="2"/>
      <charset val="128"/>
    </font>
    <font>
      <b/>
      <sz val="14"/>
      <name val="ＭＳ Ｐゴシック"/>
      <family val="2"/>
      <charset val="128"/>
    </font>
    <font>
      <b/>
      <sz val="14"/>
      <name val="Century Gothic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9" fillId="0" borderId="0">
      <alignment vertical="center"/>
    </xf>
  </cellStyleXfs>
  <cellXfs count="322">
    <xf numFmtId="0" fontId="0" fillId="0" borderId="0" xfId="0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center" shrinkToFit="1"/>
    </xf>
    <xf numFmtId="0" fontId="9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>
      <alignment vertical="center"/>
    </xf>
    <xf numFmtId="0" fontId="9" fillId="0" borderId="2" xfId="0" applyFont="1" applyBorder="1" applyAlignment="1">
      <alignment horizontal="left" vertical="center"/>
    </xf>
    <xf numFmtId="49" fontId="13" fillId="0" borderId="0" xfId="0" applyNumberFormat="1" applyFont="1">
      <alignment vertical="center"/>
    </xf>
    <xf numFmtId="0" fontId="13" fillId="0" borderId="3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4" xfId="0" applyFont="1" applyBorder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0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0" xfId="0" quotePrefix="1" applyFont="1">
      <alignment vertical="center"/>
    </xf>
    <xf numFmtId="0" fontId="9" fillId="0" borderId="0" xfId="0" quotePrefix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9" fontId="9" fillId="0" borderId="0" xfId="0" applyNumberFormat="1" applyFont="1" applyAlignment="1">
      <alignment horizontal="center" vertical="center"/>
    </xf>
    <xf numFmtId="0" fontId="21" fillId="0" borderId="0" xfId="0" applyFont="1">
      <alignment vertical="center"/>
    </xf>
    <xf numFmtId="0" fontId="9" fillId="0" borderId="3" xfId="0" applyFont="1" applyBorder="1">
      <alignment vertical="center"/>
    </xf>
    <xf numFmtId="0" fontId="20" fillId="0" borderId="0" xfId="0" applyFont="1">
      <alignment vertical="center"/>
    </xf>
    <xf numFmtId="0" fontId="15" fillId="0" borderId="6" xfId="0" applyFont="1" applyBorder="1">
      <alignment vertical="center"/>
    </xf>
    <xf numFmtId="0" fontId="20" fillId="0" borderId="7" xfId="0" applyFont="1" applyBorder="1">
      <alignment vertical="center"/>
    </xf>
    <xf numFmtId="0" fontId="20" fillId="0" borderId="6" xfId="0" applyFont="1" applyBorder="1">
      <alignment vertical="center"/>
    </xf>
    <xf numFmtId="0" fontId="15" fillId="0" borderId="8" xfId="0" applyFont="1" applyBorder="1">
      <alignment vertical="center"/>
    </xf>
    <xf numFmtId="0" fontId="20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15" fillId="0" borderId="1" xfId="0" applyFont="1" applyBorder="1">
      <alignment vertical="center"/>
    </xf>
    <xf numFmtId="0" fontId="15" fillId="0" borderId="9" xfId="0" applyFont="1" applyBorder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8" fillId="0" borderId="0" xfId="0" applyFont="1">
      <alignment vertical="center"/>
    </xf>
    <xf numFmtId="0" fontId="19" fillId="0" borderId="0" xfId="0" applyFont="1" applyAlignment="1">
      <alignment horizontal="right"/>
    </xf>
    <xf numFmtId="0" fontId="9" fillId="0" borderId="0" xfId="0" applyFont="1" applyAlignment="1">
      <alignment horizontal="right" vertical="center"/>
    </xf>
    <xf numFmtId="0" fontId="9" fillId="0" borderId="8" xfId="0" applyFont="1" applyBorder="1">
      <alignment vertical="center"/>
    </xf>
    <xf numFmtId="49" fontId="9" fillId="0" borderId="0" xfId="0" applyNumberFormat="1" applyFont="1">
      <alignment vertical="center"/>
    </xf>
    <xf numFmtId="49" fontId="9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22" fillId="0" borderId="0" xfId="0" applyFont="1">
      <alignment vertical="center"/>
    </xf>
    <xf numFmtId="0" fontId="22" fillId="0" borderId="1" xfId="0" applyFont="1" applyBorder="1" applyAlignment="1">
      <alignment horizontal="left"/>
    </xf>
    <xf numFmtId="49" fontId="15" fillId="0" borderId="1" xfId="0" applyNumberFormat="1" applyFont="1" applyBorder="1" applyAlignment="1">
      <alignment horizontal="right"/>
    </xf>
    <xf numFmtId="49" fontId="15" fillId="0" borderId="0" xfId="0" applyNumberFormat="1" applyFont="1">
      <alignment vertical="center"/>
    </xf>
    <xf numFmtId="0" fontId="23" fillId="0" borderId="11" xfId="0" applyFont="1" applyBorder="1" applyAlignment="1">
      <alignment horizontal="center" vertical="center"/>
    </xf>
    <xf numFmtId="0" fontId="23" fillId="0" borderId="11" xfId="0" applyFont="1" applyBorder="1">
      <alignment vertical="center"/>
    </xf>
    <xf numFmtId="0" fontId="23" fillId="0" borderId="12" xfId="0" applyFont="1" applyBorder="1" applyAlignment="1">
      <alignment horizontal="center" vertical="center"/>
    </xf>
    <xf numFmtId="0" fontId="24" fillId="0" borderId="0" xfId="0" applyFont="1">
      <alignment vertical="center"/>
    </xf>
    <xf numFmtId="179" fontId="9" fillId="0" borderId="0" xfId="0" applyNumberFormat="1" applyFont="1">
      <alignment vertical="center"/>
    </xf>
    <xf numFmtId="26" fontId="9" fillId="0" borderId="0" xfId="0" applyNumberFormat="1" applyFont="1">
      <alignment vertical="center"/>
    </xf>
    <xf numFmtId="0" fontId="9" fillId="0" borderId="0" xfId="0" applyFont="1" applyAlignment="1">
      <alignment horizontal="left"/>
    </xf>
    <xf numFmtId="0" fontId="23" fillId="0" borderId="13" xfId="0" applyFont="1" applyBorder="1" applyAlignment="1">
      <alignment horizontal="center" vertical="center"/>
    </xf>
    <xf numFmtId="0" fontId="15" fillId="0" borderId="14" xfId="0" applyFont="1" applyBorder="1">
      <alignment vertical="center"/>
    </xf>
    <xf numFmtId="0" fontId="14" fillId="0" borderId="10" xfId="0" applyFont="1" applyBorder="1" applyAlignment="1">
      <alignment horizontal="center" vertical="center"/>
    </xf>
    <xf numFmtId="0" fontId="25" fillId="0" borderId="0" xfId="0" applyFont="1">
      <alignment vertical="center"/>
    </xf>
    <xf numFmtId="49" fontId="9" fillId="0" borderId="2" xfId="0" applyNumberFormat="1" applyFont="1" applyBorder="1">
      <alignment vertical="center"/>
    </xf>
    <xf numFmtId="49" fontId="9" fillId="0" borderId="1" xfId="0" applyNumberFormat="1" applyFont="1" applyBorder="1">
      <alignment vertical="center"/>
    </xf>
    <xf numFmtId="49" fontId="9" fillId="0" borderId="9" xfId="0" applyNumberFormat="1" applyFont="1" applyBorder="1">
      <alignment vertical="center"/>
    </xf>
    <xf numFmtId="0" fontId="15" fillId="0" borderId="2" xfId="0" applyFont="1" applyBorder="1">
      <alignment vertical="center"/>
    </xf>
    <xf numFmtId="0" fontId="14" fillId="0" borderId="0" xfId="0" applyFont="1">
      <alignment vertical="center"/>
    </xf>
    <xf numFmtId="49" fontId="9" fillId="0" borderId="0" xfId="0" applyNumberFormat="1" applyFont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15" xfId="0" applyFont="1" applyBorder="1">
      <alignment vertical="center"/>
    </xf>
    <xf numFmtId="0" fontId="20" fillId="0" borderId="8" xfId="0" applyFont="1" applyBorder="1">
      <alignment vertical="center"/>
    </xf>
    <xf numFmtId="26" fontId="14" fillId="0" borderId="8" xfId="0" applyNumberFormat="1" applyFont="1" applyBorder="1" applyAlignment="1">
      <alignment horizontal="left" vertical="center"/>
    </xf>
    <xf numFmtId="0" fontId="34" fillId="0" borderId="0" xfId="0" applyFont="1" applyAlignment="1">
      <alignment vertical="center" shrinkToFit="1"/>
    </xf>
    <xf numFmtId="49" fontId="9" fillId="0" borderId="0" xfId="0" applyNumberFormat="1" applyFont="1" applyAlignment="1">
      <alignment vertical="center" shrinkToFit="1"/>
    </xf>
    <xf numFmtId="0" fontId="26" fillId="0" borderId="0" xfId="1" applyNumberFormat="1" applyFont="1" applyFill="1" applyBorder="1" applyAlignment="1" applyProtection="1"/>
    <xf numFmtId="26" fontId="9" fillId="0" borderId="0" xfId="0" applyNumberFormat="1" applyFont="1" applyAlignment="1">
      <alignment horizontal="left" vertical="center" shrinkToFit="1"/>
    </xf>
    <xf numFmtId="181" fontId="9" fillId="0" borderId="0" xfId="0" applyNumberFormat="1" applyFont="1" applyAlignment="1">
      <alignment horizontal="left" vertical="center" shrinkToFit="1"/>
    </xf>
    <xf numFmtId="0" fontId="14" fillId="0" borderId="0" xfId="0" applyFont="1" applyAlignment="1">
      <alignment vertical="center" shrinkToFit="1"/>
    </xf>
    <xf numFmtId="0" fontId="35" fillId="0" borderId="0" xfId="0" applyFont="1">
      <alignment vertical="center"/>
    </xf>
    <xf numFmtId="0" fontId="27" fillId="0" borderId="0" xfId="0" applyFont="1">
      <alignment vertical="center"/>
    </xf>
    <xf numFmtId="0" fontId="35" fillId="0" borderId="0" xfId="0" applyFont="1" applyAlignment="1">
      <alignment horizontal="left" vertical="center"/>
    </xf>
    <xf numFmtId="0" fontId="35" fillId="0" borderId="16" xfId="0" applyFont="1" applyBorder="1">
      <alignment vertical="center"/>
    </xf>
    <xf numFmtId="0" fontId="35" fillId="0" borderId="17" xfId="0" applyFont="1" applyBorder="1">
      <alignment vertical="center"/>
    </xf>
    <xf numFmtId="0" fontId="35" fillId="0" borderId="18" xfId="0" applyFont="1" applyBorder="1">
      <alignment vertical="center"/>
    </xf>
    <xf numFmtId="0" fontId="28" fillId="0" borderId="0" xfId="0" applyFont="1">
      <alignment vertical="center"/>
    </xf>
    <xf numFmtId="0" fontId="9" fillId="0" borderId="10" xfId="0" applyFont="1" applyBorder="1" applyAlignment="1">
      <alignment horizontal="center" vertical="center"/>
    </xf>
    <xf numFmtId="0" fontId="36" fillId="0" borderId="0" xfId="0" applyFont="1" applyAlignment="1">
      <alignment vertical="center" shrinkToFit="1"/>
    </xf>
    <xf numFmtId="0" fontId="19" fillId="0" borderId="0" xfId="0" applyFont="1">
      <alignment vertical="center"/>
    </xf>
    <xf numFmtId="0" fontId="37" fillId="0" borderId="0" xfId="0" applyFont="1" applyAlignment="1">
      <alignment horizontal="left" vertical="center"/>
    </xf>
    <xf numFmtId="0" fontId="9" fillId="0" borderId="25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14" fillId="0" borderId="21" xfId="0" applyFont="1" applyBorder="1">
      <alignment vertical="center"/>
    </xf>
    <xf numFmtId="0" fontId="36" fillId="0" borderId="0" xfId="0" applyFont="1" applyAlignment="1">
      <alignment horizontal="left" vertical="center"/>
    </xf>
    <xf numFmtId="0" fontId="9" fillId="0" borderId="19" xfId="0" applyFont="1" applyBorder="1">
      <alignment vertical="center"/>
    </xf>
    <xf numFmtId="0" fontId="9" fillId="0" borderId="2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82" fontId="9" fillId="0" borderId="10" xfId="0" applyNumberFormat="1" applyFont="1" applyBorder="1" applyAlignment="1">
      <alignment vertical="center" shrinkToFit="1"/>
    </xf>
    <xf numFmtId="0" fontId="23" fillId="0" borderId="3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180" fontId="9" fillId="0" borderId="10" xfId="0" applyNumberFormat="1" applyFont="1" applyBorder="1" applyAlignment="1">
      <alignment horizontal="right" vertical="center"/>
    </xf>
    <xf numFmtId="0" fontId="23" fillId="0" borderId="20" xfId="0" applyFont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49" fontId="39" fillId="0" borderId="3" xfId="0" applyNumberFormat="1" applyFont="1" applyBorder="1" applyAlignment="1">
      <alignment horizontal="center" vertical="center"/>
    </xf>
    <xf numFmtId="49" fontId="9" fillId="0" borderId="19" xfId="0" applyNumberFormat="1" applyFont="1" applyBorder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36" fillId="0" borderId="0" xfId="0" applyNumberFormat="1" applyFont="1">
      <alignment vertical="center"/>
    </xf>
    <xf numFmtId="0" fontId="23" fillId="0" borderId="3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38" fillId="0" borderId="21" xfId="0" applyFont="1" applyBorder="1">
      <alignment vertical="center"/>
    </xf>
    <xf numFmtId="1" fontId="9" fillId="0" borderId="21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vertical="center" shrinkToFit="1"/>
    </xf>
    <xf numFmtId="0" fontId="9" fillId="4" borderId="21" xfId="0" applyFont="1" applyFill="1" applyBorder="1">
      <alignment vertical="center"/>
    </xf>
    <xf numFmtId="1" fontId="9" fillId="0" borderId="19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39" fillId="0" borderId="3" xfId="0" applyNumberFormat="1" applyFont="1" applyBorder="1" applyAlignment="1">
      <alignment horizontal="left" vertical="center"/>
    </xf>
    <xf numFmtId="49" fontId="23" fillId="0" borderId="36" xfId="0" applyNumberFormat="1" applyFont="1" applyBorder="1" applyAlignment="1">
      <alignment horizontal="left" vertical="center"/>
    </xf>
    <xf numFmtId="49" fontId="14" fillId="0" borderId="21" xfId="0" applyNumberFormat="1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center" vertical="center"/>
    </xf>
    <xf numFmtId="0" fontId="14" fillId="0" borderId="14" xfId="0" applyFont="1" applyBorder="1">
      <alignment vertical="center"/>
    </xf>
    <xf numFmtId="0" fontId="23" fillId="0" borderId="39" xfId="0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0" fontId="36" fillId="3" borderId="8" xfId="0" applyFont="1" applyFill="1" applyBorder="1" applyAlignment="1">
      <alignment horizontal="left" vertical="center"/>
    </xf>
    <xf numFmtId="49" fontId="9" fillId="0" borderId="21" xfId="0" applyNumberFormat="1" applyFont="1" applyBorder="1" applyAlignment="1">
      <alignment horizontal="center" vertical="center"/>
    </xf>
    <xf numFmtId="49" fontId="36" fillId="0" borderId="0" xfId="0" applyNumberFormat="1" applyFont="1" applyAlignment="1">
      <alignment horizontal="left" vertical="center"/>
    </xf>
    <xf numFmtId="26" fontId="14" fillId="0" borderId="0" xfId="0" applyNumberFormat="1" applyFont="1" applyAlignment="1">
      <alignment horizontal="left" vertical="center"/>
    </xf>
    <xf numFmtId="184" fontId="34" fillId="0" borderId="10" xfId="2" applyNumberFormat="1" applyFont="1" applyFill="1" applyBorder="1" applyAlignment="1">
      <alignment horizontal="right" vertical="center"/>
    </xf>
    <xf numFmtId="180" fontId="34" fillId="0" borderId="8" xfId="2" applyNumberFormat="1" applyFont="1" applyFill="1" applyBorder="1" applyAlignment="1">
      <alignment horizontal="right" vertical="center"/>
    </xf>
    <xf numFmtId="176" fontId="34" fillId="0" borderId="10" xfId="2" applyFont="1" applyFill="1" applyBorder="1" applyAlignment="1">
      <alignment horizontal="right" vertical="center"/>
    </xf>
    <xf numFmtId="183" fontId="34" fillId="0" borderId="5" xfId="2" applyNumberFormat="1" applyFont="1" applyFill="1" applyBorder="1" applyAlignment="1">
      <alignment horizontal="left" vertical="center"/>
    </xf>
    <xf numFmtId="177" fontId="34" fillId="0" borderId="5" xfId="0" applyNumberFormat="1" applyFont="1" applyBorder="1" applyAlignment="1">
      <alignment horizontal="left" vertical="center"/>
    </xf>
    <xf numFmtId="181" fontId="34" fillId="0" borderId="5" xfId="0" applyNumberFormat="1" applyFont="1" applyBorder="1" applyAlignment="1">
      <alignment horizontal="right" vertical="center"/>
    </xf>
    <xf numFmtId="0" fontId="36" fillId="3" borderId="19" xfId="0" applyFont="1" applyFill="1" applyBorder="1" applyAlignment="1">
      <alignment horizontal="left" vertical="center"/>
    </xf>
    <xf numFmtId="0" fontId="23" fillId="3" borderId="36" xfId="0" applyFont="1" applyFill="1" applyBorder="1" applyAlignment="1">
      <alignment horizontal="center" vertical="center"/>
    </xf>
    <xf numFmtId="49" fontId="9" fillId="5" borderId="0" xfId="0" applyNumberFormat="1" applyFont="1" applyFill="1" applyAlignment="1">
      <alignment horizontal="left" vertical="center"/>
    </xf>
    <xf numFmtId="0" fontId="9" fillId="5" borderId="0" xfId="0" applyFont="1" applyFill="1" applyAlignment="1">
      <alignment vertical="center" shrinkToFit="1"/>
    </xf>
    <xf numFmtId="180" fontId="34" fillId="5" borderId="8" xfId="2" applyNumberFormat="1" applyFont="1" applyFill="1" applyBorder="1" applyAlignment="1">
      <alignment horizontal="right" vertical="center"/>
    </xf>
    <xf numFmtId="180" fontId="31" fillId="5" borderId="0" xfId="0" applyNumberFormat="1" applyFont="1" applyFill="1" applyAlignment="1">
      <alignment horizontal="left" vertical="center"/>
    </xf>
    <xf numFmtId="0" fontId="0" fillId="0" borderId="1" xfId="0" applyBorder="1">
      <alignment vertical="center"/>
    </xf>
    <xf numFmtId="183" fontId="9" fillId="0" borderId="5" xfId="2" applyNumberFormat="1" applyFont="1" applyFill="1" applyBorder="1" applyAlignment="1">
      <alignment horizontal="left" vertical="center"/>
    </xf>
    <xf numFmtId="49" fontId="36" fillId="3" borderId="0" xfId="0" applyNumberFormat="1" applyFont="1" applyFill="1" applyAlignment="1">
      <alignment horizontal="left" vertical="center"/>
    </xf>
    <xf numFmtId="0" fontId="9" fillId="0" borderId="24" xfId="0" applyFont="1" applyBorder="1" applyAlignment="1">
      <alignment horizontal="center" vertical="center"/>
    </xf>
    <xf numFmtId="1" fontId="34" fillId="0" borderId="10" xfId="2" applyNumberFormat="1" applyFont="1" applyFill="1" applyBorder="1" applyAlignment="1">
      <alignment horizontal="left" vertical="center"/>
    </xf>
    <xf numFmtId="180" fontId="9" fillId="0" borderId="19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/>
    </xf>
    <xf numFmtId="49" fontId="9" fillId="0" borderId="1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left" vertical="center"/>
    </xf>
    <xf numFmtId="0" fontId="9" fillId="0" borderId="45" xfId="0" applyFont="1" applyBorder="1" applyAlignment="1">
      <alignment horizontal="center" vertical="center"/>
    </xf>
    <xf numFmtId="0" fontId="9" fillId="6" borderId="0" xfId="0" applyFont="1" applyFill="1" applyAlignment="1">
      <alignment horizontal="left" vertical="center"/>
    </xf>
    <xf numFmtId="0" fontId="34" fillId="3" borderId="13" xfId="0" applyFont="1" applyFill="1" applyBorder="1" applyAlignment="1">
      <alignment horizontal="left" vertical="center"/>
    </xf>
    <xf numFmtId="0" fontId="14" fillId="0" borderId="21" xfId="0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49" fontId="36" fillId="0" borderId="21" xfId="0" applyNumberFormat="1" applyFont="1" applyBorder="1" applyAlignment="1">
      <alignment horizontal="left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43" fillId="0" borderId="13" xfId="0" applyFont="1" applyBorder="1" applyAlignment="1">
      <alignment horizontal="left" vertical="center"/>
    </xf>
    <xf numFmtId="49" fontId="34" fillId="0" borderId="21" xfId="0" applyNumberFormat="1" applyFont="1" applyBorder="1" applyAlignment="1">
      <alignment horizontal="left" vertical="center"/>
    </xf>
    <xf numFmtId="0" fontId="34" fillId="0" borderId="21" xfId="0" applyFont="1" applyBorder="1" applyAlignment="1">
      <alignment horizontal="left" vertical="center"/>
    </xf>
    <xf numFmtId="0" fontId="34" fillId="0" borderId="21" xfId="0" applyFont="1" applyBorder="1" applyAlignment="1">
      <alignment vertical="center" wrapText="1"/>
    </xf>
    <xf numFmtId="182" fontId="34" fillId="0" borderId="21" xfId="0" applyNumberFormat="1" applyFont="1" applyBorder="1" applyAlignment="1">
      <alignment vertical="center" shrinkToFit="1"/>
    </xf>
    <xf numFmtId="49" fontId="44" fillId="0" borderId="21" xfId="0" quotePrefix="1" applyNumberFormat="1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182" fontId="34" fillId="0" borderId="23" xfId="0" applyNumberFormat="1" applyFont="1" applyBorder="1" applyAlignment="1">
      <alignment vertical="center" shrinkToFit="1"/>
    </xf>
    <xf numFmtId="0" fontId="34" fillId="0" borderId="13" xfId="0" applyFont="1" applyBorder="1" applyAlignment="1">
      <alignment horizontal="center" vertical="center"/>
    </xf>
    <xf numFmtId="0" fontId="34" fillId="0" borderId="21" xfId="0" applyFont="1" applyBorder="1" applyAlignment="1">
      <alignment horizontal="center" vertical="center" wrapText="1"/>
    </xf>
    <xf numFmtId="182" fontId="34" fillId="0" borderId="23" xfId="0" applyNumberFormat="1" applyFont="1" applyBorder="1" applyAlignment="1">
      <alignment horizontal="center" vertical="center" shrinkToFit="1"/>
    </xf>
    <xf numFmtId="49" fontId="41" fillId="0" borderId="23" xfId="0" quotePrefix="1" applyNumberFormat="1" applyFont="1" applyBorder="1" applyAlignment="1">
      <alignment horizontal="left" vertical="center"/>
    </xf>
    <xf numFmtId="49" fontId="9" fillId="0" borderId="24" xfId="0" applyNumberFormat="1" applyFont="1" applyBorder="1" applyAlignment="1">
      <alignment horizontal="center" vertical="center"/>
    </xf>
    <xf numFmtId="182" fontId="34" fillId="0" borderId="10" xfId="0" applyNumberFormat="1" applyFont="1" applyBorder="1" applyAlignment="1">
      <alignment vertical="center" shrinkToFit="1"/>
    </xf>
    <xf numFmtId="178" fontId="9" fillId="0" borderId="24" xfId="0" applyNumberFormat="1" applyFont="1" applyBorder="1" applyAlignment="1">
      <alignment horizontal="center" vertical="center"/>
    </xf>
    <xf numFmtId="49" fontId="39" fillId="0" borderId="0" xfId="0" applyNumberFormat="1" applyFont="1">
      <alignment vertical="center"/>
    </xf>
    <xf numFmtId="0" fontId="34" fillId="0" borderId="10" xfId="0" applyFont="1" applyBorder="1" applyAlignment="1">
      <alignment horizontal="left" vertical="center"/>
    </xf>
    <xf numFmtId="182" fontId="34" fillId="0" borderId="10" xfId="0" applyNumberFormat="1" applyFont="1" applyBorder="1" applyAlignment="1">
      <alignment horizontal="center" vertical="center" shrinkToFit="1"/>
    </xf>
    <xf numFmtId="49" fontId="41" fillId="0" borderId="15" xfId="0" quotePrefix="1" applyNumberFormat="1" applyFont="1" applyBorder="1" applyAlignment="1">
      <alignment horizontal="left" vertical="center"/>
    </xf>
    <xf numFmtId="0" fontId="42" fillId="0" borderId="21" xfId="0" applyFont="1" applyBorder="1" applyAlignment="1">
      <alignment horizontal="center" vertical="center"/>
    </xf>
    <xf numFmtId="180" fontId="9" fillId="0" borderId="21" xfId="0" applyNumberFormat="1" applyFont="1" applyBorder="1" applyAlignment="1">
      <alignment horizontal="center" vertical="center"/>
    </xf>
    <xf numFmtId="26" fontId="14" fillId="0" borderId="21" xfId="0" applyNumberFormat="1" applyFont="1" applyBorder="1" applyAlignment="1">
      <alignment horizontal="center" vertical="center"/>
    </xf>
    <xf numFmtId="26" fontId="14" fillId="0" borderId="14" xfId="0" applyNumberFormat="1" applyFont="1" applyBorder="1" applyAlignment="1">
      <alignment horizontal="center" vertical="center"/>
    </xf>
    <xf numFmtId="181" fontId="34" fillId="0" borderId="13" xfId="0" applyNumberFormat="1" applyFont="1" applyBorder="1" applyAlignment="1">
      <alignment horizontal="center" vertical="center"/>
    </xf>
    <xf numFmtId="184" fontId="9" fillId="5" borderId="19" xfId="2" applyNumberFormat="1" applyFont="1" applyFill="1" applyBorder="1" applyAlignment="1">
      <alignment horizontal="center" vertical="center"/>
    </xf>
    <xf numFmtId="176" fontId="9" fillId="0" borderId="19" xfId="2" applyFont="1" applyFill="1" applyBorder="1" applyAlignment="1">
      <alignment horizontal="center" vertical="center"/>
    </xf>
    <xf numFmtId="0" fontId="9" fillId="0" borderId="24" xfId="0" applyFont="1" applyBorder="1" applyAlignment="1">
      <alignment horizontal="left" vertical="center"/>
    </xf>
    <xf numFmtId="0" fontId="9" fillId="0" borderId="24" xfId="0" applyFont="1" applyBorder="1" applyAlignment="1">
      <alignment horizontal="center"/>
    </xf>
    <xf numFmtId="0" fontId="36" fillId="0" borderId="24" xfId="0" applyFont="1" applyBorder="1" applyAlignment="1">
      <alignment horizontal="left" vertical="center"/>
    </xf>
    <xf numFmtId="0" fontId="9" fillId="0" borderId="49" xfId="0" applyFont="1" applyBorder="1" applyAlignment="1">
      <alignment horizontal="center" vertical="center"/>
    </xf>
    <xf numFmtId="49" fontId="47" fillId="0" borderId="0" xfId="0" applyNumberFormat="1" applyFont="1">
      <alignment vertical="center"/>
    </xf>
    <xf numFmtId="49" fontId="36" fillId="0" borderId="44" xfId="0" applyNumberFormat="1" applyFont="1" applyBorder="1">
      <alignment vertical="center"/>
    </xf>
    <xf numFmtId="49" fontId="36" fillId="0" borderId="54" xfId="0" applyNumberFormat="1" applyFont="1" applyBorder="1">
      <alignment vertical="center"/>
    </xf>
    <xf numFmtId="0" fontId="9" fillId="0" borderId="56" xfId="0" applyFont="1" applyBorder="1" applyAlignment="1">
      <alignment horizontal="center" vertical="center"/>
    </xf>
    <xf numFmtId="0" fontId="23" fillId="0" borderId="0" xfId="0" applyFont="1">
      <alignment vertical="center"/>
    </xf>
    <xf numFmtId="0" fontId="23" fillId="0" borderId="3" xfId="0" applyFont="1" applyBorder="1">
      <alignment vertical="center"/>
    </xf>
    <xf numFmtId="49" fontId="36" fillId="0" borderId="43" xfId="0" applyNumberFormat="1" applyFont="1" applyBorder="1" applyAlignment="1">
      <alignment horizontal="center" vertical="center"/>
    </xf>
    <xf numFmtId="181" fontId="34" fillId="0" borderId="21" xfId="0" applyNumberFormat="1" applyFont="1" applyBorder="1" applyAlignment="1">
      <alignment horizontal="right" vertical="center"/>
    </xf>
    <xf numFmtId="180" fontId="9" fillId="0" borderId="21" xfId="0" applyNumberFormat="1" applyFont="1" applyBorder="1" applyAlignment="1">
      <alignment horizontal="right" vertical="center"/>
    </xf>
    <xf numFmtId="181" fontId="34" fillId="0" borderId="23" xfId="0" applyNumberFormat="1" applyFont="1" applyBorder="1" applyAlignment="1">
      <alignment horizontal="right" vertical="center"/>
    </xf>
    <xf numFmtId="180" fontId="9" fillId="0" borderId="23" xfId="0" applyNumberFormat="1" applyFont="1" applyBorder="1" applyAlignment="1">
      <alignment horizontal="right" vertical="center"/>
    </xf>
    <xf numFmtId="0" fontId="48" fillId="0" borderId="10" xfId="0" applyFont="1" applyBorder="1" applyAlignment="1">
      <alignment horizontal="center" vertical="center"/>
    </xf>
    <xf numFmtId="49" fontId="48" fillId="0" borderId="13" xfId="0" applyNumberFormat="1" applyFont="1" applyBorder="1" applyAlignment="1">
      <alignment horizontal="center" vertical="center"/>
    </xf>
    <xf numFmtId="185" fontId="48" fillId="0" borderId="21" xfId="0" applyNumberFormat="1" applyFont="1" applyBorder="1" applyAlignment="1">
      <alignment horizontal="center" vertical="center"/>
    </xf>
    <xf numFmtId="49" fontId="48" fillId="0" borderId="21" xfId="0" applyNumberFormat="1" applyFont="1" applyBorder="1" applyAlignment="1">
      <alignment horizontal="center" vertical="center"/>
    </xf>
    <xf numFmtId="0" fontId="48" fillId="0" borderId="21" xfId="0" applyFont="1" applyBorder="1" applyAlignment="1">
      <alignment horizontal="center" vertical="center"/>
    </xf>
    <xf numFmtId="0" fontId="48" fillId="0" borderId="23" xfId="0" applyFont="1" applyBorder="1" applyAlignment="1">
      <alignment horizontal="center" vertical="center"/>
    </xf>
    <xf numFmtId="49" fontId="41" fillId="0" borderId="0" xfId="0" quotePrefix="1" applyNumberFormat="1" applyFont="1" applyAlignment="1">
      <alignment horizontal="left" vertical="center"/>
    </xf>
    <xf numFmtId="182" fontId="34" fillId="0" borderId="0" xfId="0" applyNumberFormat="1" applyFont="1" applyAlignment="1">
      <alignment vertical="center" shrinkToFit="1"/>
    </xf>
    <xf numFmtId="0" fontId="0" fillId="0" borderId="55" xfId="0" applyBorder="1">
      <alignment vertical="center"/>
    </xf>
    <xf numFmtId="0" fontId="0" fillId="0" borderId="41" xfId="0" applyBorder="1">
      <alignment vertical="center"/>
    </xf>
    <xf numFmtId="0" fontId="0" fillId="0" borderId="40" xfId="0" applyBorder="1">
      <alignment vertical="center"/>
    </xf>
    <xf numFmtId="49" fontId="36" fillId="0" borderId="48" xfId="0" applyNumberFormat="1" applyFont="1" applyBorder="1" applyAlignment="1">
      <alignment horizontal="center" vertical="center"/>
    </xf>
    <xf numFmtId="181" fontId="34" fillId="0" borderId="10" xfId="0" applyNumberFormat="1" applyFont="1" applyBorder="1" applyAlignment="1">
      <alignment horizontal="right" vertical="center"/>
    </xf>
    <xf numFmtId="182" fontId="9" fillId="0" borderId="24" xfId="0" applyNumberFormat="1" applyFont="1" applyBorder="1" applyAlignment="1">
      <alignment vertical="center" shrinkToFit="1"/>
    </xf>
    <xf numFmtId="0" fontId="9" fillId="0" borderId="47" xfId="0" applyFont="1" applyBorder="1" applyAlignment="1">
      <alignment horizontal="center" vertical="center"/>
    </xf>
    <xf numFmtId="182" fontId="9" fillId="0" borderId="10" xfId="0" applyNumberFormat="1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180" fontId="9" fillId="0" borderId="10" xfId="0" applyNumberFormat="1" applyFont="1" applyBorder="1" applyAlignment="1">
      <alignment horizontal="center" vertical="center"/>
    </xf>
    <xf numFmtId="0" fontId="43" fillId="0" borderId="50" xfId="0" applyFont="1" applyBorder="1" applyAlignment="1">
      <alignment horizontal="left" vertical="center"/>
    </xf>
    <xf numFmtId="49" fontId="34" fillId="0" borderId="22" xfId="0" applyNumberFormat="1" applyFont="1" applyBorder="1" applyAlignment="1">
      <alignment horizontal="left" vertical="center"/>
    </xf>
    <xf numFmtId="49" fontId="9" fillId="0" borderId="22" xfId="0" applyNumberFormat="1" applyFont="1" applyBorder="1" applyAlignment="1">
      <alignment horizontal="left" vertical="center"/>
    </xf>
    <xf numFmtId="49" fontId="44" fillId="0" borderId="22" xfId="0" quotePrefix="1" applyNumberFormat="1" applyFont="1" applyBorder="1" applyAlignment="1">
      <alignment horizontal="left" vertical="center"/>
    </xf>
    <xf numFmtId="49" fontId="41" fillId="0" borderId="49" xfId="0" quotePrefix="1" applyNumberFormat="1" applyFont="1" applyBorder="1" applyAlignment="1">
      <alignment horizontal="left" vertical="center"/>
    </xf>
    <xf numFmtId="49" fontId="36" fillId="0" borderId="15" xfId="0" quotePrefix="1" applyNumberFormat="1" applyFont="1" applyBorder="1" applyAlignment="1">
      <alignment horizontal="left" vertical="center"/>
    </xf>
    <xf numFmtId="182" fontId="9" fillId="0" borderId="24" xfId="0" applyNumberFormat="1" applyFont="1" applyBorder="1" applyAlignment="1">
      <alignment horizontal="center" vertical="center" shrinkToFit="1"/>
    </xf>
    <xf numFmtId="180" fontId="9" fillId="0" borderId="24" xfId="0" applyNumberFormat="1" applyFont="1" applyBorder="1" applyAlignment="1">
      <alignment horizontal="center" vertical="center" shrinkToFit="1"/>
    </xf>
    <xf numFmtId="180" fontId="9" fillId="0" borderId="24" xfId="0" applyNumberFormat="1" applyFont="1" applyBorder="1" applyAlignment="1">
      <alignment horizontal="center" vertical="center"/>
    </xf>
    <xf numFmtId="49" fontId="50" fillId="0" borderId="0" xfId="0" applyNumberFormat="1" applyFont="1" applyAlignment="1">
      <alignment vertical="center" shrinkToFit="1"/>
    </xf>
    <xf numFmtId="180" fontId="9" fillId="0" borderId="8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left" vertical="center"/>
    </xf>
    <xf numFmtId="182" fontId="9" fillId="0" borderId="32" xfId="0" applyNumberFormat="1" applyFont="1" applyBorder="1" applyAlignment="1">
      <alignment vertical="center" shrinkToFit="1"/>
    </xf>
    <xf numFmtId="182" fontId="9" fillId="0" borderId="32" xfId="0" applyNumberFormat="1" applyFont="1" applyBorder="1" applyAlignment="1">
      <alignment horizontal="center" vertical="center"/>
    </xf>
    <xf numFmtId="180" fontId="9" fillId="0" borderId="32" xfId="0" applyNumberFormat="1" applyFont="1" applyBorder="1" applyAlignment="1">
      <alignment horizontal="center" vertical="center"/>
    </xf>
    <xf numFmtId="49" fontId="48" fillId="0" borderId="50" xfId="0" applyNumberFormat="1" applyFont="1" applyBorder="1" applyAlignment="1">
      <alignment horizontal="center" vertical="center"/>
    </xf>
    <xf numFmtId="185" fontId="48" fillId="0" borderId="22" xfId="0" applyNumberFormat="1" applyFont="1" applyBorder="1" applyAlignment="1">
      <alignment horizontal="center" vertical="center"/>
    </xf>
    <xf numFmtId="49" fontId="48" fillId="0" borderId="22" xfId="0" applyNumberFormat="1" applyFont="1" applyBorder="1" applyAlignment="1">
      <alignment horizontal="center" vertical="center"/>
    </xf>
    <xf numFmtId="0" fontId="48" fillId="0" borderId="22" xfId="0" applyFont="1" applyBorder="1" applyAlignment="1">
      <alignment horizontal="center" vertical="center"/>
    </xf>
    <xf numFmtId="0" fontId="48" fillId="0" borderId="49" xfId="0" applyFont="1" applyBorder="1" applyAlignment="1">
      <alignment horizontal="center" vertical="center"/>
    </xf>
    <xf numFmtId="0" fontId="48" fillId="0" borderId="15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8" fillId="0" borderId="13" xfId="0" applyFont="1" applyBorder="1" applyAlignment="1">
      <alignment horizontal="center" vertical="center"/>
    </xf>
    <xf numFmtId="185" fontId="9" fillId="0" borderId="13" xfId="0" applyNumberFormat="1" applyFont="1" applyBorder="1">
      <alignment vertical="center"/>
    </xf>
    <xf numFmtId="185" fontId="9" fillId="0" borderId="50" xfId="0" applyNumberFormat="1" applyFont="1" applyBorder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180" fontId="9" fillId="0" borderId="32" xfId="0" applyNumberFormat="1" applyFont="1" applyBorder="1" applyAlignment="1">
      <alignment horizontal="right" vertical="center"/>
    </xf>
    <xf numFmtId="0" fontId="9" fillId="0" borderId="45" xfId="0" applyFont="1" applyBorder="1">
      <alignment vertical="center"/>
    </xf>
    <xf numFmtId="0" fontId="51" fillId="0" borderId="10" xfId="0" applyFont="1" applyBorder="1">
      <alignment vertical="center"/>
    </xf>
    <xf numFmtId="49" fontId="52" fillId="0" borderId="14" xfId="0" quotePrefix="1" applyNumberFormat="1" applyFont="1" applyBorder="1" applyAlignment="1">
      <alignment horizontal="left" vertical="center"/>
    </xf>
    <xf numFmtId="0" fontId="34" fillId="0" borderId="14" xfId="0" applyFont="1" applyBorder="1" applyAlignment="1">
      <alignment horizontal="left" vertical="center"/>
    </xf>
    <xf numFmtId="182" fontId="34" fillId="0" borderId="14" xfId="0" applyNumberFormat="1" applyFont="1" applyBorder="1" applyAlignment="1">
      <alignment vertical="center" shrinkToFit="1"/>
    </xf>
    <xf numFmtId="182" fontId="34" fillId="0" borderId="14" xfId="0" applyNumberFormat="1" applyFont="1" applyBorder="1" applyAlignment="1">
      <alignment horizontal="center" vertical="center" shrinkToFit="1"/>
    </xf>
    <xf numFmtId="181" fontId="34" fillId="0" borderId="14" xfId="0" applyNumberFormat="1" applyFont="1" applyBorder="1" applyAlignment="1">
      <alignment horizontal="right" vertical="center"/>
    </xf>
    <xf numFmtId="180" fontId="9" fillId="0" borderId="14" xfId="0" applyNumberFormat="1" applyFont="1" applyBorder="1" applyAlignment="1">
      <alignment horizontal="right" vertical="center"/>
    </xf>
    <xf numFmtId="49" fontId="41" fillId="0" borderId="32" xfId="0" quotePrefix="1" applyNumberFormat="1" applyFont="1" applyBorder="1" applyAlignment="1">
      <alignment horizontal="left" vertical="center"/>
    </xf>
    <xf numFmtId="0" fontId="34" fillId="0" borderId="32" xfId="0" applyFont="1" applyBorder="1" applyAlignment="1">
      <alignment horizontal="left" vertical="center"/>
    </xf>
    <xf numFmtId="182" fontId="34" fillId="0" borderId="32" xfId="0" applyNumberFormat="1" applyFont="1" applyBorder="1" applyAlignment="1">
      <alignment vertical="center" shrinkToFit="1"/>
    </xf>
    <xf numFmtId="182" fontId="34" fillId="0" borderId="32" xfId="0" applyNumberFormat="1" applyFont="1" applyBorder="1" applyAlignment="1">
      <alignment horizontal="center" vertical="center" shrinkToFit="1"/>
    </xf>
    <xf numFmtId="181" fontId="34" fillId="0" borderId="32" xfId="0" applyNumberFormat="1" applyFont="1" applyBorder="1" applyAlignment="1">
      <alignment horizontal="right" vertical="center"/>
    </xf>
    <xf numFmtId="49" fontId="36" fillId="0" borderId="32" xfId="0" quotePrefix="1" applyNumberFormat="1" applyFont="1" applyBorder="1" applyAlignment="1">
      <alignment horizontal="left" vertical="center"/>
    </xf>
    <xf numFmtId="1" fontId="9" fillId="0" borderId="57" xfId="0" applyNumberFormat="1" applyFont="1" applyBorder="1" applyAlignment="1">
      <alignment horizontal="center" vertical="center"/>
    </xf>
    <xf numFmtId="49" fontId="36" fillId="5" borderId="43" xfId="0" applyNumberFormat="1" applyFont="1" applyFill="1" applyBorder="1">
      <alignment vertical="center"/>
    </xf>
    <xf numFmtId="49" fontId="36" fillId="5" borderId="62" xfId="0" applyNumberFormat="1" applyFont="1" applyFill="1" applyBorder="1">
      <alignment vertical="center"/>
    </xf>
    <xf numFmtId="0" fontId="51" fillId="0" borderId="32" xfId="0" applyFont="1" applyBorder="1">
      <alignment vertical="center"/>
    </xf>
    <xf numFmtId="185" fontId="48" fillId="0" borderId="23" xfId="0" applyNumberFormat="1" applyFont="1" applyBorder="1" applyAlignment="1">
      <alignment horizontal="center" vertical="center"/>
    </xf>
    <xf numFmtId="0" fontId="34" fillId="0" borderId="10" xfId="2" applyNumberFormat="1" applyFont="1" applyFill="1" applyBorder="1" applyAlignment="1">
      <alignment horizontal="right" vertical="center"/>
    </xf>
    <xf numFmtId="183" fontId="9" fillId="0" borderId="5" xfId="2" applyNumberFormat="1" applyFont="1" applyFill="1" applyBorder="1" applyAlignment="1">
      <alignment horizontal="left" vertical="center" indent="1"/>
    </xf>
    <xf numFmtId="0" fontId="9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83" fontId="9" fillId="0" borderId="5" xfId="2" applyNumberFormat="1" applyFont="1" applyFill="1" applyBorder="1" applyAlignment="1">
      <alignment horizontal="left" vertical="center"/>
    </xf>
    <xf numFmtId="0" fontId="9" fillId="0" borderId="53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53" fillId="0" borderId="36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39" fillId="0" borderId="24" xfId="0" applyFont="1" applyBorder="1" applyAlignment="1">
      <alignment horizontal="center" vertical="center"/>
    </xf>
    <xf numFmtId="49" fontId="36" fillId="7" borderId="39" xfId="0" applyNumberFormat="1" applyFont="1" applyFill="1" applyBorder="1" applyAlignment="1">
      <alignment horizontal="center" vertical="center"/>
    </xf>
    <xf numFmtId="49" fontId="36" fillId="7" borderId="43" xfId="0" applyNumberFormat="1" applyFont="1" applyFill="1" applyBorder="1" applyAlignment="1">
      <alignment horizontal="center" vertical="center"/>
    </xf>
    <xf numFmtId="49" fontId="36" fillId="7" borderId="46" xfId="0" applyNumberFormat="1" applyFont="1" applyFill="1" applyBorder="1" applyAlignment="1">
      <alignment horizontal="center" vertical="center"/>
    </xf>
    <xf numFmtId="0" fontId="51" fillId="0" borderId="36" xfId="0" applyFont="1" applyBorder="1" applyAlignment="1">
      <alignment horizontal="center" vertical="center"/>
    </xf>
    <xf numFmtId="0" fontId="51" fillId="0" borderId="10" xfId="0" applyFont="1" applyBorder="1" applyAlignment="1">
      <alignment horizontal="center" vertical="center"/>
    </xf>
    <xf numFmtId="0" fontId="51" fillId="0" borderId="24" xfId="0" applyFont="1" applyBorder="1" applyAlignment="1">
      <alignment horizontal="center" vertical="center"/>
    </xf>
    <xf numFmtId="0" fontId="39" fillId="8" borderId="36" xfId="0" applyFont="1" applyFill="1" applyBorder="1" applyAlignment="1">
      <alignment horizontal="center" vertical="center"/>
    </xf>
    <xf numFmtId="0" fontId="39" fillId="8" borderId="10" xfId="0" applyFont="1" applyFill="1" applyBorder="1" applyAlignment="1">
      <alignment horizontal="center" vertical="center"/>
    </xf>
    <xf numFmtId="0" fontId="39" fillId="8" borderId="24" xfId="0" applyFont="1" applyFill="1" applyBorder="1" applyAlignment="1">
      <alignment horizontal="center" vertical="center"/>
    </xf>
    <xf numFmtId="0" fontId="54" fillId="8" borderId="36" xfId="0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49" fontId="36" fillId="0" borderId="39" xfId="0" applyNumberFormat="1" applyFont="1" applyBorder="1" applyAlignment="1">
      <alignment horizontal="center" vertical="center"/>
    </xf>
    <xf numFmtId="49" fontId="36" fillId="0" borderId="43" xfId="0" applyNumberFormat="1" applyFont="1" applyBorder="1" applyAlignment="1">
      <alignment horizontal="center" vertical="center"/>
    </xf>
    <xf numFmtId="49" fontId="36" fillId="0" borderId="46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49" fontId="39" fillId="0" borderId="0" xfId="0" applyNumberFormat="1" applyFont="1" applyAlignment="1">
      <alignment horizontal="center" vertical="center"/>
    </xf>
  </cellXfs>
  <cellStyles count="11">
    <cellStyle name="ハイパーリンク" xfId="1" builtinId="8"/>
    <cellStyle name="桁区切り" xfId="2" builtinId="6"/>
    <cellStyle name="桁区切り 2" xfId="3" xr:uid="{00000000-0005-0000-0000-000003000000}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  <cellStyle name="標準 5" xfId="10" xr:uid="{2B9876AE-5E37-473F-9835-F480CAEC33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64770</xdr:colOff>
      <xdr:row>37</xdr:row>
      <xdr:rowOff>112395</xdr:rowOff>
    </xdr:from>
    <xdr:to>
      <xdr:col>11</xdr:col>
      <xdr:colOff>645795</xdr:colOff>
      <xdr:row>45</xdr:row>
      <xdr:rowOff>150495</xdr:rowOff>
    </xdr:to>
    <xdr:pic>
      <xdr:nvPicPr>
        <xdr:cNvPr id="43320" name="Picture 1">
          <a:extLst>
            <a:ext uri="{FF2B5EF4-FFF2-40B4-BE49-F238E27FC236}">
              <a16:creationId xmlns:a16="http://schemas.microsoft.com/office/drawing/2014/main" id="{00000000-0008-0000-0200-000038A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65245" y="6913245"/>
          <a:ext cx="3429000" cy="1400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C:\Users\19544\Downloads\SY-4T601005-VT-DD-01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opLeftCell="A13" workbookViewId="0">
      <selection activeCell="E46" sqref="E46"/>
    </sheetView>
  </sheetViews>
  <sheetFormatPr defaultColWidth="9" defaultRowHeight="12.5"/>
  <cols>
    <col min="1" max="1" width="3.90625" style="68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68">
        <v>1</v>
      </c>
      <c r="B1" s="68" t="s">
        <v>2</v>
      </c>
      <c r="C1" s="2" t="s">
        <v>0</v>
      </c>
    </row>
    <row r="2" spans="1:3" s="69" customFormat="1">
      <c r="A2" s="68">
        <f>A1+1</f>
        <v>2</v>
      </c>
      <c r="B2" s="7" t="s">
        <v>6</v>
      </c>
      <c r="C2" s="7" t="s">
        <v>90</v>
      </c>
    </row>
    <row r="3" spans="1:3">
      <c r="A3" s="68">
        <f>A2+1</f>
        <v>3</v>
      </c>
      <c r="B3" s="7" t="s">
        <v>4</v>
      </c>
      <c r="C3" s="2" t="s">
        <v>91</v>
      </c>
    </row>
    <row r="4" spans="1:3">
      <c r="A4" s="68">
        <f t="shared" ref="A4:A68" si="0">A3+1</f>
        <v>4</v>
      </c>
      <c r="B4" s="7" t="s">
        <v>3</v>
      </c>
      <c r="C4" s="2" t="s">
        <v>92</v>
      </c>
    </row>
    <row r="5" spans="1:3" s="69" customFormat="1">
      <c r="A5" s="68">
        <f t="shared" si="0"/>
        <v>5</v>
      </c>
      <c r="B5" s="7" t="s">
        <v>5</v>
      </c>
      <c r="C5" s="7" t="s">
        <v>93</v>
      </c>
    </row>
    <row r="6" spans="1:3" s="69" customFormat="1">
      <c r="A6" s="68">
        <f t="shared" si="0"/>
        <v>6</v>
      </c>
      <c r="B6" s="7" t="s">
        <v>7</v>
      </c>
      <c r="C6" s="3"/>
    </row>
    <row r="7" spans="1:3" s="69" customFormat="1">
      <c r="A7" s="68">
        <f t="shared" si="0"/>
        <v>7</v>
      </c>
      <c r="B7" s="7" t="s">
        <v>8</v>
      </c>
      <c r="C7" s="7"/>
    </row>
    <row r="8" spans="1:3" s="69" customFormat="1">
      <c r="A8" s="68">
        <f t="shared" si="0"/>
        <v>8</v>
      </c>
      <c r="B8" s="7" t="s">
        <v>30</v>
      </c>
      <c r="C8" s="7"/>
    </row>
    <row r="9" spans="1:3" s="69" customFormat="1">
      <c r="A9" s="68">
        <f t="shared" si="0"/>
        <v>9</v>
      </c>
      <c r="B9" s="70" t="s">
        <v>105</v>
      </c>
      <c r="C9" s="7" t="s">
        <v>137</v>
      </c>
    </row>
    <row r="10" spans="1:3" s="69" customFormat="1">
      <c r="A10" s="68">
        <f t="shared" si="0"/>
        <v>10</v>
      </c>
      <c r="B10" s="70" t="s">
        <v>106</v>
      </c>
      <c r="C10" s="7" t="s">
        <v>155</v>
      </c>
    </row>
    <row r="11" spans="1:3" s="69" customFormat="1">
      <c r="A11" s="68">
        <f t="shared" si="0"/>
        <v>11</v>
      </c>
      <c r="B11" s="70" t="s">
        <v>107</v>
      </c>
      <c r="C11" s="2" t="s">
        <v>138</v>
      </c>
    </row>
    <row r="12" spans="1:3" s="69" customFormat="1">
      <c r="A12" s="68">
        <f t="shared" si="0"/>
        <v>12</v>
      </c>
      <c r="B12" s="70" t="s">
        <v>108</v>
      </c>
      <c r="C12" s="2" t="s">
        <v>139</v>
      </c>
    </row>
    <row r="13" spans="1:3" s="69" customFormat="1">
      <c r="A13" s="68">
        <f t="shared" si="0"/>
        <v>13</v>
      </c>
      <c r="B13" s="70" t="s">
        <v>33</v>
      </c>
      <c r="C13" s="3" t="s">
        <v>144</v>
      </c>
    </row>
    <row r="14" spans="1:3" s="69" customFormat="1" ht="13.5">
      <c r="A14" s="68">
        <f t="shared" si="0"/>
        <v>14</v>
      </c>
      <c r="B14" s="70" t="s">
        <v>34</v>
      </c>
      <c r="C14" s="76"/>
    </row>
    <row r="15" spans="1:3" s="69" customFormat="1">
      <c r="A15" s="68">
        <f t="shared" si="0"/>
        <v>15</v>
      </c>
      <c r="B15" s="7" t="s">
        <v>35</v>
      </c>
      <c r="C15" s="7" t="s">
        <v>94</v>
      </c>
    </row>
    <row r="16" spans="1:3" s="69" customFormat="1">
      <c r="A16" s="68">
        <f t="shared" si="0"/>
        <v>16</v>
      </c>
      <c r="B16" s="7" t="s">
        <v>36</v>
      </c>
      <c r="C16" s="2"/>
    </row>
    <row r="17" spans="1:3" s="69" customFormat="1">
      <c r="A17" s="68">
        <f t="shared" si="0"/>
        <v>17</v>
      </c>
      <c r="B17" s="7" t="s">
        <v>37</v>
      </c>
      <c r="C17" s="2"/>
    </row>
    <row r="18" spans="1:3" s="69" customFormat="1">
      <c r="A18" s="68">
        <f t="shared" si="0"/>
        <v>18</v>
      </c>
      <c r="B18" s="7" t="s">
        <v>38</v>
      </c>
      <c r="C18" s="3"/>
    </row>
    <row r="19" spans="1:3" s="69" customFormat="1">
      <c r="A19" s="68">
        <f t="shared" si="0"/>
        <v>19</v>
      </c>
      <c r="B19" s="7" t="s">
        <v>39</v>
      </c>
      <c r="C19" s="7"/>
    </row>
    <row r="20" spans="1:3" s="69" customFormat="1">
      <c r="A20" s="68">
        <f t="shared" si="0"/>
        <v>20</v>
      </c>
      <c r="B20" s="7" t="s">
        <v>40</v>
      </c>
      <c r="C20" s="7"/>
    </row>
    <row r="21" spans="1:3" s="69" customFormat="1">
      <c r="A21" s="68">
        <f t="shared" si="0"/>
        <v>21</v>
      </c>
      <c r="B21" s="7" t="s">
        <v>34</v>
      </c>
      <c r="C21" s="74" t="s">
        <v>115</v>
      </c>
    </row>
    <row r="22" spans="1:3" s="69" customFormat="1">
      <c r="A22" s="68">
        <f t="shared" si="0"/>
        <v>22</v>
      </c>
      <c r="B22" s="7" t="s">
        <v>41</v>
      </c>
      <c r="C22" s="74"/>
    </row>
    <row r="23" spans="1:3" s="69" customFormat="1">
      <c r="A23" s="68">
        <f t="shared" si="0"/>
        <v>23</v>
      </c>
      <c r="B23" s="7" t="s">
        <v>42</v>
      </c>
      <c r="C23" s="74"/>
    </row>
    <row r="24" spans="1:3" s="69" customFormat="1">
      <c r="A24" s="68">
        <f t="shared" si="0"/>
        <v>24</v>
      </c>
      <c r="B24" s="7" t="s">
        <v>43</v>
      </c>
      <c r="C24" s="7" t="s">
        <v>109</v>
      </c>
    </row>
    <row r="25" spans="1:3" s="69" customFormat="1">
      <c r="A25" s="68">
        <f t="shared" si="0"/>
        <v>25</v>
      </c>
      <c r="B25" s="70" t="s">
        <v>44</v>
      </c>
      <c r="C25" s="146" t="s">
        <v>194</v>
      </c>
    </row>
    <row r="26" spans="1:3">
      <c r="A26" s="68">
        <f t="shared" si="0"/>
        <v>26</v>
      </c>
      <c r="B26" s="70" t="s">
        <v>45</v>
      </c>
      <c r="C26" s="147" t="s">
        <v>195</v>
      </c>
    </row>
    <row r="27" spans="1:3">
      <c r="A27" s="68">
        <f t="shared" si="0"/>
        <v>27</v>
      </c>
      <c r="B27" s="70" t="s">
        <v>46</v>
      </c>
      <c r="C27" s="147" t="str">
        <f>C26</f>
        <v xml:space="preserve"> SY-5700703-VT-DD-01</v>
      </c>
    </row>
    <row r="28" spans="1:3">
      <c r="A28" s="68">
        <f t="shared" si="0"/>
        <v>28</v>
      </c>
      <c r="B28" s="70" t="s">
        <v>47</v>
      </c>
      <c r="C28" s="75"/>
    </row>
    <row r="29" spans="1:3">
      <c r="A29" s="68">
        <f t="shared" si="0"/>
        <v>29</v>
      </c>
      <c r="B29" s="70" t="s">
        <v>48</v>
      </c>
      <c r="C29" s="75"/>
    </row>
    <row r="30" spans="1:3">
      <c r="A30" s="68">
        <f t="shared" si="0"/>
        <v>30</v>
      </c>
      <c r="B30" s="70" t="s">
        <v>49</v>
      </c>
    </row>
    <row r="31" spans="1:3">
      <c r="A31" s="68">
        <f t="shared" si="0"/>
        <v>31</v>
      </c>
      <c r="B31" s="7" t="s">
        <v>50</v>
      </c>
    </row>
    <row r="32" spans="1:3">
      <c r="A32" s="68">
        <f t="shared" si="0"/>
        <v>32</v>
      </c>
      <c r="B32" s="7" t="s">
        <v>51</v>
      </c>
      <c r="C32" s="2" t="s">
        <v>52</v>
      </c>
    </row>
    <row r="33" spans="1:3">
      <c r="A33" s="68">
        <f t="shared" si="0"/>
        <v>33</v>
      </c>
      <c r="B33" s="70" t="s">
        <v>53</v>
      </c>
      <c r="C33" s="2" t="s">
        <v>95</v>
      </c>
    </row>
    <row r="34" spans="1:3">
      <c r="A34" s="68">
        <f t="shared" si="0"/>
        <v>34</v>
      </c>
      <c r="B34" s="7" t="s">
        <v>54</v>
      </c>
    </row>
    <row r="35" spans="1:3">
      <c r="A35" s="68">
        <f t="shared" si="0"/>
        <v>35</v>
      </c>
      <c r="B35" s="7" t="s">
        <v>55</v>
      </c>
      <c r="C35" s="2" t="s">
        <v>89</v>
      </c>
    </row>
    <row r="36" spans="1:3">
      <c r="A36" s="68">
        <f t="shared" si="0"/>
        <v>36</v>
      </c>
      <c r="B36" s="70" t="s">
        <v>56</v>
      </c>
      <c r="C36" s="79" t="s">
        <v>143</v>
      </c>
    </row>
    <row r="37" spans="1:3">
      <c r="A37" s="68">
        <f t="shared" si="0"/>
        <v>37</v>
      </c>
      <c r="B37" s="70" t="s">
        <v>57</v>
      </c>
    </row>
    <row r="38" spans="1:3">
      <c r="A38" s="68">
        <f t="shared" si="0"/>
        <v>38</v>
      </c>
      <c r="B38" s="7" t="s">
        <v>58</v>
      </c>
      <c r="C38" s="75" t="s">
        <v>59</v>
      </c>
    </row>
    <row r="39" spans="1:3">
      <c r="A39" s="68">
        <f t="shared" si="0"/>
        <v>39</v>
      </c>
      <c r="B39" s="7" t="s">
        <v>60</v>
      </c>
      <c r="C39" s="75"/>
    </row>
    <row r="40" spans="1:3">
      <c r="A40" s="68">
        <f t="shared" si="0"/>
        <v>40</v>
      </c>
      <c r="B40" s="7" t="s">
        <v>61</v>
      </c>
    </row>
    <row r="41" spans="1:3">
      <c r="A41" s="68">
        <f t="shared" si="0"/>
        <v>41</v>
      </c>
      <c r="B41" s="7" t="s">
        <v>62</v>
      </c>
    </row>
    <row r="42" spans="1:3">
      <c r="A42" s="68">
        <f t="shared" si="0"/>
        <v>42</v>
      </c>
      <c r="B42" s="7" t="s">
        <v>63</v>
      </c>
    </row>
    <row r="43" spans="1:3">
      <c r="A43" s="68">
        <f t="shared" si="0"/>
        <v>43</v>
      </c>
      <c r="B43" s="70" t="s">
        <v>64</v>
      </c>
      <c r="C43" s="2" t="s">
        <v>196</v>
      </c>
    </row>
    <row r="44" spans="1:3">
      <c r="A44" s="68">
        <f t="shared" si="0"/>
        <v>44</v>
      </c>
      <c r="B44" s="7" t="s">
        <v>65</v>
      </c>
      <c r="C44" s="77"/>
    </row>
    <row r="45" spans="1:3">
      <c r="A45" s="68">
        <f t="shared" si="0"/>
        <v>45</v>
      </c>
      <c r="B45" s="70" t="s">
        <v>66</v>
      </c>
      <c r="C45" s="149">
        <f>invoice!L31</f>
        <v>548300</v>
      </c>
    </row>
    <row r="46" spans="1:3">
      <c r="A46" s="68">
        <f t="shared" si="0"/>
        <v>46</v>
      </c>
      <c r="B46" s="7" t="s">
        <v>67</v>
      </c>
      <c r="C46" s="78"/>
    </row>
    <row r="47" spans="1:3">
      <c r="A47" s="68">
        <f t="shared" si="0"/>
        <v>47</v>
      </c>
      <c r="B47" s="7" t="s">
        <v>67</v>
      </c>
      <c r="C47" s="77"/>
    </row>
    <row r="48" spans="1:3">
      <c r="A48" s="68">
        <f t="shared" si="0"/>
        <v>48</v>
      </c>
      <c r="B48" s="7" t="s">
        <v>55</v>
      </c>
      <c r="C48" s="79" t="s">
        <v>89</v>
      </c>
    </row>
    <row r="49" spans="1:3">
      <c r="A49" s="68">
        <f t="shared" si="0"/>
        <v>49</v>
      </c>
      <c r="B49" s="70" t="s">
        <v>68</v>
      </c>
      <c r="C49" s="2" t="str">
        <f>C27</f>
        <v xml:space="preserve"> SY-5700703-VT-DD-01</v>
      </c>
    </row>
    <row r="50" spans="1:3">
      <c r="A50" s="68">
        <f t="shared" si="0"/>
        <v>50</v>
      </c>
      <c r="B50" s="70" t="s">
        <v>69</v>
      </c>
      <c r="C50" s="7" t="s">
        <v>137</v>
      </c>
    </row>
    <row r="51" spans="1:3">
      <c r="A51" s="68">
        <f t="shared" si="0"/>
        <v>51</v>
      </c>
      <c r="B51" s="70" t="s">
        <v>70</v>
      </c>
      <c r="C51" s="7" t="s">
        <v>155</v>
      </c>
    </row>
    <row r="52" spans="1:3">
      <c r="A52" s="68">
        <f t="shared" si="0"/>
        <v>52</v>
      </c>
      <c r="B52" s="70" t="s">
        <v>71</v>
      </c>
      <c r="C52" s="2" t="s">
        <v>138</v>
      </c>
    </row>
    <row r="53" spans="1:3">
      <c r="A53" s="68">
        <f t="shared" si="0"/>
        <v>53</v>
      </c>
      <c r="B53" s="70" t="s">
        <v>72</v>
      </c>
      <c r="C53" s="2" t="s">
        <v>139</v>
      </c>
    </row>
    <row r="54" spans="1:3">
      <c r="A54" s="68">
        <f t="shared" si="0"/>
        <v>54</v>
      </c>
      <c r="B54" s="70" t="s">
        <v>73</v>
      </c>
      <c r="C54" s="3" t="s">
        <v>140</v>
      </c>
    </row>
    <row r="55" spans="1:3">
      <c r="A55" s="68">
        <f t="shared" si="0"/>
        <v>55</v>
      </c>
      <c r="B55" s="162" t="s">
        <v>74</v>
      </c>
      <c r="C55" s="147" t="s">
        <v>197</v>
      </c>
    </row>
    <row r="56" spans="1:3">
      <c r="A56" s="68">
        <f t="shared" si="0"/>
        <v>56</v>
      </c>
      <c r="B56" s="7" t="s">
        <v>75</v>
      </c>
      <c r="C56" s="7"/>
    </row>
    <row r="57" spans="1:3">
      <c r="A57" s="68">
        <f t="shared" si="0"/>
        <v>57</v>
      </c>
      <c r="B57" s="7"/>
    </row>
    <row r="58" spans="1:3">
      <c r="A58" s="68">
        <f t="shared" si="0"/>
        <v>58</v>
      </c>
      <c r="B58" s="7"/>
    </row>
    <row r="59" spans="1:3">
      <c r="A59" s="68">
        <f t="shared" si="0"/>
        <v>59</v>
      </c>
      <c r="B59" s="7"/>
    </row>
    <row r="60" spans="1:3">
      <c r="A60" s="68">
        <f t="shared" si="0"/>
        <v>60</v>
      </c>
      <c r="B60" s="7" t="s">
        <v>76</v>
      </c>
      <c r="C60" s="2" t="s">
        <v>77</v>
      </c>
    </row>
    <row r="61" spans="1:3">
      <c r="A61" s="68">
        <f t="shared" si="0"/>
        <v>61</v>
      </c>
      <c r="B61" s="7" t="s">
        <v>78</v>
      </c>
    </row>
    <row r="62" spans="1:3">
      <c r="A62" s="68">
        <f t="shared" si="0"/>
        <v>62</v>
      </c>
      <c r="B62" s="7"/>
    </row>
    <row r="63" spans="1:3">
      <c r="A63" s="68">
        <f t="shared" si="0"/>
        <v>63</v>
      </c>
      <c r="B63" s="90" t="s">
        <v>110</v>
      </c>
      <c r="C63" s="88" t="s">
        <v>112</v>
      </c>
    </row>
    <row r="64" spans="1:3">
      <c r="A64" s="68">
        <f t="shared" si="0"/>
        <v>64</v>
      </c>
      <c r="B64" s="7"/>
      <c r="C64" s="88" t="s">
        <v>113</v>
      </c>
    </row>
    <row r="65" spans="1:3">
      <c r="A65" s="68">
        <f t="shared" si="0"/>
        <v>65</v>
      </c>
      <c r="B65" s="7"/>
    </row>
    <row r="66" spans="1:3">
      <c r="A66" s="68">
        <f t="shared" si="0"/>
        <v>66</v>
      </c>
      <c r="B66" s="7"/>
    </row>
    <row r="67" spans="1:3">
      <c r="A67" s="68">
        <f t="shared" si="0"/>
        <v>67</v>
      </c>
      <c r="B67" s="7" t="s">
        <v>79</v>
      </c>
      <c r="C67" s="66"/>
    </row>
    <row r="68" spans="1:3">
      <c r="A68" s="68">
        <f t="shared" si="0"/>
        <v>68</v>
      </c>
      <c r="B68" s="70" t="s">
        <v>80</v>
      </c>
      <c r="C68" s="2" t="s">
        <v>104</v>
      </c>
    </row>
    <row r="69" spans="1:3">
      <c r="A69" s="68">
        <f t="shared" ref="A69:A86" si="1">A68+1</f>
        <v>69</v>
      </c>
      <c r="B69" s="7" t="s">
        <v>81</v>
      </c>
      <c r="C69" s="2" t="s">
        <v>102</v>
      </c>
    </row>
    <row r="70" spans="1:3">
      <c r="A70" s="68">
        <f t="shared" si="1"/>
        <v>70</v>
      </c>
      <c r="B70" s="7" t="s">
        <v>82</v>
      </c>
    </row>
    <row r="71" spans="1:3">
      <c r="A71" s="68">
        <f t="shared" si="1"/>
        <v>71</v>
      </c>
      <c r="B71" s="7"/>
    </row>
    <row r="72" spans="1:3">
      <c r="A72" s="68">
        <f t="shared" si="1"/>
        <v>72</v>
      </c>
      <c r="B72" s="7"/>
    </row>
    <row r="73" spans="1:3">
      <c r="A73" s="68">
        <f t="shared" si="1"/>
        <v>73</v>
      </c>
      <c r="B73" s="7"/>
    </row>
    <row r="74" spans="1:3">
      <c r="A74" s="68">
        <f t="shared" si="1"/>
        <v>74</v>
      </c>
      <c r="B74" s="7"/>
    </row>
    <row r="75" spans="1:3">
      <c r="A75" s="68">
        <f t="shared" si="1"/>
        <v>75</v>
      </c>
      <c r="B75" s="7" t="s">
        <v>83</v>
      </c>
      <c r="C75" s="2" t="s">
        <v>100</v>
      </c>
    </row>
    <row r="76" spans="1:3">
      <c r="A76" s="68">
        <f t="shared" si="1"/>
        <v>76</v>
      </c>
      <c r="B76" s="7" t="s">
        <v>84</v>
      </c>
      <c r="C76" s="7"/>
    </row>
    <row r="77" spans="1:3">
      <c r="A77" s="68">
        <f t="shared" si="1"/>
        <v>77</v>
      </c>
      <c r="B77" s="7"/>
    </row>
    <row r="78" spans="1:3">
      <c r="A78" s="68">
        <f t="shared" si="1"/>
        <v>78</v>
      </c>
      <c r="B78" s="7" t="s">
        <v>85</v>
      </c>
      <c r="C78" s="2" t="s">
        <v>103</v>
      </c>
    </row>
    <row r="79" spans="1:3">
      <c r="A79" s="68">
        <f t="shared" si="1"/>
        <v>79</v>
      </c>
      <c r="B79" s="7" t="s">
        <v>86</v>
      </c>
      <c r="C79" s="2" t="s">
        <v>103</v>
      </c>
    </row>
    <row r="80" spans="1:3">
      <c r="A80" s="68">
        <f t="shared" si="1"/>
        <v>80</v>
      </c>
      <c r="B80" s="7"/>
    </row>
    <row r="81" spans="1:3" ht="16.5">
      <c r="A81" s="68">
        <f t="shared" si="1"/>
        <v>81</v>
      </c>
      <c r="B81" s="7" t="s">
        <v>87</v>
      </c>
      <c r="C81" s="244" t="s">
        <v>152</v>
      </c>
    </row>
    <row r="82" spans="1:3">
      <c r="A82" s="68">
        <f t="shared" si="1"/>
        <v>82</v>
      </c>
      <c r="B82" s="7"/>
    </row>
    <row r="83" spans="1:3">
      <c r="A83" s="68">
        <f t="shared" si="1"/>
        <v>83</v>
      </c>
      <c r="B83" s="7" t="s">
        <v>88</v>
      </c>
      <c r="C83" s="2" t="s">
        <v>99</v>
      </c>
    </row>
    <row r="84" spans="1:3">
      <c r="A84" s="68">
        <f t="shared" si="1"/>
        <v>84</v>
      </c>
      <c r="B84" s="7"/>
    </row>
    <row r="85" spans="1:3">
      <c r="A85" s="68">
        <f t="shared" si="1"/>
        <v>85</v>
      </c>
      <c r="B85" s="7"/>
    </row>
    <row r="86" spans="1:3">
      <c r="A86" s="68">
        <f t="shared" si="1"/>
        <v>86</v>
      </c>
      <c r="B86" s="7"/>
    </row>
    <row r="87" spans="1:3">
      <c r="B87" s="7"/>
    </row>
    <row r="88" spans="1:3">
      <c r="B88" s="7"/>
    </row>
    <row r="89" spans="1:3">
      <c r="B89" s="7"/>
    </row>
    <row r="90" spans="1:3">
      <c r="B90" s="7"/>
    </row>
    <row r="91" spans="1:3">
      <c r="B91" s="7"/>
    </row>
    <row r="92" spans="1:3">
      <c r="B92" s="7"/>
    </row>
    <row r="93" spans="1:3">
      <c r="B93" s="7"/>
    </row>
    <row r="95" spans="1:3">
      <c r="B95" s="7"/>
    </row>
    <row r="96" spans="1:3">
      <c r="B96" s="7"/>
    </row>
    <row r="97" spans="2:2">
      <c r="B97" s="7"/>
    </row>
    <row r="98" spans="2:2">
      <c r="B98" s="7"/>
    </row>
    <row r="99" spans="2:2">
      <c r="B99" s="7"/>
    </row>
    <row r="100" spans="2:2">
      <c r="B100" s="7"/>
    </row>
    <row r="101" spans="2:2">
      <c r="B101" s="7"/>
    </row>
    <row r="102" spans="2:2">
      <c r="B102" s="7"/>
    </row>
    <row r="103" spans="2:2">
      <c r="B103" s="7"/>
    </row>
    <row r="104" spans="2:2">
      <c r="B104" s="7"/>
    </row>
    <row r="105" spans="2:2">
      <c r="B105" s="7"/>
    </row>
    <row r="106" spans="2:2">
      <c r="B106" s="7"/>
    </row>
    <row r="107" spans="2:2">
      <c r="B107" s="7"/>
    </row>
    <row r="108" spans="2:2">
      <c r="B108" s="7"/>
    </row>
    <row r="109" spans="2:2">
      <c r="B109" s="7"/>
    </row>
    <row r="110" spans="2:2">
      <c r="B110" s="7"/>
    </row>
    <row r="111" spans="2:2">
      <c r="B111" s="7"/>
    </row>
    <row r="112" spans="2:2">
      <c r="B112" s="7"/>
    </row>
    <row r="113" spans="2:2">
      <c r="B113" s="7"/>
    </row>
    <row r="114" spans="2:2">
      <c r="B114" s="7"/>
    </row>
    <row r="115" spans="2:2">
      <c r="B115" s="7"/>
    </row>
    <row r="116" spans="2:2">
      <c r="B116" s="7"/>
    </row>
    <row r="117" spans="2:2">
      <c r="B117" s="7"/>
    </row>
    <row r="118" spans="2:2">
      <c r="B118" s="7"/>
    </row>
    <row r="119" spans="2:2">
      <c r="B119" s="7"/>
    </row>
    <row r="120" spans="2:2">
      <c r="B120" s="7"/>
    </row>
    <row r="121" spans="2:2">
      <c r="B121" s="7"/>
    </row>
    <row r="122" spans="2:2">
      <c r="B122" s="7"/>
    </row>
    <row r="123" spans="2:2">
      <c r="B123" s="7"/>
    </row>
    <row r="124" spans="2:2">
      <c r="B124" s="7"/>
    </row>
    <row r="125" spans="2:2">
      <c r="B125" s="7"/>
    </row>
    <row r="126" spans="2:2">
      <c r="B126" s="7"/>
    </row>
    <row r="127" spans="2:2">
      <c r="B127" s="7"/>
    </row>
    <row r="128" spans="2:2">
      <c r="B128" s="7"/>
    </row>
    <row r="129" spans="2:2">
      <c r="B129" s="7"/>
    </row>
    <row r="130" spans="2:2">
      <c r="B130" s="7"/>
    </row>
    <row r="131" spans="2:2">
      <c r="B131" s="7"/>
    </row>
    <row r="132" spans="2:2">
      <c r="B132" s="7"/>
    </row>
    <row r="133" spans="2:2">
      <c r="B133" s="7"/>
    </row>
    <row r="134" spans="2:2">
      <c r="B134" s="7"/>
    </row>
    <row r="135" spans="2:2">
      <c r="B135" s="7"/>
    </row>
    <row r="136" spans="2:2">
      <c r="B136" s="7"/>
    </row>
    <row r="137" spans="2:2">
      <c r="B137" s="7"/>
    </row>
    <row r="138" spans="2:2">
      <c r="B138" s="7"/>
    </row>
    <row r="139" spans="2:2">
      <c r="B139" s="7"/>
    </row>
    <row r="140" spans="2:2">
      <c r="B140" s="7"/>
    </row>
    <row r="141" spans="2:2">
      <c r="B141" s="7"/>
    </row>
    <row r="142" spans="2:2">
      <c r="B142" s="7"/>
    </row>
    <row r="143" spans="2:2">
      <c r="B143" s="7"/>
    </row>
    <row r="144" spans="2:2">
      <c r="B144" s="7"/>
    </row>
    <row r="145" spans="2:2">
      <c r="B145" s="7"/>
    </row>
    <row r="146" spans="2:2">
      <c r="B146" s="7"/>
    </row>
    <row r="147" spans="2:2">
      <c r="B147" s="7"/>
    </row>
    <row r="148" spans="2:2">
      <c r="B148" s="7"/>
    </row>
    <row r="149" spans="2:2">
      <c r="B149" s="7"/>
    </row>
  </sheetData>
  <phoneticPr fontId="11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B262-9AFB-43A6-A06F-6800618A41C1}">
  <dimension ref="A1:O34"/>
  <sheetViews>
    <sheetView zoomScale="50" zoomScaleNormal="50" workbookViewId="0">
      <selection activeCell="D33" sqref="D33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80" customFormat="1" ht="32.25" customHeight="1">
      <c r="H1" s="83"/>
    </row>
    <row r="2" spans="1:15" s="80" customFormat="1" ht="32.5">
      <c r="A2" s="80" t="str">
        <f>'shipper master'!C49</f>
        <v xml:space="preserve"> SY-5700703-VT-DD-01</v>
      </c>
      <c r="H2" s="83"/>
      <c r="I2" s="80" t="str">
        <f>'shipper master'!C49</f>
        <v xml:space="preserve"> SY-5700703-VT-DD-01</v>
      </c>
    </row>
    <row r="3" spans="1:15" s="80" customFormat="1" ht="32.5">
      <c r="A3" s="80" t="str">
        <f>'[1]shipper master'!C50</f>
        <v xml:space="preserve">VIVAN GARMENTS VIET NAM </v>
      </c>
      <c r="H3" s="83"/>
      <c r="I3" s="80" t="str">
        <f>'[1]shipper master'!C50</f>
        <v xml:space="preserve">VIVAN GARMENTS VIET NAM </v>
      </c>
    </row>
    <row r="4" spans="1:15" s="80" customFormat="1" ht="32.5">
      <c r="A4" s="80" t="str">
        <f>'[1]shipper master'!C51</f>
        <v xml:space="preserve"> COMPANY LIMITED</v>
      </c>
      <c r="H4" s="83"/>
      <c r="I4" s="80" t="str">
        <f>'[1]shipper master'!C51</f>
        <v xml:space="preserve"> COMPANY LIMITED</v>
      </c>
    </row>
    <row r="5" spans="1:15" s="80" customFormat="1" ht="32.5">
      <c r="A5" s="80" t="str">
        <f>'[1]shipper master'!C52</f>
        <v xml:space="preserve"> HOCHIMINH-CITY, VIETNAM</v>
      </c>
      <c r="H5" s="83"/>
      <c r="I5" s="80" t="str">
        <f>'[1]shipper master'!C52</f>
        <v xml:space="preserve"> HOCHIMINH-CITY, VIETNAM</v>
      </c>
    </row>
    <row r="6" spans="1:15" s="80" customFormat="1" ht="32.5">
      <c r="A6" s="80" t="s">
        <v>98</v>
      </c>
      <c r="C6" s="80">
        <v>1</v>
      </c>
      <c r="D6" s="82"/>
      <c r="H6" s="83"/>
      <c r="I6" s="80" t="s">
        <v>98</v>
      </c>
      <c r="K6" s="80">
        <v>2</v>
      </c>
    </row>
    <row r="7" spans="1:15" s="80" customFormat="1" ht="32.25" customHeight="1">
      <c r="A7" s="80" t="str">
        <f>'[1]shipper master'!C54</f>
        <v xml:space="preserve"> MADE IN JAPAN</v>
      </c>
      <c r="H7" s="83"/>
      <c r="I7" s="80" t="str">
        <f>'[1]shipper master'!C54</f>
        <v xml:space="preserve"> MADE IN JAPAN</v>
      </c>
    </row>
    <row r="8" spans="1:15" s="80" customFormat="1" ht="19.5" customHeight="1">
      <c r="H8" s="83"/>
    </row>
    <row r="9" spans="1:15" s="80" customFormat="1" ht="19.5" customHeight="1">
      <c r="H9" s="83"/>
    </row>
    <row r="10" spans="1:15" s="80" customFormat="1" ht="19.5" customHeight="1">
      <c r="A10" s="84"/>
      <c r="B10" s="84"/>
      <c r="C10" s="84"/>
      <c r="D10" s="84"/>
      <c r="E10" s="84"/>
      <c r="F10" s="84"/>
      <c r="G10" s="84"/>
      <c r="H10" s="85"/>
      <c r="I10" s="84"/>
      <c r="J10" s="84"/>
      <c r="K10" s="84"/>
      <c r="L10" s="84"/>
      <c r="M10" s="84"/>
      <c r="N10" s="84"/>
      <c r="O10" s="84"/>
    </row>
    <row r="11" spans="1:15" s="80" customFormat="1" ht="19.5" customHeight="1">
      <c r="H11" s="83"/>
    </row>
    <row r="12" spans="1:15" s="80" customFormat="1" ht="19.5" customHeight="1">
      <c r="H12" s="83"/>
    </row>
    <row r="13" spans="1:15" s="80" customFormat="1" ht="32.5">
      <c r="A13" s="80" t="str">
        <f>'shipper master'!C49</f>
        <v xml:space="preserve"> SY-5700703-VT-DD-01</v>
      </c>
      <c r="H13" s="83"/>
      <c r="I13" s="80" t="str">
        <f>'shipper master'!C49</f>
        <v xml:space="preserve"> SY-5700703-VT-DD-01</v>
      </c>
    </row>
    <row r="14" spans="1:15" s="80" customFormat="1" ht="32.5">
      <c r="A14" s="80" t="str">
        <f>'[1]shipper master'!C50</f>
        <v xml:space="preserve">VIVAN GARMENTS VIET NAM </v>
      </c>
      <c r="H14" s="83"/>
      <c r="I14" s="80" t="str">
        <f>'[1]shipper master'!C50</f>
        <v xml:space="preserve">VIVAN GARMENTS VIET NAM </v>
      </c>
    </row>
    <row r="15" spans="1:15" s="80" customFormat="1" ht="32.5">
      <c r="A15" s="80" t="str">
        <f>'[1]shipper master'!C51</f>
        <v xml:space="preserve"> COMPANY LIMITED</v>
      </c>
      <c r="H15" s="83"/>
      <c r="I15" s="80" t="str">
        <f>'[1]shipper master'!C51</f>
        <v xml:space="preserve"> COMPANY LIMITED</v>
      </c>
    </row>
    <row r="16" spans="1:15" s="80" customFormat="1" ht="32.5">
      <c r="A16" s="80" t="str">
        <f>'[1]shipper master'!C52</f>
        <v xml:space="preserve"> HOCHIMINH-CITY, VIETNAM</v>
      </c>
      <c r="H16" s="83"/>
      <c r="I16" s="80" t="str">
        <f>'[1]shipper master'!C52</f>
        <v xml:space="preserve"> HOCHIMINH-CITY, VIETNAM</v>
      </c>
    </row>
    <row r="17" spans="1:11" s="80" customFormat="1" ht="32.5">
      <c r="A17" s="80" t="s">
        <v>98</v>
      </c>
      <c r="C17" s="80">
        <v>3</v>
      </c>
      <c r="H17" s="83"/>
      <c r="I17" s="80" t="s">
        <v>98</v>
      </c>
      <c r="K17" s="80">
        <v>4</v>
      </c>
    </row>
    <row r="18" spans="1:11" s="80" customFormat="1" ht="32.5">
      <c r="A18" s="80" t="str">
        <f>'[1]shipper master'!C54</f>
        <v xml:space="preserve"> MADE IN JAPAN</v>
      </c>
      <c r="H18" s="83"/>
      <c r="I18" s="80" t="str">
        <f>'[1]shipper master'!C54</f>
        <v xml:space="preserve"> MADE IN JAPAN</v>
      </c>
    </row>
    <row r="19" spans="1:11" s="81" customFormat="1" ht="34">
      <c r="A19" s="80"/>
    </row>
    <row r="20" spans="1:11" s="81" customFormat="1" ht="34"/>
    <row r="21" spans="1:11" s="81" customFormat="1" ht="34"/>
    <row r="22" spans="1:11" s="81" customFormat="1" ht="34"/>
    <row r="23" spans="1:11" s="81" customFormat="1" ht="34"/>
    <row r="24" spans="1:11" s="81" customFormat="1" ht="34"/>
    <row r="25" spans="1:11" s="81" customFormat="1" ht="34"/>
    <row r="26" spans="1:11" s="80" customFormat="1" ht="32.5"/>
    <row r="27" spans="1:11" s="80" customFormat="1" ht="32.5"/>
    <row r="28" spans="1:11" s="80" customFormat="1" ht="32.5"/>
    <row r="29" spans="1:11" s="80" customFormat="1" ht="32.5"/>
    <row r="30" spans="1:11" s="80" customFormat="1" ht="32.5"/>
    <row r="31" spans="1:11" s="80" customFormat="1" ht="32.5"/>
    <row r="32" spans="1:11" s="80" customFormat="1" ht="32.5"/>
    <row r="33" s="80" customFormat="1" ht="32.5"/>
    <row r="34" s="80" customFormat="1" ht="32.5"/>
  </sheetData>
  <phoneticPr fontId="11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L92"/>
  <sheetViews>
    <sheetView showZeros="0" view="pageBreakPreview" topLeftCell="A19" zoomScale="110" zoomScaleNormal="115" zoomScaleSheetLayoutView="110" workbookViewId="0">
      <selection activeCell="C51" sqref="C51"/>
    </sheetView>
  </sheetViews>
  <sheetFormatPr defaultColWidth="9" defaultRowHeight="16"/>
  <cols>
    <col min="1" max="1" width="8.6328125" style="4" customWidth="1"/>
    <col min="2" max="2" width="11.6328125" style="4" customWidth="1"/>
    <col min="3" max="3" width="23.36328125" style="4" customWidth="1"/>
    <col min="4" max="4" width="6.08984375" style="4" customWidth="1"/>
    <col min="5" max="6" width="3.08984375" style="4" customWidth="1"/>
    <col min="7" max="7" width="2.90625" style="4" customWidth="1"/>
    <col min="8" max="8" width="3.08984375" style="4" hidden="1" customWidth="1"/>
    <col min="9" max="9" width="8.453125" style="4" customWidth="1"/>
    <col min="10" max="10" width="9.90625" style="4" customWidth="1"/>
    <col min="11" max="11" width="13" style="4" customWidth="1"/>
    <col min="12" max="12" width="13.90625" style="4" customWidth="1"/>
    <col min="13" max="16384" width="9" style="4"/>
  </cols>
  <sheetData>
    <row r="1" spans="1:12" s="60" customFormat="1" ht="32.25" customHeight="1">
      <c r="A1" s="289" t="s">
        <v>29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</row>
    <row r="2" spans="1:12" ht="23.25" customHeight="1">
      <c r="A2" s="86" t="str">
        <f>'shipper master'!C2</f>
        <v xml:space="preserve"> SHUNYA CO., LTD.</v>
      </c>
      <c r="B2" s="6"/>
      <c r="C2" s="6"/>
      <c r="D2" s="6"/>
      <c r="K2" s="5"/>
    </row>
    <row r="3" spans="1:12" ht="15.75" customHeight="1">
      <c r="A3" s="3" t="str">
        <f>'shipper master'!C3</f>
        <v xml:space="preserve"> KENSHIN BLDG., 1F, 1-22-10 DOUGENZAKA,</v>
      </c>
      <c r="B3" s="6"/>
      <c r="C3" s="6"/>
      <c r="D3" s="6"/>
      <c r="K3" s="5"/>
    </row>
    <row r="4" spans="1:12" ht="18" customHeight="1">
      <c r="A4" s="3" t="str">
        <f>'shipper master'!C4</f>
        <v xml:space="preserve"> SHIBUYA-KU 150-0043</v>
      </c>
      <c r="B4" s="6"/>
      <c r="C4" s="6"/>
      <c r="D4" s="6"/>
      <c r="E4" s="26"/>
      <c r="F4" s="26"/>
      <c r="G4" s="26"/>
      <c r="H4" s="26"/>
      <c r="I4" s="26"/>
      <c r="K4" s="3">
        <f>'shipper master'!C6</f>
        <v>0</v>
      </c>
    </row>
    <row r="5" spans="1:12" ht="16.5" thickBot="1">
      <c r="A5" s="27" t="str">
        <f>'shipper master'!C5</f>
        <v xml:space="preserve"> TEL : +81(0)3-5459-1177</v>
      </c>
      <c r="B5" s="6"/>
      <c r="C5" s="6"/>
      <c r="K5" s="3">
        <f>'shipper master'!C7</f>
        <v>0</v>
      </c>
      <c r="L5" s="11"/>
    </row>
    <row r="6" spans="1:12" ht="13.4" customHeight="1">
      <c r="A6" s="28" t="s">
        <v>101</v>
      </c>
      <c r="B6" s="29"/>
      <c r="C6" s="29"/>
      <c r="D6" s="29"/>
      <c r="E6" s="30" t="s">
        <v>10</v>
      </c>
      <c r="F6" s="31"/>
      <c r="G6" s="31"/>
      <c r="H6" s="31"/>
      <c r="I6" s="29"/>
      <c r="J6" s="29"/>
      <c r="K6" s="30" t="s">
        <v>19</v>
      </c>
      <c r="L6" s="5"/>
    </row>
    <row r="7" spans="1:12" ht="13.4" customHeight="1">
      <c r="A7" s="3" t="str">
        <f>'shipper master'!C9</f>
        <v>VIVAN GARMENTS VIET NAM COMPANY LIMITED</v>
      </c>
      <c r="B7" s="5"/>
      <c r="C7" s="5"/>
      <c r="D7" s="5"/>
      <c r="E7" s="9" t="str">
        <f>'shipper master'!C26</f>
        <v xml:space="preserve"> SY-5700703-VT-DD-01</v>
      </c>
      <c r="F7" s="8"/>
      <c r="G7" s="8"/>
      <c r="H7" s="8"/>
      <c r="I7" s="8"/>
      <c r="J7" s="8"/>
      <c r="K7" s="32"/>
      <c r="L7" s="5"/>
    </row>
    <row r="8" spans="1:12" ht="13.4" customHeight="1">
      <c r="A8" s="3" t="str">
        <f>'shipper master'!C10</f>
        <v>D17 Street , Sai Gon South Residential Area</v>
      </c>
      <c r="B8" s="5"/>
      <c r="C8" s="5"/>
      <c r="D8" s="5"/>
      <c r="E8" s="33" t="s">
        <v>11</v>
      </c>
      <c r="F8" s="28"/>
      <c r="G8" s="28"/>
      <c r="H8" s="28"/>
      <c r="I8" s="5"/>
      <c r="J8" s="5"/>
      <c r="K8" s="34" t="str">
        <f>'shipper master'!C49</f>
        <v xml:space="preserve"> SY-5700703-VT-DD-01</v>
      </c>
      <c r="L8" s="5"/>
    </row>
    <row r="9" spans="1:12" ht="13.4" customHeight="1">
      <c r="A9" s="3" t="str">
        <f>'shipper master'!C11</f>
        <v>Hamlet 3 , Long Hau Commune , Can Giuoc District,</v>
      </c>
      <c r="B9" s="5"/>
      <c r="C9" s="5"/>
      <c r="D9" s="5"/>
      <c r="E9" s="61" t="str">
        <f>'shipper master'!C25</f>
        <v>July, 03 2024</v>
      </c>
      <c r="F9" s="62"/>
      <c r="G9" s="62"/>
      <c r="H9" s="62"/>
      <c r="I9" s="62"/>
      <c r="J9" s="63"/>
      <c r="K9" s="34" t="str">
        <f>'[1]shipper master'!C50</f>
        <v xml:space="preserve">VIVAN GARMENTS VIET NAM </v>
      </c>
      <c r="L9" s="5"/>
    </row>
    <row r="10" spans="1:12" ht="13.4" customHeight="1">
      <c r="A10" s="3" t="str">
        <f>'shipper master'!C12</f>
        <v xml:space="preserve"> Long An Province , VietNam</v>
      </c>
      <c r="B10" s="5"/>
      <c r="C10" s="5"/>
      <c r="D10" s="5"/>
      <c r="E10" s="33" t="s">
        <v>12</v>
      </c>
      <c r="F10" s="28"/>
      <c r="G10" s="28"/>
      <c r="H10" s="28"/>
      <c r="I10" s="5"/>
      <c r="J10" s="5"/>
      <c r="K10" s="34" t="str">
        <f>'[1]shipper master'!C51</f>
        <v xml:space="preserve"> COMPANY LIMITED</v>
      </c>
      <c r="L10" s="5"/>
    </row>
    <row r="11" spans="1:12" ht="13.4" customHeight="1">
      <c r="A11" s="8" t="str">
        <f>'shipper master'!C13</f>
        <v xml:space="preserve"> TEL : ( 084 ) 097 22 00 798  ATTN : MR. TUAN</v>
      </c>
      <c r="B11" s="5"/>
      <c r="C11" s="5"/>
      <c r="D11" s="36"/>
      <c r="E11" s="290" t="str">
        <f>'shipper master'!C27</f>
        <v xml:space="preserve"> SY-5700703-VT-DD-01</v>
      </c>
      <c r="F11" s="291"/>
      <c r="G11" s="291"/>
      <c r="H11" s="291"/>
      <c r="I11" s="291"/>
      <c r="J11" s="292"/>
      <c r="K11" s="34" t="str">
        <f>'[1]shipper master'!C52</f>
        <v xml:space="preserve"> HOCHIMINH-CITY, VIETNAM</v>
      </c>
      <c r="L11" s="5"/>
    </row>
    <row r="12" spans="1:12" ht="13.4" customHeight="1">
      <c r="A12" s="28" t="s">
        <v>9</v>
      </c>
      <c r="B12" s="14"/>
      <c r="C12" s="14"/>
      <c r="D12" s="5"/>
      <c r="E12" s="33" t="s">
        <v>31</v>
      </c>
      <c r="F12" s="28"/>
      <c r="G12" s="28"/>
      <c r="H12" s="28"/>
      <c r="I12" s="5"/>
      <c r="J12" s="5"/>
      <c r="K12" s="134" t="s">
        <v>192</v>
      </c>
      <c r="L12" s="5"/>
    </row>
    <row r="13" spans="1:12" ht="13.4" customHeight="1">
      <c r="A13" s="3" t="str">
        <f>'shipper master'!C15</f>
        <v xml:space="preserve"> - SAME AS BUYER -</v>
      </c>
      <c r="B13" s="5"/>
      <c r="C13" s="5"/>
      <c r="D13" s="5"/>
      <c r="E13" s="290">
        <f>'shipper master'!C30</f>
        <v>0</v>
      </c>
      <c r="F13" s="291"/>
      <c r="G13" s="291"/>
      <c r="H13" s="291"/>
      <c r="I13" s="291"/>
      <c r="J13" s="292"/>
      <c r="K13" s="34" t="s">
        <v>142</v>
      </c>
      <c r="L13" s="5"/>
    </row>
    <row r="14" spans="1:12" ht="13.4" customHeight="1">
      <c r="A14" s="3">
        <f>'shipper master'!C16</f>
        <v>0</v>
      </c>
      <c r="B14" s="5"/>
      <c r="C14" s="5"/>
      <c r="D14" s="5"/>
      <c r="E14" s="72" t="s">
        <v>32</v>
      </c>
      <c r="F14" s="3"/>
      <c r="G14" s="3"/>
      <c r="H14" s="3"/>
      <c r="I14" s="3"/>
      <c r="J14" s="71"/>
      <c r="K14" s="34"/>
      <c r="L14" s="5"/>
    </row>
    <row r="15" spans="1:12" ht="13.4" customHeight="1">
      <c r="A15" s="3">
        <f>'shipper master'!C17</f>
        <v>0</v>
      </c>
      <c r="B15" s="5"/>
      <c r="C15" s="5"/>
      <c r="D15" s="5"/>
      <c r="E15" s="290">
        <f>'shipper master'!C29</f>
        <v>0</v>
      </c>
      <c r="F15" s="291"/>
      <c r="G15" s="291"/>
      <c r="H15" s="291"/>
      <c r="I15" s="291"/>
      <c r="J15" s="292"/>
      <c r="K15" s="32"/>
      <c r="L15" s="5"/>
    </row>
    <row r="16" spans="1:12" ht="13.4" customHeight="1">
      <c r="A16" s="3">
        <f>'shipper master'!C18</f>
        <v>0</v>
      </c>
      <c r="B16" s="5"/>
      <c r="C16" s="5"/>
      <c r="D16" s="5"/>
      <c r="E16" s="33" t="s">
        <v>13</v>
      </c>
      <c r="F16" s="28"/>
      <c r="G16" s="28"/>
      <c r="H16" s="28"/>
      <c r="I16" s="5"/>
      <c r="J16" s="5"/>
      <c r="K16" s="32"/>
      <c r="L16" s="5"/>
    </row>
    <row r="17" spans="1:12" ht="13.4" customHeight="1">
      <c r="A17" s="8">
        <f>'shipper master'!C19</f>
        <v>0</v>
      </c>
      <c r="B17" s="35"/>
      <c r="C17" s="35"/>
      <c r="D17" s="35"/>
      <c r="E17" s="293"/>
      <c r="F17" s="294"/>
      <c r="G17" s="294"/>
      <c r="H17" s="294"/>
      <c r="I17" s="294"/>
      <c r="J17" s="295"/>
      <c r="K17" s="32"/>
      <c r="L17" s="5"/>
    </row>
    <row r="18" spans="1:12" ht="13.25" customHeight="1">
      <c r="A18" s="28" t="s">
        <v>14</v>
      </c>
      <c r="B18" s="5"/>
      <c r="C18" s="5"/>
      <c r="D18" s="5"/>
      <c r="E18" s="5"/>
      <c r="F18" s="5"/>
      <c r="G18" s="5"/>
      <c r="H18" s="5"/>
      <c r="I18" s="5"/>
      <c r="J18" s="5"/>
      <c r="K18" s="32"/>
      <c r="L18" s="5"/>
    </row>
    <row r="19" spans="1:12" ht="13.25" customHeight="1">
      <c r="A19" s="8" t="str">
        <f>'shipper master'!C21</f>
        <v xml:space="preserve"> NO COMMERCIAL</v>
      </c>
      <c r="B19" s="35"/>
      <c r="C19" s="35"/>
      <c r="D19" s="35"/>
      <c r="E19" s="35"/>
      <c r="F19" s="35"/>
      <c r="G19" s="35"/>
      <c r="H19" s="35"/>
      <c r="I19" s="35"/>
      <c r="J19" s="35"/>
      <c r="K19" s="64"/>
      <c r="L19" s="35"/>
    </row>
    <row r="20" spans="1:12" ht="13.25" customHeight="1">
      <c r="A20" s="28" t="s">
        <v>15</v>
      </c>
      <c r="B20" s="5"/>
      <c r="C20" s="37" t="s">
        <v>16</v>
      </c>
      <c r="D20" s="38"/>
      <c r="E20" s="28" t="s">
        <v>17</v>
      </c>
      <c r="F20" s="28"/>
      <c r="G20" s="28"/>
      <c r="H20" s="28"/>
      <c r="I20" s="39" t="s">
        <v>1</v>
      </c>
      <c r="J20" s="40"/>
      <c r="K20" s="28" t="s">
        <v>18</v>
      </c>
      <c r="L20" s="5"/>
    </row>
    <row r="21" spans="1:12" s="1" customFormat="1" ht="13.25" customHeight="1" thickBot="1">
      <c r="A21" s="3" t="str">
        <f>'shipper master'!C24</f>
        <v xml:space="preserve"> AIRCRAFT</v>
      </c>
      <c r="B21" s="27"/>
      <c r="C21" s="41" t="str">
        <f>'shipper master'!C32</f>
        <v xml:space="preserve"> TOKYO, JAPAN</v>
      </c>
      <c r="D21" s="7"/>
      <c r="E21" s="7"/>
      <c r="F21" s="7" t="str">
        <f>'shipper master'!C33</f>
        <v xml:space="preserve"> HOCHIMINH-CITY, VIETNAM</v>
      </c>
      <c r="G21" s="3"/>
      <c r="H21" s="3"/>
      <c r="I21" s="27"/>
      <c r="J21" s="27"/>
      <c r="K21" s="7"/>
      <c r="L21" s="27"/>
    </row>
    <row r="22" spans="1:12" s="53" customFormat="1" ht="16.25" customHeight="1">
      <c r="A22" s="50" t="s">
        <v>23</v>
      </c>
      <c r="B22" s="50" t="s">
        <v>25</v>
      </c>
      <c r="C22" s="51" t="s">
        <v>26</v>
      </c>
      <c r="D22" s="50" t="s">
        <v>28</v>
      </c>
      <c r="E22" s="51"/>
      <c r="F22" s="51"/>
      <c r="G22" s="51" t="s">
        <v>24</v>
      </c>
      <c r="H22" s="51"/>
      <c r="I22" s="51"/>
      <c r="J22" s="57" t="s">
        <v>20</v>
      </c>
      <c r="K22" s="50" t="s">
        <v>22</v>
      </c>
      <c r="L22" s="52" t="s">
        <v>21</v>
      </c>
    </row>
    <row r="23" spans="1:12" ht="13.4" customHeight="1">
      <c r="A23" s="12"/>
      <c r="B23" s="13"/>
      <c r="C23" s="5"/>
      <c r="D23" s="13"/>
      <c r="E23" s="5"/>
      <c r="F23" s="5"/>
      <c r="G23" s="5"/>
      <c r="H23" s="5"/>
      <c r="I23" s="5"/>
      <c r="J23" s="58"/>
      <c r="K23" s="5"/>
      <c r="L23" s="32"/>
    </row>
    <row r="24" spans="1:12" s="1" customFormat="1" ht="13.4" customHeight="1">
      <c r="A24" s="15"/>
      <c r="B24" s="16" t="str">
        <f>'shipper master'!C36</f>
        <v>FABRIC &amp; PARTS FOR WEAR &amp; SAMPLE CLOTHES</v>
      </c>
      <c r="C24" s="7"/>
      <c r="D24" s="7"/>
      <c r="E24" s="7"/>
      <c r="F24" s="7"/>
      <c r="G24" s="7"/>
      <c r="H24" s="7"/>
      <c r="I24" s="7"/>
      <c r="J24" s="59"/>
      <c r="K24" s="73" t="str">
        <f>'shipper master'!C48</f>
        <v>F.O.B. TOKYO IN YEN</v>
      </c>
      <c r="L24" s="42"/>
    </row>
    <row r="25" spans="1:12" s="1" customFormat="1" ht="13.4" customHeight="1">
      <c r="A25" s="15"/>
      <c r="B25" s="16"/>
      <c r="C25" s="7"/>
      <c r="D25" s="7"/>
      <c r="E25" s="7"/>
      <c r="F25" s="7"/>
      <c r="G25" s="7"/>
      <c r="H25" s="7"/>
      <c r="I25" s="7"/>
      <c r="J25" s="59"/>
      <c r="K25" s="137"/>
      <c r="L25" s="42"/>
    </row>
    <row r="26" spans="1:12" s="1" customFormat="1" ht="13.4" customHeight="1">
      <c r="A26" s="17"/>
      <c r="B26" s="16">
        <f>'shipper master'!C37</f>
        <v>0</v>
      </c>
      <c r="C26" s="7"/>
      <c r="D26" s="7"/>
      <c r="E26" s="3"/>
      <c r="F26" s="3"/>
      <c r="G26" s="3"/>
      <c r="H26" s="3"/>
      <c r="I26" s="3"/>
      <c r="J26" s="87"/>
      <c r="K26" s="43"/>
      <c r="L26" s="42"/>
    </row>
    <row r="27" spans="1:12" s="1" customFormat="1" ht="13.4" customHeight="1">
      <c r="A27" s="25"/>
      <c r="B27" s="7"/>
      <c r="C27" s="3"/>
      <c r="D27" s="7"/>
      <c r="E27" s="7"/>
      <c r="F27" s="7"/>
      <c r="G27" s="7"/>
      <c r="H27" s="7"/>
      <c r="I27" s="7"/>
      <c r="J27" s="138">
        <f>'NARITA '!E41</f>
        <v>116</v>
      </c>
      <c r="K27" s="154" t="str">
        <f>'NARITA '!F41</f>
        <v>M.</v>
      </c>
      <c r="L27" s="139">
        <f>'NARITA '!H41</f>
        <v>50400</v>
      </c>
    </row>
    <row r="28" spans="1:12" s="1" customFormat="1" ht="13.4" customHeight="1">
      <c r="A28" s="18"/>
      <c r="B28" s="114" t="str">
        <f>'shipper master'!C38</f>
        <v>- DETAILS AS PER ATTACHED SHEET -</v>
      </c>
      <c r="C28" s="3"/>
      <c r="D28" s="7"/>
      <c r="E28" s="3"/>
      <c r="F28" s="3"/>
      <c r="G28" s="3"/>
      <c r="H28" s="3"/>
      <c r="I28" s="3"/>
      <c r="J28" s="138">
        <f>'NARITA '!E42</f>
        <v>74</v>
      </c>
      <c r="K28" s="154" t="str">
        <f>'NARITA '!F42</f>
        <v>PCS.</v>
      </c>
      <c r="L28" s="139">
        <f>'NARITA '!H42</f>
        <v>325000</v>
      </c>
    </row>
    <row r="29" spans="1:12" s="1" customFormat="1" ht="13.4" customHeight="1">
      <c r="A29" s="18"/>
      <c r="B29" s="114">
        <f>'shipper master'!C39</f>
        <v>0</v>
      </c>
      <c r="C29" s="3"/>
      <c r="D29" s="7"/>
      <c r="E29" s="3"/>
      <c r="F29" s="3"/>
      <c r="G29" s="3"/>
      <c r="H29" s="3"/>
      <c r="I29" s="3"/>
      <c r="J29" s="140">
        <f>'NARITA '!E43</f>
        <v>1</v>
      </c>
      <c r="K29" s="154" t="str">
        <f>'NARITA '!F43</f>
        <v>SET.</v>
      </c>
      <c r="L29" s="148">
        <f>'NARITA '!H43</f>
        <v>100</v>
      </c>
    </row>
    <row r="30" spans="1:12" s="1" customFormat="1" ht="13.4" customHeight="1">
      <c r="A30" s="18"/>
      <c r="B30" s="114"/>
      <c r="C30" s="3"/>
      <c r="D30" s="7"/>
      <c r="E30" s="3"/>
      <c r="F30" s="3"/>
      <c r="G30" s="3"/>
      <c r="H30" s="3"/>
      <c r="I30" s="3"/>
      <c r="J30" s="286">
        <f>'NARITA '!E44</f>
        <v>28.799999999999997</v>
      </c>
      <c r="K30" s="154" t="str">
        <f>'NARITA '!F44</f>
        <v>KG.</v>
      </c>
      <c r="L30" s="148">
        <f>'NARITA '!H44</f>
        <v>172800</v>
      </c>
    </row>
    <row r="31" spans="1:12" s="1" customFormat="1" ht="17.25" customHeight="1" thickBot="1">
      <c r="A31" s="19"/>
      <c r="B31" s="20" t="s">
        <v>27</v>
      </c>
      <c r="C31" s="287" t="s">
        <v>193</v>
      </c>
      <c r="D31" s="151" t="s">
        <v>117</v>
      </c>
      <c r="E31" s="296">
        <f>J29</f>
        <v>1</v>
      </c>
      <c r="F31" s="296"/>
      <c r="G31" s="296"/>
      <c r="H31" s="141">
        <f>H29</f>
        <v>0</v>
      </c>
      <c r="I31" s="142" t="s">
        <v>141</v>
      </c>
      <c r="J31" s="141">
        <f>J30</f>
        <v>28.799999999999997</v>
      </c>
      <c r="K31" s="142" t="s">
        <v>183</v>
      </c>
      <c r="L31" s="143">
        <f>SUM(L27:L30)</f>
        <v>548300</v>
      </c>
    </row>
    <row r="32" spans="1:12" s="1" customFormat="1" ht="13.4" customHeight="1" thickTop="1">
      <c r="A32" s="21"/>
      <c r="B32" s="22"/>
      <c r="C32" s="3"/>
      <c r="D32" s="55"/>
      <c r="E32" s="3"/>
      <c r="F32" s="55"/>
      <c r="G32" s="3"/>
      <c r="H32" s="3"/>
      <c r="I32" s="3"/>
      <c r="J32" s="18"/>
      <c r="K32" s="44"/>
      <c r="L32" s="21"/>
    </row>
    <row r="33" spans="1:12" s="1" customFormat="1" ht="13.4" customHeight="1">
      <c r="A33" s="3"/>
      <c r="B33" s="7"/>
      <c r="C33" s="3"/>
      <c r="D33" s="3"/>
      <c r="E33" s="3"/>
      <c r="F33" s="3"/>
      <c r="G33" s="3"/>
      <c r="H33" s="3"/>
      <c r="I33" s="3"/>
      <c r="J33" s="56"/>
      <c r="K33" s="44"/>
      <c r="L33" s="54"/>
    </row>
    <row r="34" spans="1:12" s="1" customFormat="1" ht="13.4" customHeight="1">
      <c r="A34" s="3" t="str">
        <f>'shipper master'!C63</f>
        <v>" THESE GOODS WILL BE RETURN TO JAPAN</v>
      </c>
      <c r="B34" s="89"/>
      <c r="C34" s="89"/>
      <c r="D34" s="89"/>
      <c r="E34" s="89"/>
      <c r="F34" s="3"/>
      <c r="G34" s="3"/>
      <c r="H34" s="3" t="s">
        <v>96</v>
      </c>
      <c r="I34" s="3"/>
      <c r="J34" s="56" t="s">
        <v>111</v>
      </c>
      <c r="K34" s="44"/>
      <c r="L34" s="3"/>
    </row>
    <row r="35" spans="1:12" s="1" customFormat="1" ht="13.4" customHeight="1">
      <c r="A35" s="288" t="str">
        <f>'shipper master'!C64</f>
        <v xml:space="preserve">  AFTER MANUFACTURED AT VIET NAM "</v>
      </c>
      <c r="B35" s="288"/>
      <c r="C35" s="288"/>
      <c r="D35" s="7"/>
      <c r="E35" s="3"/>
      <c r="F35" s="3"/>
      <c r="G35" s="3"/>
      <c r="H35" s="3" t="s">
        <v>97</v>
      </c>
      <c r="I35" s="3"/>
      <c r="J35" s="56" t="s">
        <v>114</v>
      </c>
      <c r="K35" s="44"/>
      <c r="L35" s="54"/>
    </row>
    <row r="36" spans="1:12" s="1" customFormat="1" ht="13.4" customHeight="1">
      <c r="A36" s="3"/>
      <c r="B36" s="7"/>
      <c r="C36" s="7">
        <f>'shipper master'!C58</f>
        <v>0</v>
      </c>
      <c r="D36" s="7"/>
      <c r="E36" s="3"/>
      <c r="F36" s="3"/>
      <c r="G36" s="3"/>
      <c r="H36" s="3"/>
      <c r="I36" s="3"/>
      <c r="J36" s="18"/>
      <c r="K36" s="44"/>
      <c r="L36" s="3"/>
    </row>
    <row r="37" spans="1:12" s="1" customFormat="1" ht="13.4" customHeight="1">
      <c r="A37" s="7" t="str">
        <f>'shipper master'!C60</f>
        <v>COUNTRY OF ORIGIN : JAPAN</v>
      </c>
      <c r="B37" s="7"/>
      <c r="C37" s="7"/>
      <c r="D37" s="7"/>
      <c r="E37" s="3"/>
      <c r="F37" s="3"/>
      <c r="G37" s="3"/>
      <c r="H37" s="3"/>
      <c r="I37" s="3"/>
      <c r="J37" s="18"/>
      <c r="K37" s="44"/>
      <c r="L37" s="3"/>
    </row>
    <row r="38" spans="1:12" s="1" customFormat="1" ht="13.4" customHeight="1">
      <c r="A38" s="7"/>
      <c r="B38" s="7"/>
      <c r="C38" s="7"/>
      <c r="D38" s="7"/>
      <c r="E38" s="3"/>
      <c r="F38" s="3"/>
      <c r="G38" s="3"/>
      <c r="H38" s="3"/>
      <c r="I38" s="3"/>
      <c r="J38" s="18"/>
      <c r="K38" s="44"/>
      <c r="L38" s="3"/>
    </row>
    <row r="39" spans="1:12" s="1" customFormat="1" ht="13.4" customHeight="1">
      <c r="A39" s="115" t="s">
        <v>133</v>
      </c>
      <c r="B39" s="99"/>
      <c r="C39" s="152" t="s">
        <v>191</v>
      </c>
      <c r="D39" s="7"/>
      <c r="E39" s="3"/>
      <c r="F39" s="3"/>
      <c r="G39" s="3"/>
      <c r="H39" s="3"/>
      <c r="I39" s="3"/>
      <c r="J39" s="18"/>
      <c r="K39" s="44"/>
      <c r="L39" s="3"/>
    </row>
    <row r="40" spans="1:12" s="1" customFormat="1" ht="13.4" customHeight="1">
      <c r="A40" s="115" t="s">
        <v>134</v>
      </c>
      <c r="B40" s="99"/>
      <c r="C40" s="136" t="s">
        <v>148</v>
      </c>
      <c r="D40" s="7"/>
      <c r="E40" s="3"/>
      <c r="F40" s="3"/>
      <c r="G40" s="3"/>
      <c r="H40" s="3"/>
      <c r="I40" s="3"/>
      <c r="J40" s="18"/>
      <c r="K40" s="44"/>
      <c r="L40" s="3"/>
    </row>
    <row r="41" spans="1:12" s="1" customFormat="1" ht="13.4" customHeight="1">
      <c r="A41" s="43"/>
      <c r="B41" s="16"/>
      <c r="C41" s="67"/>
      <c r="D41" s="16"/>
      <c r="E41" s="65"/>
      <c r="F41" s="65"/>
      <c r="G41" s="65"/>
      <c r="H41" s="3"/>
      <c r="I41" s="3"/>
      <c r="J41" s="18"/>
      <c r="K41" s="44"/>
      <c r="L41" s="3"/>
    </row>
    <row r="42" spans="1:12" ht="18" customHeight="1">
      <c r="A42" s="43"/>
      <c r="B42" s="5"/>
      <c r="C42" s="5"/>
      <c r="D42" s="5"/>
      <c r="E42" s="5"/>
      <c r="F42" s="5"/>
      <c r="G42" s="13"/>
      <c r="H42" s="5"/>
      <c r="I42" s="5"/>
      <c r="J42" s="13"/>
      <c r="K42" s="45"/>
      <c r="L42" s="5"/>
    </row>
    <row r="43" spans="1:12" ht="13.4" customHeight="1">
      <c r="A43" s="5"/>
      <c r="B43" s="46"/>
      <c r="C43" s="5"/>
      <c r="D43" s="5"/>
      <c r="E43" s="5"/>
      <c r="F43" s="5"/>
      <c r="G43" s="5"/>
      <c r="H43" s="5"/>
      <c r="I43" s="5"/>
      <c r="J43" s="23"/>
      <c r="K43" s="45"/>
      <c r="L43" s="5"/>
    </row>
    <row r="44" spans="1:12" ht="13.4" customHeight="1">
      <c r="A44" s="5"/>
      <c r="B44" s="46"/>
      <c r="C44" s="5"/>
      <c r="D44" s="5"/>
      <c r="E44" s="5"/>
      <c r="F44" s="5"/>
      <c r="G44" s="5"/>
      <c r="H44" s="5"/>
      <c r="I44" s="5"/>
      <c r="J44" s="23"/>
      <c r="K44" s="45"/>
      <c r="L44" s="5"/>
    </row>
    <row r="45" spans="1:12" ht="13.4" customHeight="1">
      <c r="A45" s="5"/>
      <c r="B45" s="5"/>
      <c r="C45" s="5"/>
      <c r="D45" s="5"/>
      <c r="E45" s="5"/>
      <c r="F45" s="5"/>
      <c r="G45" s="35"/>
      <c r="H45" s="35"/>
      <c r="I45" s="35"/>
      <c r="J45" s="47"/>
      <c r="K45" s="48"/>
      <c r="L45" s="35"/>
    </row>
    <row r="46" spans="1:12" ht="13.4" customHeight="1">
      <c r="A46" s="5"/>
      <c r="B46" s="5"/>
      <c r="C46" s="5"/>
      <c r="D46" s="5"/>
      <c r="E46" s="5"/>
      <c r="F46" s="5"/>
      <c r="G46" s="5"/>
      <c r="H46" s="5"/>
      <c r="I46" s="5"/>
      <c r="J46" s="23"/>
      <c r="K46" s="45"/>
      <c r="L46" s="5"/>
    </row>
    <row r="47" spans="1:12" ht="13.4" customHeight="1">
      <c r="A47" s="5"/>
      <c r="B47" s="5"/>
      <c r="C47" s="5"/>
      <c r="D47" s="5"/>
      <c r="E47" s="5"/>
      <c r="F47" s="5"/>
      <c r="G47" s="5"/>
      <c r="H47" s="5"/>
      <c r="I47" s="5"/>
      <c r="J47" s="23"/>
      <c r="K47" s="45"/>
      <c r="L47" s="5"/>
    </row>
    <row r="48" spans="1:12" ht="13.4" customHeight="1">
      <c r="A48" s="5"/>
      <c r="B48" s="5"/>
      <c r="C48" s="5"/>
      <c r="D48" s="5"/>
      <c r="E48" s="5"/>
      <c r="F48" s="5"/>
      <c r="G48" s="5"/>
      <c r="H48" s="5"/>
      <c r="I48" s="5"/>
      <c r="J48" s="23"/>
      <c r="K48" s="45"/>
      <c r="L48" s="5"/>
    </row>
    <row r="49" spans="1:12">
      <c r="A49" s="5"/>
      <c r="B49" s="5"/>
      <c r="C49" s="5"/>
      <c r="D49" s="5"/>
      <c r="E49" s="5"/>
      <c r="F49" s="5"/>
      <c r="G49" s="5"/>
      <c r="H49" s="5"/>
      <c r="I49" s="5"/>
      <c r="J49" s="23"/>
      <c r="K49" s="45"/>
      <c r="L49" s="5"/>
    </row>
    <row r="50" spans="1:12">
      <c r="A50" s="5"/>
      <c r="B50" s="5"/>
      <c r="C50" s="5"/>
      <c r="D50" s="5"/>
      <c r="E50" s="5"/>
      <c r="F50" s="5"/>
      <c r="G50" s="5"/>
      <c r="H50" s="5"/>
      <c r="I50" s="5"/>
      <c r="J50" s="23"/>
      <c r="K50" s="49"/>
      <c r="L50" s="5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23"/>
      <c r="K51" s="49"/>
      <c r="L51" s="5"/>
    </row>
    <row r="52" spans="1:12">
      <c r="A52" s="5"/>
      <c r="B52" s="5"/>
      <c r="C52" s="5"/>
      <c r="D52" s="5"/>
      <c r="E52" s="5"/>
      <c r="F52" s="5"/>
      <c r="G52" s="5"/>
      <c r="H52" s="5"/>
      <c r="I52" s="5"/>
      <c r="J52" s="23"/>
      <c r="K52" s="49"/>
      <c r="L52" s="5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23"/>
      <c r="K53" s="49"/>
      <c r="L53" s="5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23"/>
      <c r="K54" s="49"/>
      <c r="L54" s="5"/>
    </row>
    <row r="55" spans="1:12">
      <c r="A55" s="5"/>
      <c r="B55" s="5"/>
      <c r="C55" s="5"/>
      <c r="D55" s="5"/>
      <c r="E55" s="5"/>
      <c r="F55" s="5"/>
      <c r="G55" s="5"/>
      <c r="H55" s="5"/>
      <c r="I55" s="5"/>
      <c r="J55" s="23"/>
      <c r="K55" s="49"/>
      <c r="L55" s="5"/>
    </row>
    <row r="56" spans="1:12">
      <c r="A56" s="5"/>
      <c r="B56" s="5"/>
      <c r="C56" s="5"/>
      <c r="D56" s="5"/>
      <c r="E56" s="5"/>
      <c r="F56" s="5"/>
      <c r="G56" s="5"/>
      <c r="H56" s="5"/>
      <c r="I56" s="5"/>
      <c r="J56" s="23"/>
      <c r="K56" s="49"/>
      <c r="L56" s="5"/>
    </row>
    <row r="57" spans="1:12">
      <c r="A57" s="5"/>
      <c r="B57" s="5"/>
      <c r="C57" s="5"/>
      <c r="D57" s="5"/>
      <c r="E57" s="5"/>
      <c r="F57" s="5"/>
      <c r="G57" s="5"/>
      <c r="H57" s="5"/>
      <c r="I57" s="5"/>
      <c r="J57" s="23"/>
      <c r="K57" s="49"/>
      <c r="L57" s="5"/>
    </row>
    <row r="58" spans="1:12">
      <c r="A58" s="5"/>
      <c r="B58" s="5"/>
      <c r="C58" s="5"/>
      <c r="D58" s="5"/>
      <c r="E58" s="5"/>
      <c r="F58" s="5"/>
      <c r="G58" s="5"/>
      <c r="H58" s="5"/>
      <c r="I58" s="5"/>
      <c r="J58" s="23"/>
      <c r="K58" s="49"/>
      <c r="L58" s="5"/>
    </row>
    <row r="59" spans="1:12">
      <c r="A59" s="5"/>
      <c r="B59" s="5"/>
      <c r="C59" s="5"/>
      <c r="D59" s="5"/>
      <c r="E59" s="5"/>
      <c r="F59" s="5"/>
      <c r="G59" s="5"/>
      <c r="H59" s="5"/>
      <c r="I59" s="5"/>
      <c r="J59" s="23"/>
      <c r="K59" s="49"/>
      <c r="L59" s="5"/>
    </row>
    <row r="60" spans="1:12">
      <c r="A60" s="5"/>
      <c r="B60" s="5"/>
      <c r="C60" s="5"/>
      <c r="D60" s="5"/>
      <c r="E60" s="5"/>
      <c r="F60" s="5"/>
      <c r="G60" s="5"/>
      <c r="H60" s="5"/>
      <c r="I60" s="5"/>
      <c r="J60" s="23"/>
      <c r="K60" s="49"/>
      <c r="L60" s="5"/>
    </row>
    <row r="61" spans="1:12">
      <c r="A61" s="5"/>
      <c r="B61" s="5"/>
      <c r="C61" s="5"/>
      <c r="D61" s="5"/>
      <c r="E61" s="5"/>
      <c r="F61" s="5"/>
      <c r="G61" s="5"/>
      <c r="H61" s="5"/>
      <c r="I61" s="5"/>
      <c r="J61" s="23"/>
      <c r="K61" s="49"/>
      <c r="L61" s="5"/>
    </row>
    <row r="62" spans="1:12">
      <c r="A62" s="5"/>
      <c r="B62" s="5"/>
      <c r="C62" s="5"/>
      <c r="D62" s="5"/>
      <c r="E62" s="5"/>
      <c r="F62" s="5"/>
      <c r="G62" s="5"/>
      <c r="H62" s="5"/>
      <c r="I62" s="5"/>
      <c r="J62" s="23"/>
      <c r="K62" s="49"/>
      <c r="L62" s="5"/>
    </row>
    <row r="63" spans="1:12">
      <c r="A63" s="5"/>
      <c r="B63" s="5"/>
      <c r="C63" s="5"/>
      <c r="D63" s="5"/>
      <c r="E63" s="5"/>
      <c r="F63" s="5"/>
      <c r="G63" s="5"/>
      <c r="H63" s="5"/>
      <c r="I63" s="5"/>
      <c r="J63" s="23"/>
      <c r="K63" s="49"/>
      <c r="L63" s="5"/>
    </row>
    <row r="64" spans="1:12">
      <c r="A64" s="5"/>
      <c r="B64" s="5"/>
      <c r="C64" s="5"/>
      <c r="D64" s="5"/>
      <c r="E64" s="5"/>
      <c r="F64" s="5"/>
      <c r="G64" s="5"/>
      <c r="H64" s="5"/>
      <c r="I64" s="5"/>
      <c r="J64" s="23"/>
      <c r="K64" s="49"/>
      <c r="L64" s="5"/>
    </row>
    <row r="65" spans="1:12">
      <c r="A65" s="5"/>
      <c r="B65" s="5"/>
      <c r="C65" s="5"/>
      <c r="D65" s="5"/>
      <c r="E65" s="5"/>
      <c r="F65" s="5"/>
      <c r="G65" s="5"/>
      <c r="H65" s="5"/>
      <c r="I65" s="5"/>
      <c r="J65" s="23"/>
      <c r="K65" s="49"/>
      <c r="L65" s="5"/>
    </row>
    <row r="66" spans="1:12">
      <c r="A66" s="5"/>
      <c r="B66" s="5"/>
      <c r="C66" s="5"/>
      <c r="D66" s="5"/>
      <c r="E66" s="5"/>
      <c r="F66" s="5"/>
      <c r="G66" s="5"/>
      <c r="H66" s="5"/>
      <c r="I66" s="5"/>
      <c r="J66" s="23"/>
      <c r="K66" s="49"/>
      <c r="L66" s="5"/>
    </row>
    <row r="67" spans="1:12">
      <c r="A67" s="5"/>
      <c r="B67" s="5"/>
      <c r="C67" s="5"/>
      <c r="D67" s="5"/>
      <c r="E67" s="5"/>
      <c r="F67" s="5"/>
      <c r="G67" s="5"/>
      <c r="H67" s="5"/>
      <c r="I67" s="5"/>
      <c r="J67" s="23"/>
      <c r="K67" s="49"/>
      <c r="L67" s="5"/>
    </row>
    <row r="68" spans="1:12">
      <c r="A68" s="5"/>
      <c r="B68" s="5"/>
      <c r="C68" s="5"/>
      <c r="D68" s="5"/>
      <c r="E68" s="5"/>
      <c r="F68" s="5"/>
      <c r="G68" s="5"/>
      <c r="H68" s="5"/>
      <c r="I68" s="5"/>
      <c r="J68" s="23"/>
      <c r="K68" s="49"/>
      <c r="L68" s="5"/>
    </row>
    <row r="69" spans="1:12">
      <c r="A69" s="5"/>
      <c r="B69" s="5"/>
      <c r="C69" s="5"/>
      <c r="D69" s="5"/>
      <c r="E69" s="5"/>
      <c r="F69" s="5"/>
      <c r="G69" s="5"/>
      <c r="H69" s="5"/>
      <c r="I69" s="5"/>
      <c r="J69" s="23"/>
      <c r="K69" s="49"/>
      <c r="L69" s="5"/>
    </row>
    <row r="70" spans="1:12">
      <c r="A70" s="5"/>
      <c r="B70" s="5"/>
      <c r="C70" s="5"/>
      <c r="D70" s="5"/>
      <c r="E70" s="5"/>
      <c r="F70" s="5"/>
      <c r="G70" s="5"/>
      <c r="H70" s="5"/>
      <c r="I70" s="5"/>
      <c r="J70" s="23"/>
      <c r="K70" s="49"/>
      <c r="L70" s="5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23"/>
      <c r="K71" s="49"/>
      <c r="L71" s="5"/>
    </row>
    <row r="72" spans="1:12">
      <c r="A72" s="5"/>
      <c r="B72" s="5"/>
      <c r="C72" s="5"/>
      <c r="D72" s="5"/>
      <c r="E72" s="5"/>
      <c r="F72" s="5"/>
      <c r="G72" s="5"/>
      <c r="H72" s="5"/>
      <c r="I72" s="5"/>
      <c r="J72" s="23"/>
      <c r="K72" s="49"/>
      <c r="L72" s="5"/>
    </row>
    <row r="73" spans="1:12">
      <c r="J73" s="24"/>
      <c r="K73" s="10"/>
    </row>
    <row r="74" spans="1:12">
      <c r="J74" s="24"/>
      <c r="K74" s="10"/>
    </row>
    <row r="75" spans="1:12">
      <c r="K75" s="10"/>
    </row>
    <row r="76" spans="1:12">
      <c r="K76" s="10"/>
    </row>
    <row r="77" spans="1:12">
      <c r="K77" s="10"/>
    </row>
    <row r="78" spans="1:12">
      <c r="K78" s="10"/>
    </row>
    <row r="79" spans="1:12">
      <c r="K79" s="10"/>
    </row>
    <row r="80" spans="1:12">
      <c r="K80" s="10"/>
    </row>
    <row r="81" spans="11:11">
      <c r="K81" s="10"/>
    </row>
    <row r="82" spans="11:11">
      <c r="K82" s="10"/>
    </row>
    <row r="83" spans="11:11">
      <c r="K83" s="10"/>
    </row>
    <row r="84" spans="11:11">
      <c r="K84" s="10"/>
    </row>
    <row r="85" spans="11:11">
      <c r="K85" s="10"/>
    </row>
    <row r="86" spans="11:11">
      <c r="K86" s="10"/>
    </row>
    <row r="87" spans="11:11">
      <c r="K87" s="10"/>
    </row>
    <row r="88" spans="11:11">
      <c r="K88" s="10"/>
    </row>
    <row r="89" spans="11:11">
      <c r="K89" s="10"/>
    </row>
    <row r="90" spans="11:11">
      <c r="K90" s="10"/>
    </row>
    <row r="91" spans="11:11">
      <c r="K91" s="10"/>
    </row>
    <row r="92" spans="11:11">
      <c r="K92" s="10"/>
    </row>
  </sheetData>
  <mergeCells count="7">
    <mergeCell ref="A35:C35"/>
    <mergeCell ref="A1:L1"/>
    <mergeCell ref="E15:J15"/>
    <mergeCell ref="E11:J11"/>
    <mergeCell ref="E17:J17"/>
    <mergeCell ref="E13:J13"/>
    <mergeCell ref="E31:G31"/>
  </mergeCells>
  <phoneticPr fontId="11"/>
  <pageMargins left="0.39370078740157483" right="0.19685039370078741" top="0.59055118110236227" bottom="0.39370078740157483" header="0.51181102362204722" footer="0.51181102362204722"/>
  <pageSetup paperSize="9" scale="9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sheetPr>
    <pageSetUpPr fitToPage="1"/>
  </sheetPr>
  <dimension ref="A1:N97"/>
  <sheetViews>
    <sheetView tabSelected="1" view="pageBreakPreview" zoomScale="70" zoomScaleNormal="90" zoomScaleSheetLayoutView="70" workbookViewId="0">
      <selection activeCell="I34" sqref="I34:I38"/>
    </sheetView>
  </sheetViews>
  <sheetFormatPr defaultRowHeight="15"/>
  <cols>
    <col min="1" max="1" width="7.90625" style="68" customWidth="1"/>
    <col min="2" max="2" width="41.90625" style="114" customWidth="1"/>
    <col min="3" max="3" width="24.08984375" style="68" customWidth="1"/>
    <col min="4" max="4" width="53.1796875" style="3" customWidth="1"/>
    <col min="5" max="5" width="10.1796875" style="68" customWidth="1"/>
    <col min="6" max="6" width="5.6328125" style="68" customWidth="1"/>
    <col min="7" max="7" width="13.453125" style="68" customWidth="1"/>
    <col min="8" max="8" width="13.90625" style="68" customWidth="1"/>
    <col min="9" max="9" width="36" style="68" customWidth="1"/>
    <col min="10" max="10" width="10.81640625" style="68" customWidth="1"/>
    <col min="11" max="11" width="11.453125" style="68" customWidth="1"/>
    <col min="12" max="12" width="25.36328125" style="68" customWidth="1"/>
    <col min="13" max="13" width="10.08984375" style="68" customWidth="1"/>
    <col min="14" max="14" width="7" style="68" customWidth="1"/>
  </cols>
  <sheetData>
    <row r="1" spans="1:14">
      <c r="A1" s="25"/>
      <c r="I1" s="25"/>
      <c r="J1" s="25"/>
      <c r="K1" s="25"/>
      <c r="L1" s="25"/>
      <c r="M1" s="25"/>
      <c r="N1" s="25"/>
    </row>
    <row r="2" spans="1:14">
      <c r="A2" s="313" t="s">
        <v>131</v>
      </c>
      <c r="B2" s="313"/>
      <c r="C2" s="313"/>
      <c r="D2" s="313"/>
      <c r="E2" s="313"/>
      <c r="F2" s="313"/>
      <c r="G2" s="313"/>
      <c r="H2" s="313"/>
      <c r="I2" s="158"/>
      <c r="L2" s="95"/>
      <c r="M2" s="95"/>
      <c r="N2" s="95"/>
    </row>
    <row r="3" spans="1:14" ht="15.5" thickBot="1">
      <c r="A3" s="159"/>
      <c r="B3" s="160"/>
      <c r="C3" s="159"/>
      <c r="D3" s="159"/>
      <c r="E3" s="159"/>
      <c r="F3" s="159"/>
      <c r="G3" s="159"/>
      <c r="H3" s="159"/>
      <c r="I3" s="158"/>
      <c r="L3" s="95"/>
      <c r="M3" s="95"/>
      <c r="N3" s="95"/>
    </row>
    <row r="4" spans="1:14" ht="21.75" customHeight="1" thickBot="1">
      <c r="A4" s="145" t="s">
        <v>60</v>
      </c>
      <c r="B4" s="126" t="s">
        <v>129</v>
      </c>
      <c r="C4" s="116" t="s">
        <v>118</v>
      </c>
      <c r="D4" s="117" t="s">
        <v>119</v>
      </c>
      <c r="E4" s="116" t="s">
        <v>120</v>
      </c>
      <c r="F4" s="314" t="s">
        <v>121</v>
      </c>
      <c r="G4" s="315"/>
      <c r="H4" s="118" t="s">
        <v>122</v>
      </c>
      <c r="I4" s="107" t="s">
        <v>123</v>
      </c>
      <c r="J4" s="104" t="s">
        <v>124</v>
      </c>
      <c r="K4" s="105" t="s">
        <v>125</v>
      </c>
      <c r="L4" s="108" t="s">
        <v>145</v>
      </c>
      <c r="M4" s="108" t="s">
        <v>126</v>
      </c>
      <c r="N4" s="109" t="s">
        <v>127</v>
      </c>
    </row>
    <row r="5" spans="1:14">
      <c r="A5" s="164"/>
      <c r="B5" s="127"/>
      <c r="C5" s="93"/>
      <c r="D5" s="119"/>
      <c r="E5" s="93"/>
      <c r="F5" s="93"/>
      <c r="G5" s="92"/>
      <c r="H5" s="92"/>
      <c r="I5" s="165"/>
      <c r="J5" s="101"/>
      <c r="K5" s="101"/>
      <c r="L5" s="101"/>
      <c r="M5" s="101"/>
      <c r="N5" s="166"/>
    </row>
    <row r="6" spans="1:14">
      <c r="A6" s="167"/>
      <c r="B6" s="168" t="s">
        <v>130</v>
      </c>
      <c r="C6" s="93"/>
      <c r="D6" s="98" t="str">
        <f>[2]invoice!B24</f>
        <v>FABRIC &amp; PARTS FOR WEAR &amp; SAMPLE CLOTHES</v>
      </c>
      <c r="E6" s="92"/>
      <c r="F6" s="92"/>
      <c r="G6" s="197" t="str">
        <f>'[1]shipper master'!C48</f>
        <v>F.O.B. TOKYO IN YEN</v>
      </c>
      <c r="H6" s="92"/>
      <c r="I6" s="169"/>
      <c r="J6" s="91"/>
      <c r="K6" s="91"/>
      <c r="L6" s="91"/>
      <c r="M6" s="91"/>
      <c r="N6" s="170"/>
    </row>
    <row r="7" spans="1:14" ht="15.5" thickBot="1">
      <c r="A7" s="171"/>
      <c r="B7" s="129"/>
      <c r="C7" s="130"/>
      <c r="D7" s="131" t="s">
        <v>146</v>
      </c>
      <c r="E7" s="130"/>
      <c r="F7" s="130"/>
      <c r="G7" s="198"/>
      <c r="H7" s="96"/>
      <c r="I7" s="172"/>
      <c r="J7" s="173"/>
      <c r="K7" s="173"/>
      <c r="L7" s="173"/>
      <c r="M7" s="174"/>
      <c r="N7" s="175"/>
    </row>
    <row r="8" spans="1:14" ht="15.4" customHeight="1">
      <c r="A8" s="316" t="s">
        <v>154</v>
      </c>
      <c r="B8" s="176"/>
      <c r="C8" s="176"/>
      <c r="D8" s="163" t="s">
        <v>158</v>
      </c>
      <c r="E8" s="184"/>
      <c r="F8" s="184"/>
      <c r="G8" s="199"/>
      <c r="H8" s="128"/>
      <c r="I8" s="306" t="s">
        <v>163</v>
      </c>
      <c r="J8" s="218"/>
      <c r="K8" s="128"/>
      <c r="L8" s="128"/>
      <c r="M8" s="128"/>
      <c r="N8" s="297">
        <v>1</v>
      </c>
    </row>
    <row r="9" spans="1:14">
      <c r="A9" s="317"/>
      <c r="B9" s="177" t="s">
        <v>156</v>
      </c>
      <c r="C9" s="178" t="s">
        <v>162</v>
      </c>
      <c r="D9" s="179" t="s">
        <v>159</v>
      </c>
      <c r="E9" s="185">
        <v>100</v>
      </c>
      <c r="F9" s="123" t="s">
        <v>116</v>
      </c>
      <c r="G9" s="213">
        <v>420</v>
      </c>
      <c r="H9" s="214">
        <f>E9*G9</f>
        <v>42000</v>
      </c>
      <c r="I9" s="319"/>
      <c r="J9" s="219"/>
      <c r="K9" s="92"/>
      <c r="L9" s="195"/>
      <c r="M9" s="92"/>
      <c r="N9" s="298"/>
    </row>
    <row r="10" spans="1:14">
      <c r="A10" s="317"/>
      <c r="B10" s="110" t="s">
        <v>150</v>
      </c>
      <c r="C10" s="178"/>
      <c r="D10" s="179" t="s">
        <v>160</v>
      </c>
      <c r="E10" s="185"/>
      <c r="F10" s="123"/>
      <c r="G10" s="213"/>
      <c r="H10" s="214"/>
      <c r="I10" s="319"/>
      <c r="J10" s="220"/>
      <c r="K10" s="92"/>
      <c r="L10" s="92"/>
      <c r="M10" s="92"/>
      <c r="N10" s="298"/>
    </row>
    <row r="11" spans="1:14" ht="16.5">
      <c r="A11" s="317"/>
      <c r="B11" s="181" t="s">
        <v>157</v>
      </c>
      <c r="C11" s="178"/>
      <c r="D11" s="180" t="s">
        <v>161</v>
      </c>
      <c r="E11" s="185"/>
      <c r="F11" s="123"/>
      <c r="G11" s="213"/>
      <c r="H11" s="214"/>
      <c r="I11" s="319"/>
      <c r="J11" s="221"/>
      <c r="K11" s="92"/>
      <c r="L11" s="92"/>
      <c r="M11" s="92"/>
      <c r="N11" s="298"/>
    </row>
    <row r="12" spans="1:14" ht="15.5" thickBot="1">
      <c r="A12" s="318"/>
      <c r="B12" s="187" t="s">
        <v>149</v>
      </c>
      <c r="C12" s="182"/>
      <c r="D12" s="183"/>
      <c r="E12" s="186"/>
      <c r="F12" s="186"/>
      <c r="G12" s="215"/>
      <c r="H12" s="216"/>
      <c r="I12" s="320"/>
      <c r="J12" s="222"/>
      <c r="K12" s="94"/>
      <c r="L12" s="94"/>
      <c r="M12" s="94"/>
      <c r="N12" s="299"/>
    </row>
    <row r="13" spans="1:14" ht="15.5" thickBot="1">
      <c r="A13" s="212"/>
      <c r="B13" s="194"/>
      <c r="C13" s="192"/>
      <c r="D13" s="189"/>
      <c r="E13" s="193"/>
      <c r="F13" s="193"/>
      <c r="G13" s="229"/>
      <c r="H13" s="106"/>
      <c r="I13" s="87"/>
      <c r="J13" s="217"/>
      <c r="K13" s="87"/>
      <c r="L13" s="87"/>
      <c r="M13" s="87"/>
      <c r="N13" s="161"/>
    </row>
    <row r="14" spans="1:14" ht="15.4" customHeight="1">
      <c r="A14" s="303" t="s">
        <v>186</v>
      </c>
      <c r="B14" s="176"/>
      <c r="C14" s="176"/>
      <c r="D14" s="163" t="s">
        <v>177</v>
      </c>
      <c r="E14" s="184"/>
      <c r="F14" s="184"/>
      <c r="G14" s="199"/>
      <c r="H14" s="128"/>
      <c r="I14" s="306" t="s">
        <v>179</v>
      </c>
      <c r="J14" s="218"/>
      <c r="K14" s="128"/>
      <c r="L14" s="300" t="s">
        <v>188</v>
      </c>
      <c r="M14" s="128"/>
      <c r="N14" s="297">
        <v>4</v>
      </c>
    </row>
    <row r="15" spans="1:14">
      <c r="A15" s="304"/>
      <c r="B15" s="177" t="s">
        <v>172</v>
      </c>
      <c r="C15" s="178" t="s">
        <v>175</v>
      </c>
      <c r="D15" s="179" t="s">
        <v>159</v>
      </c>
      <c r="E15" s="185">
        <v>8</v>
      </c>
      <c r="F15" s="123" t="s">
        <v>116</v>
      </c>
      <c r="G15" s="213">
        <v>525</v>
      </c>
      <c r="H15" s="214">
        <f>E15*G15</f>
        <v>4200</v>
      </c>
      <c r="I15" s="307"/>
      <c r="J15" s="219"/>
      <c r="K15" s="92"/>
      <c r="L15" s="301"/>
      <c r="M15" s="92"/>
      <c r="N15" s="298"/>
    </row>
    <row r="16" spans="1:14">
      <c r="A16" s="304"/>
      <c r="B16" s="110" t="s">
        <v>159</v>
      </c>
      <c r="C16" s="178" t="s">
        <v>176</v>
      </c>
      <c r="D16" s="179" t="s">
        <v>169</v>
      </c>
      <c r="E16" s="185">
        <v>8</v>
      </c>
      <c r="F16" s="123" t="s">
        <v>116</v>
      </c>
      <c r="G16" s="213">
        <v>525</v>
      </c>
      <c r="H16" s="214">
        <f>E16*G16</f>
        <v>4200</v>
      </c>
      <c r="I16" s="307"/>
      <c r="J16" s="220"/>
      <c r="K16" s="92"/>
      <c r="L16" s="301"/>
      <c r="M16" s="92"/>
      <c r="N16" s="298"/>
    </row>
    <row r="17" spans="1:14" ht="16.5">
      <c r="A17" s="304"/>
      <c r="B17" s="181" t="s">
        <v>174</v>
      </c>
      <c r="C17" s="178"/>
      <c r="D17" s="180" t="s">
        <v>178</v>
      </c>
      <c r="E17" s="185"/>
      <c r="F17" s="123"/>
      <c r="G17" s="213"/>
      <c r="H17" s="214"/>
      <c r="I17" s="307"/>
      <c r="J17" s="221"/>
      <c r="K17" s="92"/>
      <c r="L17" s="301"/>
      <c r="M17" s="92"/>
      <c r="N17" s="298"/>
    </row>
    <row r="18" spans="1:14" ht="15.5" thickBot="1">
      <c r="A18" s="304"/>
      <c r="B18" s="187" t="s">
        <v>173</v>
      </c>
      <c r="C18" s="182"/>
      <c r="D18" s="183"/>
      <c r="E18" s="186"/>
      <c r="F18" s="186"/>
      <c r="G18" s="215"/>
      <c r="H18" s="216"/>
      <c r="I18" s="307"/>
      <c r="J18" s="222"/>
      <c r="K18" s="94"/>
      <c r="L18" s="302"/>
      <c r="M18" s="94"/>
      <c r="N18" s="298"/>
    </row>
    <row r="19" spans="1:14" ht="15.5" thickBot="1">
      <c r="A19" s="304"/>
      <c r="B19" s="194"/>
      <c r="C19" s="192"/>
      <c r="D19" s="189"/>
      <c r="E19" s="193"/>
      <c r="F19" s="193"/>
      <c r="G19" s="229"/>
      <c r="H19" s="106"/>
      <c r="I19" s="307"/>
      <c r="J19" s="217"/>
      <c r="K19" s="87"/>
      <c r="L19" s="87"/>
      <c r="M19" s="87"/>
      <c r="N19" s="298"/>
    </row>
    <row r="20" spans="1:14" ht="15.4" customHeight="1">
      <c r="A20" s="304"/>
      <c r="B20" s="235"/>
      <c r="C20" s="176"/>
      <c r="D20" s="163" t="s">
        <v>158</v>
      </c>
      <c r="E20" s="184"/>
      <c r="F20" s="184"/>
      <c r="G20" s="199"/>
      <c r="H20" s="128"/>
      <c r="I20" s="307"/>
      <c r="J20" s="250"/>
      <c r="K20" s="128"/>
      <c r="L20" s="309" t="s">
        <v>190</v>
      </c>
      <c r="M20" s="256"/>
      <c r="N20" s="298"/>
    </row>
    <row r="21" spans="1:14">
      <c r="A21" s="304"/>
      <c r="B21" s="236" t="s">
        <v>168</v>
      </c>
      <c r="C21" s="178" t="s">
        <v>170</v>
      </c>
      <c r="D21" s="179"/>
      <c r="E21" s="185">
        <v>15</v>
      </c>
      <c r="F21" s="120" t="s">
        <v>117</v>
      </c>
      <c r="G21" s="213">
        <v>2000</v>
      </c>
      <c r="H21" s="214">
        <f>E21*G21</f>
        <v>30000</v>
      </c>
      <c r="I21" s="307"/>
      <c r="J21" s="251"/>
      <c r="K21" s="92"/>
      <c r="L21" s="310"/>
      <c r="M21" s="257"/>
      <c r="N21" s="298"/>
    </row>
    <row r="22" spans="1:14">
      <c r="A22" s="304"/>
      <c r="B22" s="237" t="s">
        <v>169</v>
      </c>
      <c r="C22" s="178"/>
      <c r="D22" s="179"/>
      <c r="E22" s="185"/>
      <c r="F22" s="120"/>
      <c r="G22" s="213"/>
      <c r="H22" s="214"/>
      <c r="I22" s="307"/>
      <c r="J22" s="252"/>
      <c r="K22" s="92"/>
      <c r="L22" s="310"/>
      <c r="M22" s="257"/>
      <c r="N22" s="298"/>
    </row>
    <row r="23" spans="1:14">
      <c r="A23" s="304"/>
      <c r="B23" s="238" t="s">
        <v>171</v>
      </c>
      <c r="C23" s="178"/>
      <c r="D23" s="180"/>
      <c r="E23" s="185"/>
      <c r="F23" s="123"/>
      <c r="G23" s="213"/>
      <c r="H23" s="214"/>
      <c r="I23" s="307"/>
      <c r="J23" s="253"/>
      <c r="K23" s="92"/>
      <c r="L23" s="310"/>
      <c r="M23" s="257"/>
      <c r="N23" s="298"/>
    </row>
    <row r="24" spans="1:14" ht="15.5" thickBot="1">
      <c r="A24" s="304"/>
      <c r="B24" s="239"/>
      <c r="C24" s="182"/>
      <c r="D24" s="183"/>
      <c r="E24" s="186"/>
      <c r="F24" s="186"/>
      <c r="G24" s="215"/>
      <c r="H24" s="216"/>
      <c r="I24" s="307"/>
      <c r="J24" s="254"/>
      <c r="K24" s="94"/>
      <c r="L24" s="311"/>
      <c r="M24" s="258"/>
      <c r="N24" s="298"/>
    </row>
    <row r="25" spans="1:14" ht="15.5" thickBot="1">
      <c r="A25" s="304"/>
      <c r="B25" s="194"/>
      <c r="C25" s="192"/>
      <c r="D25" s="189"/>
      <c r="E25" s="193"/>
      <c r="F25" s="193"/>
      <c r="G25" s="229"/>
      <c r="H25" s="106"/>
      <c r="I25" s="307"/>
      <c r="J25" s="255"/>
      <c r="K25" s="87"/>
      <c r="L25" s="87"/>
      <c r="M25" s="259"/>
      <c r="N25" s="298"/>
    </row>
    <row r="26" spans="1:14" ht="15.4" customHeight="1">
      <c r="A26" s="304"/>
      <c r="B26" s="235"/>
      <c r="C26" s="176"/>
      <c r="D26" s="163" t="s">
        <v>167</v>
      </c>
      <c r="E26" s="184"/>
      <c r="F26" s="184"/>
      <c r="G26" s="199"/>
      <c r="H26" s="128"/>
      <c r="I26" s="307"/>
      <c r="J26" s="218"/>
      <c r="K26" s="128"/>
      <c r="L26" s="312" t="s">
        <v>189</v>
      </c>
      <c r="M26" s="128"/>
      <c r="N26" s="298"/>
    </row>
    <row r="27" spans="1:14">
      <c r="A27" s="304"/>
      <c r="B27" s="177" t="s">
        <v>165</v>
      </c>
      <c r="C27" s="178" t="s">
        <v>151</v>
      </c>
      <c r="D27" s="179"/>
      <c r="E27" s="185">
        <v>24</v>
      </c>
      <c r="F27" s="123" t="s">
        <v>117</v>
      </c>
      <c r="G27" s="213">
        <v>5000</v>
      </c>
      <c r="H27" s="214">
        <f>E27*G27</f>
        <v>120000</v>
      </c>
      <c r="I27" s="307"/>
      <c r="J27" s="219"/>
      <c r="K27" s="92"/>
      <c r="L27" s="310"/>
      <c r="M27" s="92"/>
      <c r="N27" s="298"/>
    </row>
    <row r="28" spans="1:14">
      <c r="A28" s="304"/>
      <c r="B28" s="177" t="s">
        <v>164</v>
      </c>
      <c r="C28" s="178" t="s">
        <v>151</v>
      </c>
      <c r="D28" s="179"/>
      <c r="E28" s="185">
        <v>35</v>
      </c>
      <c r="F28" s="123" t="s">
        <v>117</v>
      </c>
      <c r="G28" s="213">
        <v>5000</v>
      </c>
      <c r="H28" s="214">
        <f>E28*G28</f>
        <v>175000</v>
      </c>
      <c r="I28" s="307"/>
      <c r="J28" s="220"/>
      <c r="K28" s="92"/>
      <c r="L28" s="310"/>
      <c r="M28" s="92"/>
      <c r="N28" s="298"/>
    </row>
    <row r="29" spans="1:14">
      <c r="A29" s="304"/>
      <c r="B29" s="177" t="s">
        <v>166</v>
      </c>
      <c r="C29" s="178"/>
      <c r="D29" s="180"/>
      <c r="E29" s="185"/>
      <c r="F29" s="123"/>
      <c r="G29" s="213"/>
      <c r="H29" s="214"/>
      <c r="I29" s="307"/>
      <c r="J29" s="221"/>
      <c r="K29" s="92"/>
      <c r="L29" s="310"/>
      <c r="M29" s="92"/>
      <c r="N29" s="298"/>
    </row>
    <row r="30" spans="1:14" ht="17" thickBot="1">
      <c r="A30" s="304"/>
      <c r="B30" s="269" t="s">
        <v>153</v>
      </c>
      <c r="C30" s="270"/>
      <c r="D30" s="271"/>
      <c r="E30" s="272"/>
      <c r="F30" s="272"/>
      <c r="G30" s="273"/>
      <c r="H30" s="274"/>
      <c r="I30" s="307"/>
      <c r="J30" s="221"/>
      <c r="K30" s="92"/>
      <c r="L30" s="310"/>
      <c r="M30" s="92"/>
      <c r="N30" s="298"/>
    </row>
    <row r="31" spans="1:14" ht="15.5" thickBot="1">
      <c r="A31" s="304"/>
      <c r="B31" s="275"/>
      <c r="C31" s="276"/>
      <c r="D31" s="277"/>
      <c r="E31" s="278"/>
      <c r="F31" s="278"/>
      <c r="G31" s="279"/>
      <c r="H31" s="266"/>
      <c r="I31" s="307"/>
      <c r="J31" s="221"/>
      <c r="K31" s="92"/>
      <c r="L31" s="310"/>
      <c r="M31" s="92"/>
      <c r="N31" s="298"/>
    </row>
    <row r="32" spans="1:14" ht="15.5" thickBot="1">
      <c r="A32" s="305"/>
      <c r="B32" s="280" t="s">
        <v>184</v>
      </c>
      <c r="C32" s="246"/>
      <c r="D32" s="247" t="s">
        <v>185</v>
      </c>
      <c r="E32" s="248">
        <v>1</v>
      </c>
      <c r="F32" s="281" t="s">
        <v>141</v>
      </c>
      <c r="G32" s="249">
        <v>100</v>
      </c>
      <c r="H32" s="266">
        <f t="shared" ref="H32" si="0">E32*G32</f>
        <v>100</v>
      </c>
      <c r="I32" s="308"/>
      <c r="J32" s="285"/>
      <c r="K32" s="205"/>
      <c r="L32" s="311"/>
      <c r="M32" s="94"/>
      <c r="N32" s="299"/>
    </row>
    <row r="33" spans="1:14" ht="15.5" thickBot="1">
      <c r="A33" s="283"/>
      <c r="B33" s="194"/>
      <c r="C33" s="192"/>
      <c r="D33" s="189"/>
      <c r="E33" s="193"/>
      <c r="F33" s="193"/>
      <c r="G33" s="229"/>
      <c r="H33" s="106"/>
      <c r="I33" s="284"/>
      <c r="J33" s="255"/>
      <c r="K33" s="87"/>
      <c r="L33" s="87"/>
      <c r="M33" s="259"/>
      <c r="N33" s="267"/>
    </row>
    <row r="34" spans="1:14" ht="15.4" customHeight="1">
      <c r="A34" s="303" t="s">
        <v>187</v>
      </c>
      <c r="B34" s="235"/>
      <c r="C34" s="176"/>
      <c r="D34" s="163" t="s">
        <v>181</v>
      </c>
      <c r="E34" s="184"/>
      <c r="F34" s="184"/>
      <c r="G34" s="199"/>
      <c r="H34" s="128"/>
      <c r="I34" s="306" t="s">
        <v>198</v>
      </c>
      <c r="J34" s="250"/>
      <c r="K34" s="128"/>
      <c r="L34" s="128"/>
      <c r="M34" s="263"/>
      <c r="N34" s="297">
        <v>1</v>
      </c>
    </row>
    <row r="35" spans="1:14">
      <c r="A35" s="304"/>
      <c r="B35" s="236" t="s">
        <v>180</v>
      </c>
      <c r="C35" s="178" t="s">
        <v>182</v>
      </c>
      <c r="D35" s="179"/>
      <c r="E35" s="185">
        <v>15.1</v>
      </c>
      <c r="F35" s="123" t="s">
        <v>183</v>
      </c>
      <c r="G35" s="213">
        <v>6000</v>
      </c>
      <c r="H35" s="214">
        <f>E35*G35</f>
        <v>90600</v>
      </c>
      <c r="I35" s="307"/>
      <c r="J35" s="251"/>
      <c r="K35" s="92"/>
      <c r="L35" s="195"/>
      <c r="M35" s="264"/>
      <c r="N35" s="298"/>
    </row>
    <row r="36" spans="1:14">
      <c r="A36" s="304"/>
      <c r="B36" s="237" t="s">
        <v>169</v>
      </c>
      <c r="C36" s="178" t="s">
        <v>182</v>
      </c>
      <c r="D36" s="179"/>
      <c r="E36" s="185">
        <v>13.7</v>
      </c>
      <c r="F36" s="123" t="s">
        <v>183</v>
      </c>
      <c r="G36" s="213">
        <v>6000</v>
      </c>
      <c r="H36" s="214">
        <f>E36*G36</f>
        <v>82200</v>
      </c>
      <c r="I36" s="307"/>
      <c r="J36" s="252"/>
      <c r="K36" s="92"/>
      <c r="L36" s="92"/>
      <c r="M36" s="264"/>
      <c r="N36" s="298"/>
    </row>
    <row r="37" spans="1:14">
      <c r="A37" s="304"/>
      <c r="B37" s="238" t="s">
        <v>153</v>
      </c>
      <c r="C37" s="178"/>
      <c r="D37" s="180"/>
      <c r="E37" s="185"/>
      <c r="F37" s="123"/>
      <c r="G37" s="213"/>
      <c r="H37" s="214"/>
      <c r="I37" s="307"/>
      <c r="J37" s="253"/>
      <c r="K37" s="92"/>
      <c r="L37" s="92"/>
      <c r="M37" s="264"/>
      <c r="N37" s="298"/>
    </row>
    <row r="38" spans="1:14" ht="15.5" thickBot="1">
      <c r="A38" s="305"/>
      <c r="B38" s="239"/>
      <c r="C38" s="182"/>
      <c r="D38" s="183"/>
      <c r="E38" s="186"/>
      <c r="F38" s="186"/>
      <c r="G38" s="215"/>
      <c r="H38" s="216"/>
      <c r="I38" s="308"/>
      <c r="J38" s="254"/>
      <c r="K38" s="94"/>
      <c r="L38" s="94"/>
      <c r="M38" s="265"/>
      <c r="N38" s="299"/>
    </row>
    <row r="39" spans="1:14" ht="15.65" customHeight="1">
      <c r="A39" s="282"/>
      <c r="B39" s="240"/>
      <c r="C39" s="111"/>
      <c r="D39" s="103"/>
      <c r="E39" s="232"/>
      <c r="F39" s="233"/>
      <c r="G39" s="234"/>
      <c r="H39" s="245"/>
      <c r="I39" s="268"/>
      <c r="J39" s="260"/>
      <c r="K39" s="261"/>
      <c r="L39" s="261"/>
      <c r="M39" s="262"/>
      <c r="N39" s="267"/>
    </row>
    <row r="40" spans="1:14" ht="15.5" thickBot="1">
      <c r="A40" s="203"/>
      <c r="B40" s="204"/>
      <c r="C40" s="202"/>
      <c r="D40" s="230"/>
      <c r="E40" s="241"/>
      <c r="F40" s="153"/>
      <c r="G40" s="242"/>
      <c r="H40" s="243"/>
      <c r="I40" s="190"/>
      <c r="J40" s="188"/>
      <c r="K40" s="153"/>
      <c r="L40" s="153"/>
      <c r="M40" s="153"/>
      <c r="N40" s="231"/>
    </row>
    <row r="41" spans="1:14">
      <c r="A41" s="156"/>
      <c r="B41" s="113" t="s">
        <v>128</v>
      </c>
      <c r="C41" s="144" t="s">
        <v>191</v>
      </c>
      <c r="D41" s="100"/>
      <c r="E41" s="200">
        <f>SUMIF($F$8:$F$39,"M.",$E$8:$E$39)</f>
        <v>116</v>
      </c>
      <c r="F41" s="123" t="s">
        <v>116</v>
      </c>
      <c r="G41" s="155"/>
      <c r="H41" s="201">
        <f>SUMIF($F$8:$F$39,"M.",$H$8:$H$39)</f>
        <v>50400</v>
      </c>
      <c r="I41" s="155"/>
      <c r="J41" s="157"/>
      <c r="K41" s="102"/>
      <c r="L41" s="102"/>
      <c r="M41" s="102"/>
      <c r="N41" s="209"/>
    </row>
    <row r="42" spans="1:14">
      <c r="A42" s="92"/>
      <c r="B42" s="110"/>
      <c r="C42" s="92"/>
      <c r="D42" s="121"/>
      <c r="E42" s="200">
        <f>SUMIF($F$8:$F$39,"PCS.",$E$8:$E$39)</f>
        <v>74</v>
      </c>
      <c r="F42" s="120" t="s">
        <v>117</v>
      </c>
      <c r="G42" s="196"/>
      <c r="H42" s="201">
        <f>SUMIF($F$8:$F$39,"PCS.",$H$8:$H$39)</f>
        <v>325000</v>
      </c>
      <c r="I42" s="92"/>
      <c r="J42" s="135"/>
      <c r="K42" s="92"/>
      <c r="L42" s="92"/>
      <c r="M42" s="92"/>
      <c r="N42" s="97"/>
    </row>
    <row r="43" spans="1:14">
      <c r="A43" s="92"/>
      <c r="B43" s="110"/>
      <c r="C43" s="92"/>
      <c r="D43" s="121"/>
      <c r="E43" s="200">
        <f>SUMIF($F$8:$F$39,"SET.",$E$8:$E$39)</f>
        <v>1</v>
      </c>
      <c r="F43" s="120" t="s">
        <v>141</v>
      </c>
      <c r="G43" s="92"/>
      <c r="H43" s="201">
        <f>SUMIF($F$8:$F$39,"SET.",$H$8:$H$39)</f>
        <v>100</v>
      </c>
      <c r="I43" s="92"/>
      <c r="J43" s="135"/>
      <c r="K43" s="92"/>
      <c r="L43" s="92"/>
      <c r="M43" s="92"/>
      <c r="N43" s="97"/>
    </row>
    <row r="44" spans="1:14">
      <c r="A44" s="92"/>
      <c r="B44" s="110"/>
      <c r="C44" s="92"/>
      <c r="D44" s="121"/>
      <c r="E44" s="200">
        <f>SUMIF($F$8:$F$39,"KG.",$E$8:$E$39)</f>
        <v>28.799999999999997</v>
      </c>
      <c r="F44" s="120" t="s">
        <v>183</v>
      </c>
      <c r="G44" s="92"/>
      <c r="H44" s="201">
        <f>SUMIF($F$8:$F$39,"KG.",$H$8:$H$39)</f>
        <v>172800</v>
      </c>
      <c r="I44" s="92"/>
      <c r="J44" s="135"/>
      <c r="K44" s="92"/>
      <c r="L44" s="92"/>
      <c r="M44" s="92"/>
      <c r="N44" s="97"/>
    </row>
    <row r="45" spans="1:14">
      <c r="A45" s="92"/>
      <c r="B45" s="110"/>
      <c r="C45" s="92"/>
      <c r="D45" s="122"/>
      <c r="E45" s="135"/>
      <c r="F45" s="120"/>
      <c r="G45" s="196"/>
      <c r="H45" s="214">
        <f>SUM(H41:H44)</f>
        <v>548300</v>
      </c>
      <c r="I45" s="92"/>
      <c r="J45" s="135"/>
      <c r="K45" s="92"/>
      <c r="L45" s="92"/>
      <c r="M45" s="92"/>
      <c r="N45" s="97"/>
    </row>
    <row r="49" spans="3:3">
      <c r="C49" s="3"/>
    </row>
    <row r="50" spans="3:3">
      <c r="C50" s="3"/>
    </row>
    <row r="97" spans="1:1">
      <c r="A97" s="68" t="s">
        <v>132</v>
      </c>
    </row>
  </sheetData>
  <mergeCells count="14">
    <mergeCell ref="A2:H2"/>
    <mergeCell ref="F4:G4"/>
    <mergeCell ref="A8:A12"/>
    <mergeCell ref="N8:N12"/>
    <mergeCell ref="I8:I12"/>
    <mergeCell ref="N14:N32"/>
    <mergeCell ref="N34:N38"/>
    <mergeCell ref="L14:L18"/>
    <mergeCell ref="A14:A32"/>
    <mergeCell ref="A34:A38"/>
    <mergeCell ref="I34:I38"/>
    <mergeCell ref="L20:L24"/>
    <mergeCell ref="L26:L32"/>
    <mergeCell ref="I14:I32"/>
  </mergeCells>
  <phoneticPr fontId="11"/>
  <pageMargins left="0.51181102362204722" right="0" top="0.74803149606299213" bottom="0.74803149606299213" header="0.31496062992125984" footer="0.31496062992125984"/>
  <pageSetup paperSize="9" scale="33" fitToHeight="0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A473-424C-4035-B9FF-5BA4CCEB664D}">
  <sheetPr>
    <pageSetUpPr fitToPage="1"/>
  </sheetPr>
  <dimension ref="A1:D120"/>
  <sheetViews>
    <sheetView view="pageBreakPreview" zoomScale="80" zoomScaleNormal="70" zoomScaleSheetLayoutView="80" workbookViewId="0">
      <selection activeCell="G8" sqref="G8"/>
    </sheetView>
  </sheetViews>
  <sheetFormatPr defaultRowHeight="15"/>
  <cols>
    <col min="1" max="1" width="7.90625" customWidth="1"/>
    <col min="2" max="2" width="38.08984375" style="124" customWidth="1"/>
    <col min="3" max="3" width="81.6328125" customWidth="1"/>
    <col min="4" max="4" width="23.6328125" customWidth="1"/>
  </cols>
  <sheetData>
    <row r="1" spans="1:4" ht="17.399999999999999" customHeight="1">
      <c r="A1" s="43"/>
    </row>
    <row r="2" spans="1:4" ht="15" customHeight="1">
      <c r="A2" s="321" t="s">
        <v>147</v>
      </c>
      <c r="B2" s="321"/>
      <c r="C2" s="191"/>
    </row>
    <row r="3" spans="1:4" ht="15.65" customHeight="1" thickBot="1">
      <c r="A3" s="112"/>
      <c r="B3" s="125"/>
      <c r="C3" s="112"/>
    </row>
    <row r="4" spans="1:4" ht="21.75" customHeight="1" thickBot="1">
      <c r="A4" s="132" t="s">
        <v>60</v>
      </c>
      <c r="B4" s="126" t="s">
        <v>129</v>
      </c>
      <c r="C4" s="117" t="s">
        <v>119</v>
      </c>
      <c r="D4" s="133" t="s">
        <v>135</v>
      </c>
    </row>
    <row r="5" spans="1:4" ht="16.25" customHeight="1">
      <c r="A5" s="316" t="s">
        <v>154</v>
      </c>
      <c r="B5" s="176"/>
      <c r="C5" s="163" t="s">
        <v>158</v>
      </c>
      <c r="D5" s="225"/>
    </row>
    <row r="6" spans="1:4" ht="15" customHeight="1">
      <c r="A6" s="317"/>
      <c r="B6" s="177" t="s">
        <v>156</v>
      </c>
      <c r="C6" s="179" t="s">
        <v>159</v>
      </c>
      <c r="D6" s="226" t="s">
        <v>136</v>
      </c>
    </row>
    <row r="7" spans="1:4" ht="15" customHeight="1">
      <c r="A7" s="317"/>
      <c r="B7" s="110" t="s">
        <v>150</v>
      </c>
      <c r="C7" s="179" t="s">
        <v>160</v>
      </c>
      <c r="D7" s="227" t="s">
        <v>90</v>
      </c>
    </row>
    <row r="8" spans="1:4" ht="15" customHeight="1">
      <c r="A8" s="317"/>
      <c r="B8" s="181" t="s">
        <v>157</v>
      </c>
      <c r="C8" s="180" t="s">
        <v>161</v>
      </c>
      <c r="D8" s="227"/>
    </row>
    <row r="9" spans="1:4" ht="15" customHeight="1" thickBot="1">
      <c r="A9" s="318"/>
      <c r="B9" s="187" t="s">
        <v>149</v>
      </c>
      <c r="C9" s="183"/>
      <c r="D9" s="208"/>
    </row>
    <row r="10" spans="1:4" ht="15" customHeight="1" thickBot="1">
      <c r="A10" s="212"/>
      <c r="B10" s="223"/>
      <c r="C10" s="224"/>
      <c r="D10" s="207"/>
    </row>
    <row r="11" spans="1:4" ht="19.5" customHeight="1" thickBot="1">
      <c r="A11" s="132"/>
      <c r="B11" s="126" t="s">
        <v>129</v>
      </c>
      <c r="C11" s="117" t="s">
        <v>119</v>
      </c>
      <c r="D11" s="133" t="s">
        <v>135</v>
      </c>
    </row>
    <row r="12" spans="1:4" ht="16.25" customHeight="1">
      <c r="A12" s="303" t="s">
        <v>186</v>
      </c>
      <c r="B12" s="176"/>
      <c r="C12" s="163" t="s">
        <v>177</v>
      </c>
      <c r="D12" s="225"/>
    </row>
    <row r="13" spans="1:4" ht="15" customHeight="1">
      <c r="A13" s="304"/>
      <c r="B13" s="177" t="s">
        <v>172</v>
      </c>
      <c r="C13" s="179" t="s">
        <v>159</v>
      </c>
      <c r="D13" s="226" t="s">
        <v>136</v>
      </c>
    </row>
    <row r="14" spans="1:4" ht="15" customHeight="1">
      <c r="A14" s="304"/>
      <c r="B14" s="110" t="s">
        <v>159</v>
      </c>
      <c r="C14" s="179" t="s">
        <v>169</v>
      </c>
      <c r="D14" s="227" t="s">
        <v>90</v>
      </c>
    </row>
    <row r="15" spans="1:4" ht="15" customHeight="1">
      <c r="A15" s="304"/>
      <c r="B15" s="181" t="s">
        <v>174</v>
      </c>
      <c r="C15" s="180" t="s">
        <v>178</v>
      </c>
      <c r="D15" s="227"/>
    </row>
    <row r="16" spans="1:4" ht="15" customHeight="1" thickBot="1">
      <c r="A16" s="304"/>
      <c r="B16" s="187" t="s">
        <v>173</v>
      </c>
      <c r="C16" s="183"/>
      <c r="D16" s="208"/>
    </row>
    <row r="17" spans="1:4" ht="15" customHeight="1" thickBot="1">
      <c r="A17" s="304"/>
      <c r="B17" s="194"/>
      <c r="C17" s="189"/>
      <c r="D17" s="207"/>
    </row>
    <row r="18" spans="1:4" ht="21.75" customHeight="1" thickBot="1">
      <c r="A18" s="304"/>
      <c r="B18" s="235"/>
      <c r="C18" s="163" t="s">
        <v>158</v>
      </c>
      <c r="D18" s="133" t="s">
        <v>135</v>
      </c>
    </row>
    <row r="19" spans="1:4" ht="16.25" customHeight="1">
      <c r="A19" s="304"/>
      <c r="B19" s="236" t="s">
        <v>168</v>
      </c>
      <c r="C19" s="179"/>
      <c r="D19" s="225"/>
    </row>
    <row r="20" spans="1:4" ht="15" customHeight="1">
      <c r="A20" s="304"/>
      <c r="B20" s="237" t="s">
        <v>169</v>
      </c>
      <c r="C20" s="179"/>
      <c r="D20" s="226" t="s">
        <v>136</v>
      </c>
    </row>
    <row r="21" spans="1:4" ht="15" customHeight="1">
      <c r="A21" s="304"/>
      <c r="B21" s="238" t="s">
        <v>171</v>
      </c>
      <c r="C21" s="180"/>
      <c r="D21" s="227" t="s">
        <v>90</v>
      </c>
    </row>
    <row r="22" spans="1:4" ht="15" customHeight="1" thickBot="1">
      <c r="A22" s="304"/>
      <c r="B22" s="239"/>
      <c r="C22" s="183"/>
      <c r="D22" s="227"/>
    </row>
    <row r="23" spans="1:4" ht="15" customHeight="1" thickBot="1">
      <c r="A23" s="304"/>
      <c r="B23" s="194"/>
      <c r="C23" s="189"/>
      <c r="D23" s="208"/>
    </row>
    <row r="24" spans="1:4" ht="15" customHeight="1" thickBot="1">
      <c r="A24" s="304"/>
      <c r="B24" s="235"/>
      <c r="C24" s="163" t="s">
        <v>167</v>
      </c>
      <c r="D24" s="207"/>
    </row>
    <row r="25" spans="1:4" ht="21.75" customHeight="1" thickBot="1">
      <c r="A25" s="304"/>
      <c r="B25" s="177" t="s">
        <v>165</v>
      </c>
      <c r="C25" s="179"/>
      <c r="D25" s="133" t="s">
        <v>135</v>
      </c>
    </row>
    <row r="26" spans="1:4" ht="16.25" customHeight="1">
      <c r="A26" s="304"/>
      <c r="B26" s="177" t="s">
        <v>164</v>
      </c>
      <c r="C26" s="179"/>
      <c r="D26" s="225"/>
    </row>
    <row r="27" spans="1:4" ht="15" customHeight="1">
      <c r="A27" s="304"/>
      <c r="B27" s="177" t="s">
        <v>166</v>
      </c>
      <c r="C27" s="180"/>
      <c r="D27" s="226" t="s">
        <v>136</v>
      </c>
    </row>
    <row r="28" spans="1:4" ht="15" customHeight="1" thickBot="1">
      <c r="A28" s="304"/>
      <c r="B28" s="269" t="s">
        <v>153</v>
      </c>
      <c r="C28" s="271"/>
      <c r="D28" s="227" t="s">
        <v>90</v>
      </c>
    </row>
    <row r="29" spans="1:4" ht="15" customHeight="1" thickBot="1">
      <c r="A29" s="304"/>
      <c r="B29" s="275"/>
      <c r="C29" s="277"/>
      <c r="D29" s="227"/>
    </row>
    <row r="30" spans="1:4" ht="15" customHeight="1" thickBot="1">
      <c r="A30" s="305"/>
      <c r="B30" s="280" t="s">
        <v>184</v>
      </c>
      <c r="C30" s="247" t="s">
        <v>185</v>
      </c>
      <c r="D30" s="208"/>
    </row>
    <row r="31" spans="1:4" ht="15" customHeight="1" thickBot="1">
      <c r="A31" s="228"/>
      <c r="B31" s="223"/>
      <c r="C31" s="224"/>
      <c r="D31" s="207"/>
    </row>
    <row r="32" spans="1:4" ht="21.75" customHeight="1" thickBot="1">
      <c r="A32" s="132" t="s">
        <v>60</v>
      </c>
      <c r="B32" s="126" t="s">
        <v>129</v>
      </c>
      <c r="C32" s="117" t="s">
        <v>119</v>
      </c>
      <c r="D32" s="133" t="s">
        <v>135</v>
      </c>
    </row>
    <row r="33" spans="1:4" ht="16.25" customHeight="1">
      <c r="A33" s="303" t="s">
        <v>187</v>
      </c>
      <c r="B33" s="235"/>
      <c r="C33" s="163" t="s">
        <v>181</v>
      </c>
      <c r="D33" s="225"/>
    </row>
    <row r="34" spans="1:4" ht="15" customHeight="1">
      <c r="A34" s="304"/>
      <c r="B34" s="236" t="s">
        <v>180</v>
      </c>
      <c r="C34" s="179"/>
      <c r="D34" s="226" t="s">
        <v>136</v>
      </c>
    </row>
    <row r="35" spans="1:4" ht="15" customHeight="1">
      <c r="A35" s="304"/>
      <c r="B35" s="237" t="s">
        <v>169</v>
      </c>
      <c r="C35" s="179"/>
      <c r="D35" s="227" t="s">
        <v>90</v>
      </c>
    </row>
    <row r="36" spans="1:4" ht="15" customHeight="1">
      <c r="A36" s="304"/>
      <c r="B36" s="238" t="s">
        <v>153</v>
      </c>
      <c r="C36" s="180"/>
      <c r="D36" s="227"/>
    </row>
    <row r="37" spans="1:4" ht="15" customHeight="1" thickBot="1">
      <c r="A37" s="305"/>
      <c r="B37" s="239"/>
      <c r="C37" s="183"/>
      <c r="D37" s="208"/>
    </row>
    <row r="38" spans="1:4" ht="21.65" customHeight="1">
      <c r="A38" s="210"/>
      <c r="B38" s="210"/>
      <c r="C38" s="210"/>
      <c r="D38" s="210"/>
    </row>
    <row r="39" spans="1:4" ht="15" customHeight="1">
      <c r="A39" s="210"/>
      <c r="B39" s="210"/>
      <c r="C39" s="210"/>
      <c r="D39" s="210"/>
    </row>
    <row r="40" spans="1:4" ht="16.25" customHeight="1">
      <c r="A40" s="210"/>
      <c r="B40" s="210"/>
      <c r="C40" s="210"/>
      <c r="D40" s="210"/>
    </row>
    <row r="41" spans="1:4" ht="21.65" customHeight="1">
      <c r="A41" s="210"/>
      <c r="B41" s="210"/>
      <c r="C41" s="210"/>
      <c r="D41" s="210"/>
    </row>
    <row r="42" spans="1:4" ht="15" customHeight="1">
      <c r="A42" s="210"/>
      <c r="B42" s="210"/>
      <c r="C42" s="210"/>
      <c r="D42" s="210"/>
    </row>
    <row r="43" spans="1:4" ht="15" customHeight="1">
      <c r="A43" s="210"/>
      <c r="B43" s="210"/>
      <c r="C43" s="210"/>
      <c r="D43" s="210"/>
    </row>
    <row r="44" spans="1:4" ht="15" customHeight="1">
      <c r="A44" s="210"/>
      <c r="B44" s="210"/>
      <c r="C44" s="210"/>
      <c r="D44" s="210"/>
    </row>
    <row r="45" spans="1:4" ht="15" customHeight="1">
      <c r="A45" s="210"/>
      <c r="B45" s="210"/>
      <c r="C45" s="210"/>
      <c r="D45" s="210"/>
    </row>
    <row r="46" spans="1:4" ht="21.65" customHeight="1">
      <c r="A46" s="210"/>
      <c r="B46" s="210"/>
      <c r="C46" s="210"/>
      <c r="D46" s="210"/>
    </row>
    <row r="47" spans="1:4" ht="15" customHeight="1">
      <c r="A47" s="210"/>
      <c r="B47" s="210"/>
      <c r="C47" s="210"/>
      <c r="D47" s="210"/>
    </row>
    <row r="48" spans="1:4" ht="16.25" customHeight="1">
      <c r="A48" s="210"/>
      <c r="B48" s="210"/>
      <c r="C48" s="210"/>
      <c r="D48" s="210"/>
    </row>
    <row r="49" spans="1:4" ht="15" customHeight="1">
      <c r="A49" s="210"/>
      <c r="B49" s="210"/>
      <c r="C49" s="210"/>
      <c r="D49" s="210"/>
    </row>
    <row r="50" spans="1:4" ht="15" customHeight="1">
      <c r="A50" s="210"/>
      <c r="B50" s="210"/>
      <c r="C50" s="210"/>
      <c r="D50" s="210"/>
    </row>
    <row r="51" spans="1:4" ht="15" customHeight="1">
      <c r="A51" s="210"/>
      <c r="B51" s="210"/>
      <c r="C51" s="210"/>
      <c r="D51" s="210"/>
    </row>
    <row r="52" spans="1:4" ht="15" customHeight="1">
      <c r="A52" s="210"/>
      <c r="B52" s="210"/>
      <c r="C52" s="210"/>
      <c r="D52" s="210"/>
    </row>
    <row r="53" spans="1:4" ht="21.65" customHeight="1">
      <c r="A53" s="210"/>
      <c r="B53" s="210"/>
      <c r="C53" s="210"/>
      <c r="D53" s="210"/>
    </row>
    <row r="54" spans="1:4" ht="15" customHeight="1">
      <c r="A54" s="210"/>
      <c r="B54" s="210"/>
      <c r="C54" s="210"/>
      <c r="D54" s="210"/>
    </row>
    <row r="55" spans="1:4" ht="16.25" customHeight="1">
      <c r="A55" s="210"/>
      <c r="B55" s="210"/>
      <c r="C55" s="210"/>
      <c r="D55" s="210"/>
    </row>
    <row r="56" spans="1:4" ht="15" customHeight="1">
      <c r="A56" s="210"/>
      <c r="B56" s="210"/>
      <c r="C56" s="210"/>
      <c r="D56" s="210"/>
    </row>
    <row r="57" spans="1:4" ht="15" customHeight="1">
      <c r="A57" s="210"/>
      <c r="B57" s="210"/>
      <c r="C57" s="210"/>
      <c r="D57" s="210"/>
    </row>
    <row r="58" spans="1:4" ht="15" customHeight="1">
      <c r="A58" s="210"/>
      <c r="B58" s="210"/>
      <c r="C58" s="210"/>
      <c r="D58" s="210"/>
    </row>
    <row r="59" spans="1:4" ht="15" customHeight="1">
      <c r="A59" s="210"/>
      <c r="B59" s="210"/>
      <c r="C59" s="210"/>
      <c r="D59" s="210"/>
    </row>
    <row r="60" spans="1:4" ht="21.65" customHeight="1">
      <c r="A60" s="210"/>
      <c r="B60" s="210"/>
      <c r="C60" s="210"/>
      <c r="D60" s="210"/>
    </row>
    <row r="61" spans="1:4" ht="15" customHeight="1">
      <c r="A61" s="210"/>
      <c r="B61" s="210"/>
      <c r="C61" s="210"/>
      <c r="D61" s="210"/>
    </row>
    <row r="62" spans="1:4" ht="16.25" customHeight="1">
      <c r="A62" s="210"/>
      <c r="B62" s="210"/>
      <c r="C62" s="210"/>
      <c r="D62" s="210"/>
    </row>
    <row r="63" spans="1:4" ht="15" customHeight="1">
      <c r="A63" s="210"/>
      <c r="B63" s="210"/>
      <c r="C63" s="210"/>
      <c r="D63" s="210"/>
    </row>
    <row r="64" spans="1:4" ht="15" customHeight="1">
      <c r="A64" s="210"/>
      <c r="B64" s="210"/>
      <c r="C64" s="210"/>
      <c r="D64" s="210"/>
    </row>
    <row r="65" spans="1:4" ht="15" customHeight="1">
      <c r="A65" s="210"/>
      <c r="B65" s="210"/>
      <c r="C65" s="210"/>
      <c r="D65" s="210"/>
    </row>
    <row r="66" spans="1:4" ht="15" customHeight="1">
      <c r="A66" s="210"/>
      <c r="B66" s="210"/>
      <c r="C66" s="210"/>
      <c r="D66" s="210"/>
    </row>
    <row r="67" spans="1:4" ht="21.65" customHeight="1">
      <c r="A67" s="210"/>
      <c r="B67" s="210"/>
      <c r="C67" s="210"/>
      <c r="D67" s="210"/>
    </row>
    <row r="68" spans="1:4" ht="15" customHeight="1">
      <c r="A68" s="210"/>
      <c r="B68" s="210"/>
      <c r="C68" s="210"/>
      <c r="D68" s="210"/>
    </row>
    <row r="69" spans="1:4" ht="16.25" customHeight="1">
      <c r="A69" s="210"/>
      <c r="B69" s="210"/>
      <c r="C69" s="210"/>
      <c r="D69" s="210"/>
    </row>
    <row r="70" spans="1:4" ht="15" customHeight="1">
      <c r="A70" s="210"/>
      <c r="B70" s="210"/>
      <c r="C70" s="210"/>
      <c r="D70" s="210"/>
    </row>
    <row r="71" spans="1:4" ht="15" customHeight="1">
      <c r="A71" s="210"/>
      <c r="B71" s="210"/>
      <c r="C71" s="210"/>
      <c r="D71" s="210"/>
    </row>
    <row r="72" spans="1:4" ht="15" customHeight="1">
      <c r="A72" s="210"/>
      <c r="B72" s="210"/>
      <c r="C72" s="210"/>
      <c r="D72" s="210"/>
    </row>
    <row r="73" spans="1:4" ht="15" customHeight="1">
      <c r="A73" s="210"/>
      <c r="B73" s="210"/>
      <c r="C73" s="210"/>
      <c r="D73" s="210"/>
    </row>
    <row r="74" spans="1:4" ht="16.25" customHeight="1">
      <c r="A74" s="210"/>
      <c r="B74" s="210"/>
      <c r="C74" s="210"/>
      <c r="D74" s="210"/>
    </row>
    <row r="75" spans="1:4" ht="16.25" customHeight="1">
      <c r="A75" s="210"/>
      <c r="B75" s="210"/>
      <c r="C75" s="210"/>
      <c r="D75" s="210"/>
    </row>
    <row r="76" spans="1:4" ht="15" customHeight="1">
      <c r="A76" s="210"/>
      <c r="B76" s="210"/>
      <c r="C76" s="210"/>
      <c r="D76" s="210"/>
    </row>
    <row r="77" spans="1:4" ht="15" customHeight="1">
      <c r="A77" s="210"/>
      <c r="B77" s="210"/>
      <c r="C77" s="210"/>
      <c r="D77" s="210"/>
    </row>
    <row r="78" spans="1:4" ht="24" customHeight="1">
      <c r="A78" s="210"/>
      <c r="B78" s="210"/>
      <c r="C78" s="210"/>
      <c r="D78" s="210"/>
    </row>
    <row r="79" spans="1:4" ht="21.65" customHeight="1">
      <c r="A79" s="210"/>
      <c r="B79" s="210"/>
      <c r="C79" s="210"/>
      <c r="D79" s="210"/>
    </row>
    <row r="80" spans="1:4" ht="16.25" customHeight="1">
      <c r="A80" s="210"/>
      <c r="B80" s="210"/>
      <c r="C80" s="210"/>
      <c r="D80" s="210"/>
    </row>
    <row r="81" spans="1:4" ht="15" customHeight="1">
      <c r="A81" s="210"/>
      <c r="B81" s="210"/>
      <c r="C81" s="210"/>
      <c r="D81" s="210"/>
    </row>
    <row r="82" spans="1:4" ht="15.65" customHeight="1">
      <c r="A82" s="210"/>
      <c r="B82" s="210"/>
      <c r="C82" s="210"/>
      <c r="D82" s="210"/>
    </row>
    <row r="83" spans="1:4" ht="21.75" customHeight="1">
      <c r="A83" s="210"/>
      <c r="B83" s="210"/>
      <c r="C83" s="210"/>
      <c r="D83" s="210"/>
    </row>
    <row r="84" spans="1:4" ht="15" customHeight="1">
      <c r="A84" s="210"/>
      <c r="B84" s="210"/>
      <c r="C84" s="210"/>
      <c r="D84" s="210"/>
    </row>
    <row r="85" spans="1:4" ht="17.399999999999999" customHeight="1">
      <c r="A85" s="210"/>
      <c r="B85" s="210"/>
      <c r="C85" s="210"/>
      <c r="D85" s="210"/>
    </row>
    <row r="86" spans="1:4" ht="17" customHeight="1">
      <c r="A86" s="210"/>
      <c r="B86" s="210"/>
      <c r="C86" s="210"/>
      <c r="D86" s="210"/>
    </row>
    <row r="87" spans="1:4" ht="21.65" customHeight="1">
      <c r="A87" s="210"/>
      <c r="B87" s="210"/>
      <c r="C87" s="210"/>
      <c r="D87" s="210"/>
    </row>
    <row r="88" spans="1:4" ht="15" customHeight="1">
      <c r="A88" s="210"/>
      <c r="B88" s="210"/>
      <c r="C88" s="210"/>
      <c r="D88" s="210"/>
    </row>
    <row r="89" spans="1:4" ht="15" customHeight="1">
      <c r="A89" s="210"/>
      <c r="B89" s="210"/>
      <c r="C89" s="210"/>
      <c r="D89" s="210"/>
    </row>
    <row r="90" spans="1:4" ht="15" customHeight="1">
      <c r="A90" s="210"/>
      <c r="B90" s="210"/>
      <c r="C90" s="210"/>
      <c r="D90" s="210"/>
    </row>
    <row r="91" spans="1:4" ht="15" customHeight="1">
      <c r="A91" s="210"/>
      <c r="B91" s="210"/>
      <c r="C91" s="210"/>
      <c r="D91" s="210"/>
    </row>
    <row r="92" spans="1:4" ht="15" customHeight="1">
      <c r="A92" s="210"/>
      <c r="B92" s="210"/>
      <c r="C92" s="210"/>
      <c r="D92" s="210"/>
    </row>
    <row r="93" spans="1:4" ht="15" customHeight="1">
      <c r="A93" s="210"/>
      <c r="B93" s="210"/>
      <c r="C93" s="210"/>
      <c r="D93" s="210"/>
    </row>
    <row r="94" spans="1:4" ht="15.65" customHeight="1">
      <c r="A94" s="210"/>
      <c r="B94" s="210"/>
      <c r="C94" s="210"/>
      <c r="D94" s="210"/>
    </row>
    <row r="95" spans="1:4" ht="15" customHeight="1">
      <c r="A95" s="210"/>
      <c r="B95" s="210"/>
      <c r="C95" s="210"/>
      <c r="D95" s="210"/>
    </row>
    <row r="96" spans="1:4" ht="15" customHeight="1">
      <c r="A96" s="210"/>
      <c r="B96" s="210"/>
      <c r="C96" s="210"/>
      <c r="D96" s="210"/>
    </row>
    <row r="97" spans="1:4" ht="15" customHeight="1">
      <c r="A97" s="210"/>
      <c r="B97" s="210"/>
      <c r="C97" s="210"/>
      <c r="D97" s="210"/>
    </row>
    <row r="98" spans="1:4" ht="15" customHeight="1">
      <c r="A98" s="210"/>
      <c r="B98" s="210"/>
      <c r="C98" s="210"/>
      <c r="D98" s="210"/>
    </row>
    <row r="99" spans="1:4" ht="15" customHeight="1">
      <c r="A99" s="210"/>
      <c r="B99" s="210"/>
      <c r="C99" s="210"/>
      <c r="D99" s="210"/>
    </row>
    <row r="100" spans="1:4" ht="15" customHeight="1">
      <c r="A100" s="210"/>
      <c r="B100" s="210"/>
      <c r="C100" s="210"/>
      <c r="D100" s="210"/>
    </row>
    <row r="101" spans="1:4" s="150" customFormat="1" ht="15" customHeight="1">
      <c r="A101" s="210"/>
      <c r="B101" s="210"/>
      <c r="C101" s="210"/>
      <c r="D101" s="210"/>
    </row>
    <row r="102" spans="1:4" s="150" customFormat="1" ht="15" customHeight="1">
      <c r="A102" s="210"/>
      <c r="B102" s="210"/>
      <c r="C102" s="210"/>
      <c r="D102" s="210"/>
    </row>
    <row r="103" spans="1:4" ht="15" customHeight="1">
      <c r="A103" s="210"/>
      <c r="B103" s="210"/>
      <c r="C103" s="210"/>
      <c r="D103" s="210"/>
    </row>
    <row r="104" spans="1:4" ht="14" customHeight="1">
      <c r="A104" s="210"/>
      <c r="B104" s="210"/>
      <c r="C104" s="210"/>
      <c r="D104" s="210"/>
    </row>
    <row r="105" spans="1:4" ht="15" customHeight="1">
      <c r="A105" s="210"/>
      <c r="B105" s="210"/>
      <c r="C105" s="210"/>
      <c r="D105" s="210"/>
    </row>
    <row r="106" spans="1:4" ht="15" customHeight="1">
      <c r="A106" s="210"/>
      <c r="B106" s="210"/>
      <c r="C106" s="210"/>
      <c r="D106" s="210"/>
    </row>
    <row r="107" spans="1:4" ht="15" customHeight="1">
      <c r="A107" s="210"/>
      <c r="B107" s="210"/>
      <c r="C107" s="210"/>
      <c r="D107" s="210"/>
    </row>
    <row r="108" spans="1:4" ht="15" customHeight="1">
      <c r="A108" s="210"/>
      <c r="B108" s="210"/>
      <c r="C108" s="210"/>
      <c r="D108" s="210"/>
    </row>
    <row r="109" spans="1:4" ht="15" customHeight="1">
      <c r="A109" s="210"/>
      <c r="B109" s="210"/>
      <c r="C109" s="210"/>
      <c r="D109" s="210"/>
    </row>
    <row r="110" spans="1:4" ht="15" customHeight="1">
      <c r="A110" s="210"/>
      <c r="B110" s="210"/>
      <c r="C110" s="210"/>
      <c r="D110" s="210"/>
    </row>
    <row r="111" spans="1:4" ht="12.65" customHeight="1">
      <c r="A111" s="210"/>
      <c r="B111" s="210"/>
      <c r="C111" s="210"/>
      <c r="D111" s="210"/>
    </row>
    <row r="112" spans="1:4" ht="15.65" customHeight="1">
      <c r="A112" s="210"/>
      <c r="B112" s="210"/>
      <c r="C112" s="210"/>
      <c r="D112" s="210"/>
    </row>
    <row r="113" spans="1:4" ht="41" customHeight="1">
      <c r="A113" s="210"/>
      <c r="B113" s="210"/>
      <c r="C113" s="210"/>
      <c r="D113" s="210"/>
    </row>
    <row r="114" spans="1:4" ht="21.75" customHeight="1">
      <c r="A114" s="210"/>
      <c r="B114" s="210"/>
      <c r="C114" s="210"/>
      <c r="D114" s="210"/>
    </row>
    <row r="115" spans="1:4" ht="15" customHeight="1" thickBot="1">
      <c r="A115" s="211"/>
      <c r="B115" s="211"/>
      <c r="C115" s="211"/>
      <c r="D115" s="211"/>
    </row>
    <row r="116" spans="1:4" ht="10.25" customHeight="1">
      <c r="A116" s="115"/>
      <c r="B116" s="115"/>
      <c r="C116" s="206"/>
      <c r="D116" s="115"/>
    </row>
    <row r="117" spans="1:4">
      <c r="A117" s="115"/>
      <c r="B117" s="115"/>
      <c r="C117" s="115"/>
      <c r="D117" s="115"/>
    </row>
    <row r="118" spans="1:4">
      <c r="A118" s="115"/>
      <c r="B118" s="115"/>
      <c r="C118" s="115"/>
      <c r="D118" s="115"/>
    </row>
    <row r="119" spans="1:4">
      <c r="A119" s="115"/>
      <c r="B119" s="115"/>
      <c r="C119" s="115"/>
      <c r="D119" s="115"/>
    </row>
    <row r="120" spans="1:4">
      <c r="A120" s="115"/>
      <c r="B120" s="115"/>
      <c r="C120" s="115"/>
      <c r="D120" s="115"/>
    </row>
  </sheetData>
  <mergeCells count="4">
    <mergeCell ref="A33:A37"/>
    <mergeCell ref="A2:B2"/>
    <mergeCell ref="A5:A9"/>
    <mergeCell ref="A12:A30"/>
  </mergeCells>
  <phoneticPr fontId="11"/>
  <pageMargins left="0.51181102362204722" right="0" top="0.74803149606299213" bottom="0.74803149606299213" header="0.31496062992125984" footer="0.31496062992125984"/>
  <pageSetup paperSize="9" scale="63" fitToHeight="0" orientation="portrait" r:id="rId1"/>
  <headerFooter>
    <oddFooter>&amp;C&amp;"Century Gothic,太字"&amp;10&amp;  -   P A G E  3- &amp;P   -</oddFooter>
  </headerFooter>
  <rowBreaks count="1" manualBreakCount="1">
    <brk id="78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shipper master</vt:lpstr>
      <vt:lpstr>case mark </vt:lpstr>
      <vt:lpstr>invoice</vt:lpstr>
      <vt:lpstr>NARITA </vt:lpstr>
      <vt:lpstr>LABEL</vt:lpstr>
      <vt:lpstr>LABEL!Print_Area</vt:lpstr>
      <vt:lpstr>'NARITA '!Print_Area</vt:lpstr>
      <vt:lpstr>LABEL!Print_Titles</vt:lpstr>
      <vt:lpstr>'NARITA '!Print_Titles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2023-11-28T07:54:00Z</cp:lastPrinted>
  <dcterms:created xsi:type="dcterms:W3CDTF">2002-07-31T13:14:08Z</dcterms:created>
  <dcterms:modified xsi:type="dcterms:W3CDTF">2024-07-03T02:48:49Z</dcterms:modified>
</cp:coreProperties>
</file>