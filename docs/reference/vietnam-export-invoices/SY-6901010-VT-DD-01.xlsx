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6E313073-2ACB-4727-A90D-BB5B9636166C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LABEL!$A$1:$D$35</definedName>
    <definedName name="_xlnm.Print_Area" localSheetId="3">'NARITA '!$A$1:$N$41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E40" i="60" l="1"/>
  <c r="H37" i="60"/>
  <c r="H40" i="60"/>
  <c r="E39" i="60"/>
  <c r="H31" i="60"/>
  <c r="H30" i="60"/>
  <c r="H29" i="60"/>
  <c r="H28" i="60"/>
  <c r="H21" i="60"/>
  <c r="H35" i="60"/>
  <c r="H33" i="60"/>
  <c r="H15" i="60" l="1"/>
  <c r="K26" i="65" l="1"/>
  <c r="K30" i="65"/>
  <c r="K27" i="65" l="1"/>
  <c r="F30" i="65" s="1"/>
  <c r="D30" i="65"/>
  <c r="M27" i="65" l="1"/>
  <c r="H9" i="60" l="1"/>
  <c r="F9" i="65"/>
  <c r="H39" i="60" l="1"/>
  <c r="M26" i="65" s="1"/>
  <c r="H41" i="60"/>
  <c r="F11" i="65"/>
  <c r="F7" i="65"/>
  <c r="M30" i="65" l="1"/>
  <c r="C45" i="17" s="1"/>
  <c r="L8" i="65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<sst xmlns="http://schemas.openxmlformats.org/spreadsheetml/2006/main" count="294" uniqueCount="215">
  <si>
    <t>SHIPPER NAME</t>
    <phoneticPr fontId="9" type="noConversion"/>
  </si>
  <si>
    <t>S/CODE</t>
    <phoneticPr fontId="9" type="noConversion"/>
  </si>
  <si>
    <t>SHIPPER ADDRESS 2</t>
    <phoneticPr fontId="14"/>
  </si>
  <si>
    <t>SHIPPER ADDRESS 1</t>
    <phoneticPr fontId="14"/>
  </si>
  <si>
    <t>SHIPPER ADDRESS 3</t>
    <phoneticPr fontId="14"/>
  </si>
  <si>
    <t xml:space="preserve">SHIPPER </t>
    <phoneticPr fontId="14"/>
  </si>
  <si>
    <t>TEL</t>
    <phoneticPr fontId="14"/>
  </si>
  <si>
    <t>FAX</t>
    <phoneticPr fontId="14"/>
  </si>
  <si>
    <t>ATTN OR VAT NO.</t>
    <phoneticPr fontId="14"/>
  </si>
  <si>
    <t>TEL/FAX</t>
    <phoneticPr fontId="14"/>
  </si>
  <si>
    <t>ATTN</t>
    <phoneticPr fontId="14"/>
  </si>
  <si>
    <t>CONSIGNEE :</t>
    <phoneticPr fontId="14"/>
  </si>
  <si>
    <t>CONSIGNEE ADDRESS1</t>
    <phoneticPr fontId="14"/>
  </si>
  <si>
    <t>CONSIGNEE ADDRESS2</t>
    <phoneticPr fontId="14"/>
  </si>
  <si>
    <t>CONSIGNEE ADDRESS3</t>
    <phoneticPr fontId="14"/>
  </si>
  <si>
    <t>TEL</t>
    <phoneticPr fontId="14"/>
  </si>
  <si>
    <t>FAX</t>
    <phoneticPr fontId="14"/>
  </si>
  <si>
    <t>PAYMENT 1</t>
    <phoneticPr fontId="14"/>
  </si>
  <si>
    <t>PAYMENT 2</t>
    <phoneticPr fontId="14"/>
  </si>
  <si>
    <t>SHIPPER PER</t>
    <phoneticPr fontId="14"/>
  </si>
  <si>
    <t>INVOICE DATE</t>
    <phoneticPr fontId="14"/>
  </si>
  <si>
    <t>INVOICE NO.</t>
    <phoneticPr fontId="14"/>
  </si>
  <si>
    <t>CONTRACT NO.</t>
    <phoneticPr fontId="14"/>
  </si>
  <si>
    <t>CONTRACT DATE</t>
    <phoneticPr fontId="14"/>
  </si>
  <si>
    <t>ORDER DATE</t>
    <phoneticPr fontId="14"/>
  </si>
  <si>
    <t>ORDER NO.</t>
    <phoneticPr fontId="14"/>
  </si>
  <si>
    <t>L/C DATE</t>
    <phoneticPr fontId="14"/>
  </si>
  <si>
    <t>FROM</t>
    <phoneticPr fontId="14"/>
  </si>
  <si>
    <t xml:space="preserve"> TOKYO, JAPAN</t>
    <phoneticPr fontId="14"/>
  </si>
  <si>
    <t>TO</t>
    <phoneticPr fontId="14"/>
  </si>
  <si>
    <t>VIA</t>
    <phoneticPr fontId="14"/>
  </si>
  <si>
    <t>SHIPPING TERMS</t>
    <phoneticPr fontId="14"/>
  </si>
  <si>
    <t>TITTLE 1</t>
    <phoneticPr fontId="14"/>
  </si>
  <si>
    <t>TITTLE 2</t>
    <phoneticPr fontId="14"/>
  </si>
  <si>
    <t>ATTACHE</t>
    <phoneticPr fontId="14"/>
  </si>
  <si>
    <t>- DETAILS AS PER ATTACHED SHEET -</t>
    <phoneticPr fontId="14"/>
  </si>
  <si>
    <t>C/NO.</t>
    <phoneticPr fontId="14"/>
  </si>
  <si>
    <t>STYLE NO.</t>
    <phoneticPr fontId="14"/>
  </si>
  <si>
    <t>DESCRIPTION</t>
    <phoneticPr fontId="14"/>
  </si>
  <si>
    <t>Q'TY CODE</t>
    <phoneticPr fontId="14"/>
  </si>
  <si>
    <t>QUANTITY</t>
    <phoneticPr fontId="14"/>
  </si>
  <si>
    <t>UNIT PRICE</t>
    <phoneticPr fontId="14"/>
  </si>
  <si>
    <t>AMOUNT</t>
    <phoneticPr fontId="14"/>
  </si>
  <si>
    <t>DISCOUNT</t>
    <phoneticPr fontId="14"/>
  </si>
  <si>
    <t>CASE MARK1</t>
    <phoneticPr fontId="14"/>
  </si>
  <si>
    <t>CASE MARK2</t>
    <phoneticPr fontId="14"/>
  </si>
  <si>
    <t>CASE MARK3</t>
    <phoneticPr fontId="14"/>
  </si>
  <si>
    <t>CASE MARK4</t>
    <phoneticPr fontId="14"/>
  </si>
  <si>
    <t>CASE MARK5</t>
    <phoneticPr fontId="14"/>
  </si>
  <si>
    <t>CASE MARK6</t>
    <phoneticPr fontId="14"/>
  </si>
  <si>
    <t>TOTAL</t>
    <phoneticPr fontId="14"/>
  </si>
  <si>
    <t>MANUFACTURED BY</t>
    <phoneticPr fontId="14"/>
  </si>
  <si>
    <t>ORIGIN</t>
    <phoneticPr fontId="14"/>
  </si>
  <si>
    <t>OUR BANK</t>
    <phoneticPr fontId="14"/>
  </si>
  <si>
    <t>ETD TYO</t>
    <phoneticPr fontId="14"/>
  </si>
  <si>
    <t>DELIVERY SCHEDULES</t>
    <phoneticPr fontId="14"/>
  </si>
  <si>
    <t>INSURANCE</t>
    <phoneticPr fontId="14"/>
  </si>
  <si>
    <t>REMARK 1</t>
    <phoneticPr fontId="14"/>
  </si>
  <si>
    <t>AIR FREIGHT</t>
    <phoneticPr fontId="14"/>
  </si>
  <si>
    <t>YOUR (OUR) FORWARDER</t>
    <phoneticPr fontId="14"/>
  </si>
  <si>
    <t>CUSTOMS AGENT</t>
    <phoneticPr fontId="14"/>
  </si>
  <si>
    <t>FORWARDER</t>
    <phoneticPr fontId="14"/>
  </si>
  <si>
    <t>C/O ISSUED DATE</t>
    <phoneticPr fontId="14"/>
  </si>
  <si>
    <t>COUNTRY</t>
    <phoneticPr fontId="14"/>
  </si>
  <si>
    <t>F.O.B. TOKYO IN YEN</t>
    <phoneticPr fontId="14"/>
  </si>
  <si>
    <t xml:space="preserve"> SHUNYA CO., LTD.</t>
    <phoneticPr fontId="14"/>
  </si>
  <si>
    <t xml:space="preserve"> KENSHIN BLDG., 1F, 1-22-10 DOUGENZAKA,</t>
    <phoneticPr fontId="14"/>
  </si>
  <si>
    <t xml:space="preserve"> SHIBUYA-KU 150-0043</t>
    <phoneticPr fontId="14"/>
  </si>
  <si>
    <t xml:space="preserve"> TEL : +81(0)3-5459-1177</t>
    <phoneticPr fontId="14"/>
  </si>
  <si>
    <t xml:space="preserve"> - SAME AS BUYER -</t>
    <phoneticPr fontId="14"/>
  </si>
  <si>
    <t xml:space="preserve"> HOCHIMINH-CITY, VIETNAM</t>
    <phoneticPr fontId="14"/>
  </si>
  <si>
    <t>VIETNAM</t>
    <phoneticPr fontId="14"/>
  </si>
  <si>
    <t>PREPAID</t>
    <phoneticPr fontId="14"/>
  </si>
  <si>
    <t>COVERED BY SHIPPER</t>
    <phoneticPr fontId="14"/>
  </si>
  <si>
    <t>MEITETSU WORLD TRANSPORT (MR. NAMIKI)</t>
    <phoneticPr fontId="14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</si>
  <si>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4"/>
  </si>
  <si>
    <t>BUYER</t>
    <phoneticPr fontId="14"/>
  </si>
  <si>
    <t>BUYER ADDRESS1</t>
    <phoneticPr fontId="14"/>
  </si>
  <si>
    <t>BUYER ADDRESS2</t>
    <phoneticPr fontId="14"/>
  </si>
  <si>
    <t>BUYER ADDRESS3</t>
    <phoneticPr fontId="14"/>
  </si>
  <si>
    <t xml:space="preserve"> AIRCRAFT</t>
    <phoneticPr fontId="14"/>
  </si>
  <si>
    <t>持ち帰り条件</t>
    <rPh sb="0" eb="1">
      <t>モ</t>
    </rPh>
    <rPh sb="2" eb="3">
      <t>カエ</t>
    </rPh>
    <rPh sb="4" eb="6">
      <t>ジョウケン</t>
    </rPh>
    <phoneticPr fontId="14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</si>
  <si>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4"/>
  </si>
  <si>
    <t xml:space="preserve">  AFTER MANUFACTURED AT VIET NAM "</t>
    <phoneticPr fontId="14"/>
  </si>
  <si>
    <t xml:space="preserve"> NO COMMERCIAL</t>
    <phoneticPr fontId="13"/>
  </si>
  <si>
    <t>PCS.</t>
    <phoneticPr fontId="14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</si>
  <si>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</si>
  <si>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</si>
  <si>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</si>
  <si>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</si>
  <si>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</si>
  <si>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</si>
  <si>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</si>
  <si>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</si>
  <si>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</si>
  <si>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</si>
  <si>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4"/>
  </si>
  <si>
    <t>(H.S. CODE)</t>
    <phoneticPr fontId="14"/>
  </si>
  <si>
    <t>- ATTACHED SHEET -</t>
    <phoneticPr fontId="14"/>
  </si>
  <si>
    <t xml:space="preserve"> </t>
    <phoneticPr fontId="14"/>
  </si>
  <si>
    <t>VIVAN GARMENTS VIET NAM COMPANY LIMITED</t>
    <phoneticPr fontId="14"/>
  </si>
  <si>
    <t>Hamlet 3 , Long Hau Commune , Can Giuoc District,</t>
    <phoneticPr fontId="14"/>
  </si>
  <si>
    <t xml:space="preserve"> Long An Province , VietNam</t>
    <phoneticPr fontId="14"/>
  </si>
  <si>
    <t xml:space="preserve"> TEL : :   ( 084 ) 097 22 00 798  ATTN : MR. TUAN</t>
    <phoneticPr fontId="14"/>
  </si>
  <si>
    <t>FABRIC &amp; PARTS FOR WEAR &amp; SAMPLE CLOTHES</t>
    <phoneticPr fontId="14"/>
  </si>
  <si>
    <t xml:space="preserve"> TEL : ( 084 ) 097 22 00 798  ATTN : MR. TUAN</t>
    <phoneticPr fontId="14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</si>
  <si>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4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</si>
  <si>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4"/>
  </si>
  <si>
    <t xml:space="preserve"> C/NO.</t>
    <phoneticPr fontId="14"/>
  </si>
  <si>
    <t>INVOICE</t>
    <phoneticPr fontId="14"/>
  </si>
  <si>
    <t>IMPORTER</t>
    <phoneticPr fontId="13"/>
  </si>
  <si>
    <t>INVOICE NO.</t>
    <phoneticPr fontId="13"/>
  </si>
  <si>
    <t>CASE MARK</t>
    <phoneticPr fontId="13"/>
  </si>
  <si>
    <t>INVOICE DATE</t>
    <phoneticPr fontId="13"/>
  </si>
  <si>
    <t>CONTRACT NO.</t>
    <phoneticPr fontId="13"/>
  </si>
  <si>
    <t>CONSIGNEE</t>
    <phoneticPr fontId="13"/>
  </si>
  <si>
    <t xml:space="preserve">ORDER NO. </t>
    <phoneticPr fontId="13"/>
  </si>
  <si>
    <t>MADE  IN JAPAN</t>
    <phoneticPr fontId="14"/>
  </si>
  <si>
    <t>L/C NO.</t>
    <phoneticPr fontId="13"/>
  </si>
  <si>
    <t>PAYMENT METHOD</t>
    <phoneticPr fontId="13"/>
  </si>
  <si>
    <t>SHIPPED PER</t>
    <phoneticPr fontId="13"/>
  </si>
  <si>
    <t>FROM</t>
    <phoneticPr fontId="13"/>
  </si>
  <si>
    <t>TO</t>
    <phoneticPr fontId="13"/>
  </si>
  <si>
    <t xml:space="preserve"> </t>
    <phoneticPr fontId="13"/>
  </si>
  <si>
    <t>VIA</t>
    <phoneticPr fontId="13"/>
  </si>
  <si>
    <t>C/NO.</t>
    <phoneticPr fontId="13"/>
  </si>
  <si>
    <t>ART NO.</t>
    <phoneticPr fontId="14"/>
  </si>
  <si>
    <t xml:space="preserve">  DESCRIPTION  OF  GOODS</t>
    <phoneticPr fontId="13"/>
  </si>
  <si>
    <t>COLOR</t>
    <phoneticPr fontId="14"/>
  </si>
  <si>
    <t>SIZE</t>
    <phoneticPr fontId="14"/>
  </si>
  <si>
    <t>Q'TY</t>
    <phoneticPr fontId="13"/>
  </si>
  <si>
    <t>U/PRICE</t>
    <phoneticPr fontId="13"/>
  </si>
  <si>
    <t>AMOUNT</t>
    <phoneticPr fontId="13"/>
  </si>
  <si>
    <t>" NO COMMER VALUE</t>
    <phoneticPr fontId="14"/>
  </si>
  <si>
    <t>" NO COMMERCIAL VALUE</t>
    <phoneticPr fontId="14"/>
  </si>
  <si>
    <t xml:space="preserve">  VALUE FOR CUSTOMS PURPOSE ONLY "</t>
    <phoneticPr fontId="14"/>
  </si>
  <si>
    <t xml:space="preserve"> VALUE FOR CUSTOMS PURPOSE ONLY "</t>
    <phoneticPr fontId="14"/>
  </si>
  <si>
    <t>TOTAL CARTONS :</t>
    <phoneticPr fontId="14"/>
  </si>
  <si>
    <t>TOTAL GROSS WEIGHT :</t>
    <phoneticPr fontId="14"/>
  </si>
  <si>
    <t>KGS</t>
    <phoneticPr fontId="14"/>
  </si>
  <si>
    <t>LABEL SHEET -</t>
    <phoneticPr fontId="14"/>
  </si>
  <si>
    <t>原産国</t>
    <rPh sb="0" eb="3">
      <t>ゲンサンコク</t>
    </rPh>
    <phoneticPr fontId="14"/>
  </si>
  <si>
    <t>D17 Street , Sai Gon South Residential Area</t>
    <phoneticPr fontId="14"/>
  </si>
  <si>
    <t>TOTAL :</t>
  </si>
  <si>
    <t>PCS.</t>
  </si>
  <si>
    <t>WOVEN FABRIC</t>
  </si>
  <si>
    <t>M.</t>
    <phoneticPr fontId="14"/>
  </si>
  <si>
    <t>M.</t>
  </si>
  <si>
    <t>ITEM</t>
    <phoneticPr fontId="14"/>
  </si>
  <si>
    <t>NAME</t>
    <phoneticPr fontId="14"/>
  </si>
  <si>
    <t>color</t>
    <phoneticPr fontId="14"/>
  </si>
  <si>
    <t>lady's or men's</t>
    <phoneticPr fontId="14"/>
  </si>
  <si>
    <t>WOVEN or  KNIT</t>
    <phoneticPr fontId="14"/>
  </si>
  <si>
    <t>picture</t>
    <phoneticPr fontId="14"/>
  </si>
  <si>
    <t>Composition</t>
    <phoneticPr fontId="14"/>
  </si>
  <si>
    <t>packingNo.</t>
    <phoneticPr fontId="14"/>
  </si>
  <si>
    <t>TOTAL</t>
    <phoneticPr fontId="64"/>
  </si>
  <si>
    <t>COUNTRY OF ORIGIN : JAPAN,USA</t>
    <phoneticPr fontId="14"/>
  </si>
  <si>
    <t>men's</t>
    <phoneticPr fontId="14"/>
  </si>
  <si>
    <t>長繊維、プリント加工なし</t>
    <rPh sb="0" eb="1">
      <t>ナガ</t>
    </rPh>
    <rPh sb="1" eb="3">
      <t>センイ</t>
    </rPh>
    <phoneticPr fontId="14"/>
  </si>
  <si>
    <t>NO.</t>
    <phoneticPr fontId="14"/>
  </si>
  <si>
    <r>
      <t>WOOL30%</t>
    </r>
    <r>
      <rPr>
        <sz val="24"/>
        <rFont val="ＭＳ Ｐゴシック"/>
        <family val="3"/>
        <charset val="128"/>
      </rPr>
      <t>　</t>
    </r>
    <r>
      <rPr>
        <sz val="24"/>
        <rFont val="Century Gothic"/>
        <family val="2"/>
      </rPr>
      <t>ACRYLIC70</t>
    </r>
    <r>
      <rPr>
        <sz val="24"/>
        <rFont val="ＭＳ Ｐゴシック"/>
        <family val="3"/>
        <charset val="128"/>
      </rPr>
      <t>％</t>
    </r>
  </si>
  <si>
    <t>13459</t>
    <phoneticPr fontId="14"/>
  </si>
  <si>
    <t>平織　後染め　フランネル</t>
    <rPh sb="0" eb="1">
      <t>ヒラ</t>
    </rPh>
    <rPh sb="1" eb="2">
      <t>オリ</t>
    </rPh>
    <rPh sb="3" eb="4">
      <t>アト</t>
    </rPh>
    <phoneticPr fontId="14"/>
  </si>
  <si>
    <t>c/#121 BEIGE</t>
    <phoneticPr fontId="14"/>
  </si>
  <si>
    <t>COTTON 100%</t>
    <phoneticPr fontId="14"/>
  </si>
  <si>
    <r>
      <t>WIDTH:114CM (180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</si>
  <si>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OA5100</t>
    <phoneticPr fontId="14"/>
  </si>
  <si>
    <t>朱子織　後染め　サテン</t>
    <rPh sb="0" eb="2">
      <t>シュシ</t>
    </rPh>
    <rPh sb="2" eb="3">
      <t>オリ</t>
    </rPh>
    <rPh sb="4" eb="5">
      <t>アト</t>
    </rPh>
    <phoneticPr fontId="14"/>
  </si>
  <si>
    <t>短繊維、プリント加工なし</t>
    <rPh sb="0" eb="1">
      <t>タン</t>
    </rPh>
    <rPh sb="1" eb="3">
      <t>センイ</t>
    </rPh>
    <phoneticPr fontId="14"/>
  </si>
  <si>
    <t>c/#25 BEIGE</t>
    <phoneticPr fontId="14"/>
  </si>
  <si>
    <t>STYLE:SH-SV-NRS-1008</t>
    <phoneticPr fontId="14"/>
  </si>
  <si>
    <t>ACETATE 100%</t>
    <phoneticPr fontId="14"/>
  </si>
  <si>
    <r>
      <t>WIDTH:122CM (135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</si>
  <si>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#7 BROWN</t>
    <phoneticPr fontId="64"/>
  </si>
  <si>
    <t>STYLE:OMERSA-AC01</t>
    <phoneticPr fontId="14"/>
  </si>
  <si>
    <t>COTTON CORD</t>
    <phoneticPr fontId="14"/>
  </si>
  <si>
    <t>KP9319N</t>
    <phoneticPr fontId="64"/>
  </si>
  <si>
    <t>#AG</t>
    <phoneticPr fontId="64"/>
  </si>
  <si>
    <r>
      <t xml:space="preserve">cordend </t>
    </r>
    <r>
      <rPr>
        <b/>
        <sz val="10"/>
        <rFont val="Yu Gothic"/>
        <family val="2"/>
        <charset val="128"/>
      </rPr>
      <t>素材：</t>
    </r>
    <r>
      <rPr>
        <b/>
        <sz val="10"/>
        <rFont val="Century Gothic"/>
        <family val="2"/>
      </rPr>
      <t>ABS</t>
    </r>
    <r>
      <rPr>
        <b/>
        <sz val="10"/>
        <rFont val="Yu Gothic"/>
        <family val="2"/>
        <charset val="128"/>
      </rPr>
      <t>樹脂</t>
    </r>
    <rPh sb="8" eb="10">
      <t>ソザイ</t>
    </rPh>
    <phoneticPr fontId="64"/>
  </si>
  <si>
    <t>3</t>
    <phoneticPr fontId="14"/>
  </si>
  <si>
    <t>1-2</t>
    <phoneticPr fontId="14"/>
  </si>
  <si>
    <t>入庫NO.22076413</t>
    <rPh sb="0" eb="2">
      <t>ニュウコ</t>
    </rPh>
    <phoneticPr fontId="14"/>
  </si>
  <si>
    <t>佐川：440895263642</t>
    <rPh sb="0" eb="2">
      <t>サガワ</t>
    </rPh>
    <phoneticPr fontId="14"/>
  </si>
  <si>
    <t>9/30</t>
    <phoneticPr fontId="14"/>
  </si>
  <si>
    <t>10/10</t>
    <phoneticPr fontId="14"/>
  </si>
  <si>
    <t>used bandanna</t>
    <phoneticPr fontId="14"/>
  </si>
  <si>
    <t>C/#MIX</t>
    <phoneticPr fontId="14"/>
  </si>
  <si>
    <r>
      <t>COTTON 50%</t>
    </r>
    <r>
      <rPr>
        <b/>
        <sz val="10"/>
        <rFont val="Yu Gothic"/>
        <family val="2"/>
        <charset val="128"/>
      </rPr>
      <t>　POLYESTER 50%</t>
    </r>
    <phoneticPr fontId="14"/>
  </si>
  <si>
    <t>made in USA</t>
    <phoneticPr fontId="14"/>
  </si>
  <si>
    <t>古着　プリント有</t>
    <rPh sb="0" eb="1">
      <t>フルギ</t>
    </rPh>
    <rPh sb="7" eb="8">
      <t>アリ</t>
    </rPh>
    <phoneticPr fontId="14"/>
  </si>
  <si>
    <t>STYLE:SH-SV-NRS-1008</t>
    <phoneticPr fontId="64"/>
  </si>
  <si>
    <t>#972</t>
    <phoneticPr fontId="64"/>
  </si>
  <si>
    <t>original Horn Button</t>
    <phoneticPr fontId="64"/>
  </si>
  <si>
    <t>Horn Button</t>
    <phoneticPr fontId="14"/>
  </si>
  <si>
    <r>
      <t xml:space="preserve">18mm </t>
    </r>
    <r>
      <rPr>
        <b/>
        <sz val="10"/>
        <rFont val="Yu Gothic"/>
        <family val="2"/>
        <charset val="128"/>
      </rPr>
      <t>材質：水牛</t>
    </r>
    <rPh sb="5" eb="7">
      <t>ザイシツ</t>
    </rPh>
    <rPh sb="8" eb="10">
      <t>スイギュウ</t>
    </rPh>
    <phoneticPr fontId="14"/>
  </si>
  <si>
    <t>SEVESKIG woven name</t>
    <phoneticPr fontId="14"/>
  </si>
  <si>
    <t>#BEIGE</t>
    <phoneticPr fontId="14"/>
  </si>
  <si>
    <t>SEVESKIG paper name</t>
    <phoneticPr fontId="14"/>
  </si>
  <si>
    <t>#WHITE</t>
    <phoneticPr fontId="14"/>
  </si>
  <si>
    <t>AVANI Synthetic leather name</t>
    <phoneticPr fontId="14"/>
  </si>
  <si>
    <t>#BLACK</t>
    <phoneticPr fontId="14"/>
  </si>
  <si>
    <t>men's jacket  SAMPLE CLOTHES</t>
    <phoneticPr fontId="14"/>
  </si>
  <si>
    <t>SH-SV-NRS-1008 sample</t>
    <phoneticPr fontId="14"/>
  </si>
  <si>
    <t>'men's jacket  SAMPLE CLOTHES</t>
  </si>
  <si>
    <t>c/#MIX</t>
    <phoneticPr fontId="14"/>
  </si>
  <si>
    <t>SH-SV-NRS-1008</t>
    <phoneticPr fontId="14"/>
  </si>
  <si>
    <t>WOVEN FABRIC</t>
    <phoneticPr fontId="14"/>
  </si>
  <si>
    <t xml:space="preserve"> C/NO. 1-3</t>
    <phoneticPr fontId="14"/>
  </si>
  <si>
    <t>3CARTONS</t>
    <phoneticPr fontId="14"/>
  </si>
  <si>
    <t>Oct, 10 2025</t>
    <phoneticPr fontId="14"/>
  </si>
  <si>
    <t xml:space="preserve"> SY-6901010-VT-DD-01</t>
    <phoneticPr fontId="14"/>
  </si>
  <si>
    <t>MADE  IN U.S.A</t>
    <phoneticPr fontId="14"/>
  </si>
  <si>
    <t>185M. 418PCS.</t>
    <phoneticPr fontId="14"/>
  </si>
  <si>
    <t>3PACKAGES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</si>
</sst>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41" formatCode="_ * #,##0_ ;_ * \-#,##0_ ;_ * &quot;-&quot;_ ;_ @_ 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6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name val="Yu Gothic"/>
      <family val="2"/>
      <charset val="128"/>
    </font>
    <font>
      <sz val="6"/>
      <name val="ＭＳ Ｐゴシック"/>
      <family val="2"/>
      <charset val="128"/>
      <scheme val="minor"/>
    </font>
    <font>
      <sz val="24"/>
      <name val="ＭＳ Ｐゴシック"/>
      <family val="3"/>
      <charset val="128"/>
    </font>
    <font>
      <b/>
      <sz val="10"/>
      <color rgb="FF0070C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18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24" fillId="0" borderId="0" xfId="0" applyFont="1" applyAlignment="1">
      <alignment vertical="center" shrinkToFit="1"/>
    </xf>
    <xf numFmtId="49" fontId="12" fillId="0" borderId="0" xfId="0" applyNumberFormat="1" applyFont="1" applyAlignment="1">
      <alignment vertical="center" shrinkToFit="1"/>
    </xf>
    <xf numFmtId="0" fontId="18" fillId="0" borderId="0" xfId="1" applyNumberFormat="1" applyFont="1" applyFill="1" applyBorder="1" applyAlignment="1" applyProtection="1"/>
    <xf numFmtId="26" fontId="12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0" fontId="12" fillId="0" borderId="4" xfId="0" applyFont="1" applyBorder="1" applyAlignment="1">
      <alignment horizontal="center" vertical="center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 shrinkToFit="1"/>
    </xf>
    <xf numFmtId="177" fontId="21" fillId="3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49" fontId="24" fillId="0" borderId="10" xfId="0" applyNumberFormat="1" applyFont="1" applyBorder="1" applyAlignment="1">
      <alignment horizontal="left" vertical="center"/>
    </xf>
    <xf numFmtId="0" fontId="24" fillId="0" borderId="10" xfId="0" applyFont="1" applyBorder="1" applyAlignment="1">
      <alignment vertical="center" wrapText="1"/>
    </xf>
    <xf numFmtId="179" fontId="24" fillId="0" borderId="10" xfId="0" applyNumberFormat="1" applyFont="1" applyBorder="1" applyAlignment="1">
      <alignment vertical="center" shrinkToFit="1"/>
    </xf>
    <xf numFmtId="49" fontId="32" fillId="0" borderId="10" xfId="0" quotePrefix="1" applyNumberFormat="1" applyFont="1" applyBorder="1" applyAlignment="1">
      <alignment horizontal="left" vertical="center"/>
    </xf>
    <xf numFmtId="179" fontId="24" fillId="0" borderId="11" xfId="0" applyNumberFormat="1" applyFont="1" applyBorder="1" applyAlignment="1">
      <alignment vertical="center" shrinkToFit="1"/>
    </xf>
    <xf numFmtId="49" fontId="29" fillId="0" borderId="11" xfId="0" quotePrefix="1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27" fillId="0" borderId="10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49" fontId="25" fillId="0" borderId="10" xfId="0" applyNumberFormat="1" applyFont="1" applyBorder="1" applyAlignment="1">
      <alignment horizontal="left" vertical="center"/>
    </xf>
    <xf numFmtId="0" fontId="16" fillId="0" borderId="10" xfId="0" applyFont="1" applyBorder="1">
      <alignment vertical="center"/>
    </xf>
    <xf numFmtId="26" fontId="16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>
      <alignment vertical="center"/>
    </xf>
    <xf numFmtId="26" fontId="16" fillId="0" borderId="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78" fontId="2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178" fontId="24" fillId="0" borderId="10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0" fontId="24" fillId="0" borderId="11" xfId="0" applyFont="1" applyBorder="1" applyAlignment="1">
      <alignment horizontal="left" vertical="center"/>
    </xf>
    <xf numFmtId="179" fontId="24" fillId="0" borderId="11" xfId="0" applyNumberFormat="1" applyFont="1" applyBorder="1" applyAlignment="1">
      <alignment horizontal="center" vertical="center" shrinkToFit="1"/>
    </xf>
    <xf numFmtId="178" fontId="24" fillId="0" borderId="11" xfId="0" applyNumberFormat="1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8" fontId="24" fillId="0" borderId="4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80" fontId="12" fillId="0" borderId="8" xfId="2" applyNumberFormat="1" applyFont="1" applyFill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0" xfId="0" applyFont="1" applyBorder="1" applyAlignment="1">
      <alignment vertical="center" shrinkToFit="1"/>
    </xf>
    <xf numFmtId="49" fontId="12" fillId="0" borderId="10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5" fillId="0" borderId="37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35" fillId="0" borderId="38" xfId="0" applyFont="1" applyBorder="1">
      <alignment vertical="center"/>
    </xf>
    <xf numFmtId="0" fontId="35" fillId="0" borderId="39" xfId="0" applyFont="1" applyBorder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12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44" fillId="0" borderId="0" xfId="0" applyFont="1">
      <alignment vertical="center"/>
    </xf>
    <xf numFmtId="0" fontId="42" fillId="0" borderId="2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2" xfId="0" applyFont="1" applyBorder="1">
      <alignment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>
      <alignment vertical="center"/>
    </xf>
    <xf numFmtId="0" fontId="42" fillId="0" borderId="42" xfId="0" applyFont="1" applyBorder="1">
      <alignment vertical="center"/>
    </xf>
    <xf numFmtId="0" fontId="44" fillId="0" borderId="42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49" fontId="12" fillId="0" borderId="41" xfId="0" applyNumberFormat="1" applyFont="1" applyBorder="1">
      <alignment vertical="center"/>
    </xf>
    <xf numFmtId="49" fontId="12" fillId="0" borderId="43" xfId="0" applyNumberFormat="1" applyFont="1" applyBorder="1">
      <alignment vertical="center"/>
    </xf>
    <xf numFmtId="0" fontId="42" fillId="0" borderId="44" xfId="0" applyFont="1" applyBorder="1">
      <alignment vertical="center"/>
    </xf>
    <xf numFmtId="0" fontId="25" fillId="5" borderId="42" xfId="0" applyFont="1" applyFill="1" applyBorder="1" applyAlignment="1">
      <alignment horizontal="left" vertical="center"/>
    </xf>
    <xf numFmtId="0" fontId="44" fillId="0" borderId="42" xfId="0" applyFont="1" applyBorder="1">
      <alignment vertical="center"/>
    </xf>
    <xf numFmtId="0" fontId="12" fillId="0" borderId="7" xfId="0" applyFont="1" applyBorder="1">
      <alignment vertical="center"/>
    </xf>
    <xf numFmtId="0" fontId="42" fillId="0" borderId="41" xfId="0" applyFont="1" applyBorder="1">
      <alignment vertical="center"/>
    </xf>
    <xf numFmtId="0" fontId="42" fillId="0" borderId="40" xfId="0" applyFont="1" applyBorder="1">
      <alignment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>
      <alignment vertical="center"/>
    </xf>
    <xf numFmtId="0" fontId="46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6" xfId="0" applyFont="1" applyBorder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26" fontId="16" fillId="0" borderId="42" xfId="0" applyNumberFormat="1" applyFont="1" applyBorder="1" applyAlignment="1">
      <alignment horizontal="left" vertical="center"/>
    </xf>
    <xf numFmtId="0" fontId="12" fillId="0" borderId="42" xfId="0" applyFont="1" applyBorder="1">
      <alignment vertical="center"/>
    </xf>
    <xf numFmtId="26" fontId="16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/>
    </xf>
    <xf numFmtId="49" fontId="12" fillId="0" borderId="0" xfId="0" applyNumberFormat="1" applyFont="1">
      <alignment vertical="center"/>
    </xf>
    <xf numFmtId="180" fontId="24" fillId="0" borderId="4" xfId="2" applyNumberFormat="1" applyFont="1" applyFill="1" applyBorder="1" applyAlignment="1">
      <alignment horizontal="right" vertical="center"/>
    </xf>
    <xf numFmtId="1" fontId="24" fillId="0" borderId="4" xfId="2" applyNumberFormat="1" applyFont="1" applyFill="1" applyBorder="1" applyAlignment="1">
      <alignment horizontal="left" vertical="center"/>
    </xf>
    <xf numFmtId="177" fontId="24" fillId="0" borderId="42" xfId="2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24" fillId="0" borderId="4" xfId="2" applyNumberFormat="1" applyFont="1" applyFill="1" applyBorder="1" applyAlignment="1">
      <alignment horizontal="right" vertical="center"/>
    </xf>
    <xf numFmtId="177" fontId="24" fillId="3" borderId="42" xfId="2" applyNumberFormat="1" applyFont="1" applyFill="1" applyBorder="1" applyAlignment="1">
      <alignment horizontal="right" vertical="center"/>
    </xf>
    <xf numFmtId="0" fontId="12" fillId="0" borderId="47" xfId="0" applyFont="1" applyBorder="1" applyAlignment="1">
      <alignment horizontal="left" vertical="center"/>
    </xf>
    <xf numFmtId="181" fontId="12" fillId="0" borderId="47" xfId="2" applyNumberFormat="1" applyFont="1" applyFill="1" applyBorder="1" applyAlignment="1">
      <alignment horizontal="left" vertical="center" indent="1"/>
    </xf>
    <xf numFmtId="182" fontId="24" fillId="0" borderId="47" xfId="0" applyNumberFormat="1" applyFont="1" applyBorder="1" applyAlignment="1">
      <alignment horizontal="left" vertical="center"/>
    </xf>
    <xf numFmtId="178" fontId="24" fillId="0" borderId="47" xfId="0" applyNumberFormat="1" applyFont="1" applyBorder="1" applyAlignment="1">
      <alignment horizontal="right"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left" vertical="center"/>
    </xf>
    <xf numFmtId="26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83" fontId="12" fillId="0" borderId="0" xfId="0" applyNumberFormat="1" applyFont="1">
      <alignment vertical="center"/>
    </xf>
    <xf numFmtId="0" fontId="46" fillId="0" borderId="0" xfId="0" applyFont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49" fontId="25" fillId="5" borderId="0" xfId="0" applyNumberFormat="1" applyFont="1" applyFill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49" fontId="42" fillId="0" borderId="0" xfId="0" applyNumberFormat="1" applyFont="1" applyAlignment="1">
      <alignment horizontal="right"/>
    </xf>
    <xf numFmtId="0" fontId="48" fillId="0" borderId="0" xfId="0" applyFont="1">
      <alignment vertical="center"/>
    </xf>
    <xf numFmtId="0" fontId="42" fillId="0" borderId="0" xfId="0" applyFont="1" applyAlignment="1">
      <alignment horizontal="center"/>
    </xf>
    <xf numFmtId="0" fontId="48" fillId="0" borderId="41" xfId="0" applyFont="1" applyBorder="1" applyAlignment="1">
      <alignment horizontal="left"/>
    </xf>
    <xf numFmtId="49" fontId="42" fillId="0" borderId="41" xfId="0" applyNumberFormat="1" applyFont="1" applyBorder="1" applyAlignment="1">
      <alignment horizontal="right"/>
    </xf>
    <xf numFmtId="49" fontId="42" fillId="0" borderId="0" xfId="0" applyNumberFormat="1" applyFont="1">
      <alignment vertical="center"/>
    </xf>
    <xf numFmtId="0" fontId="41" fillId="0" borderId="0" xfId="0" applyFont="1" applyAlignment="1">
      <alignment horizontal="center"/>
    </xf>
    <xf numFmtId="49" fontId="4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9" fillId="0" borderId="0" xfId="0" applyNumberFormat="1" applyFont="1">
      <alignment vertical="center"/>
    </xf>
    <xf numFmtId="49" fontId="49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49" fontId="25" fillId="0" borderId="16" xfId="0" applyNumberFormat="1" applyFont="1" applyBorder="1">
      <alignment vertical="center"/>
    </xf>
    <xf numFmtId="0" fontId="17" fillId="0" borderId="0" xfId="0" applyFont="1">
      <alignment vertical="center"/>
    </xf>
    <xf numFmtId="49" fontId="50" fillId="0" borderId="0" xfId="0" applyNumberFormat="1" applyFont="1">
      <alignment vertical="center"/>
    </xf>
    <xf numFmtId="0" fontId="25" fillId="5" borderId="5" xfId="0" applyFont="1" applyFill="1" applyBorder="1" applyAlignment="1">
      <alignment horizontal="left" vertical="center"/>
    </xf>
    <xf numFmtId="1" fontId="12" fillId="0" borderId="5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vertical="center"/>
    </xf>
    <xf numFmtId="0" fontId="12" fillId="0" borderId="47" xfId="0" applyFont="1" applyBorder="1">
      <alignment vertical="center"/>
    </xf>
    <xf numFmtId="1" fontId="12" fillId="0" borderId="12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horizontal="right" vertical="center"/>
    </xf>
    <xf numFmtId="0" fontId="24" fillId="0" borderId="8" xfId="0" applyFont="1" applyBorder="1" applyAlignment="1">
      <alignment horizontal="left" vertical="center"/>
    </xf>
    <xf numFmtId="178" fontId="24" fillId="0" borderId="8" xfId="0" applyNumberFormat="1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49" fontId="24" fillId="0" borderId="8" xfId="0" applyNumberFormat="1" applyFont="1" applyBorder="1" applyAlignment="1">
      <alignment horizontal="left" vertical="center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2" fillId="0" borderId="30" xfId="0" applyFont="1" applyBorder="1">
      <alignment vertical="center"/>
    </xf>
    <xf numFmtId="0" fontId="42" fillId="0" borderId="23" xfId="0" applyFont="1" applyBorder="1">
      <alignment vertical="center"/>
    </xf>
    <xf numFmtId="0" fontId="12" fillId="0" borderId="43" xfId="0" applyFont="1" applyBorder="1">
      <alignment vertical="center"/>
    </xf>
    <xf numFmtId="0" fontId="42" fillId="0" borderId="7" xfId="0" applyFont="1" applyBorder="1">
      <alignment vertical="center"/>
    </xf>
    <xf numFmtId="49" fontId="51" fillId="3" borderId="40" xfId="0" applyNumberFormat="1" applyFont="1" applyFill="1" applyBorder="1" applyAlignment="1">
      <alignment horizontal="left" vertical="center"/>
    </xf>
    <xf numFmtId="49" fontId="55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6" fillId="0" borderId="0" xfId="0" applyFont="1">
      <alignment vertical="center"/>
    </xf>
    <xf numFmtId="0" fontId="56" fillId="0" borderId="0" xfId="0" applyFont="1" applyAlignment="1">
      <alignment vertical="center" wrapText="1"/>
    </xf>
    <xf numFmtId="0" fontId="58" fillId="0" borderId="0" xfId="0" applyFont="1" applyAlignment="1">
      <alignment horizontal="center" vertical="center"/>
    </xf>
    <xf numFmtId="49" fontId="59" fillId="0" borderId="0" xfId="0" applyNumberFormat="1" applyFont="1" applyAlignment="1">
      <alignment horizontal="center" vertical="center"/>
    </xf>
    <xf numFmtId="49" fontId="59" fillId="0" borderId="6" xfId="0" applyNumberFormat="1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3" borderId="53" xfId="0" applyFont="1" applyFill="1" applyBorder="1" applyAlignment="1">
      <alignment horizontal="center" vertical="center"/>
    </xf>
    <xf numFmtId="49" fontId="62" fillId="0" borderId="5" xfId="0" quotePrefix="1" applyNumberFormat="1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5" xfId="0" quotePrefix="1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59" fillId="0" borderId="25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5" fillId="0" borderId="12" xfId="0" applyFont="1" applyBorder="1">
      <alignment vertical="center"/>
    </xf>
    <xf numFmtId="0" fontId="52" fillId="0" borderId="10" xfId="0" applyFont="1" applyBorder="1" applyAlignment="1">
      <alignment vertical="center" wrapText="1"/>
    </xf>
    <xf numFmtId="1" fontId="12" fillId="0" borderId="4" xfId="0" applyNumberFormat="1" applyFont="1" applyBorder="1" applyAlignment="1">
      <alignment horizontal="center" vertical="center"/>
    </xf>
    <xf numFmtId="49" fontId="25" fillId="3" borderId="29" xfId="0" applyNumberFormat="1" applyFont="1" applyFill="1" applyBorder="1">
      <alignment vertical="center"/>
    </xf>
    <xf numFmtId="49" fontId="33" fillId="0" borderId="4" xfId="0" applyNumberFormat="1" applyFont="1" applyBorder="1">
      <alignment vertical="center"/>
    </xf>
    <xf numFmtId="49" fontId="12" fillId="0" borderId="5" xfId="0" applyNumberFormat="1" applyFont="1" applyBorder="1" applyAlignment="1">
      <alignment horizontal="left" vertical="center"/>
    </xf>
    <xf numFmtId="0" fontId="12" fillId="0" borderId="5" xfId="0" applyFont="1" applyBorder="1">
      <alignment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2" fillId="0" borderId="49" xfId="0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80" fontId="12" fillId="0" borderId="5" xfId="2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179" fontId="24" fillId="0" borderId="8" xfId="0" applyNumberFormat="1" applyFont="1" applyBorder="1" applyAlignment="1">
      <alignment vertical="center" shrinkToFit="1"/>
    </xf>
    <xf numFmtId="49" fontId="24" fillId="0" borderId="8" xfId="0" quotePrefix="1" applyNumberFormat="1" applyFont="1" applyBorder="1" applyAlignment="1">
      <alignment horizontal="left" vertical="center"/>
    </xf>
    <xf numFmtId="6" fontId="12" fillId="0" borderId="5" xfId="12" applyFont="1" applyFill="1" applyBorder="1" applyAlignment="1">
      <alignment horizontal="right" vertical="center"/>
    </xf>
    <xf numFmtId="6" fontId="12" fillId="0" borderId="8" xfId="12" applyFont="1" applyFill="1" applyBorder="1" applyAlignment="1">
      <alignment horizontal="right" vertical="center"/>
    </xf>
    <xf numFmtId="0" fontId="25" fillId="3" borderId="5" xfId="0" applyFont="1" applyFill="1" applyBorder="1" applyAlignment="1">
      <alignment horizontal="left" vertical="center"/>
    </xf>
    <xf numFmtId="0" fontId="12" fillId="0" borderId="55" xfId="0" applyFont="1" applyBorder="1">
      <alignment vertical="center"/>
    </xf>
    <xf numFmtId="0" fontId="12" fillId="0" borderId="56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left" vertical="center"/>
    </xf>
    <xf numFmtId="0" fontId="12" fillId="0" borderId="56" xfId="0" applyFont="1" applyBorder="1">
      <alignment vertical="center"/>
    </xf>
    <xf numFmtId="176" fontId="12" fillId="0" borderId="56" xfId="0" applyNumberFormat="1" applyFont="1" applyBorder="1" applyAlignment="1">
      <alignment horizontal="right" vertical="center"/>
    </xf>
    <xf numFmtId="177" fontId="12" fillId="0" borderId="52" xfId="0" applyNumberFormat="1" applyFont="1" applyBorder="1">
      <alignment vertical="center"/>
    </xf>
    <xf numFmtId="49" fontId="33" fillId="0" borderId="4" xfId="0" applyNumberFormat="1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179" fontId="24" fillId="0" borderId="4" xfId="0" applyNumberFormat="1" applyFont="1" applyBorder="1" applyAlignment="1">
      <alignment vertical="center" shrinkToFit="1"/>
    </xf>
    <xf numFmtId="49" fontId="24" fillId="0" borderId="4" xfId="0" quotePrefix="1" applyNumberFormat="1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179" fontId="12" fillId="0" borderId="20" xfId="0" applyNumberFormat="1" applyFont="1" applyBorder="1" applyAlignment="1">
      <alignment vertical="center" shrinkToFit="1"/>
    </xf>
    <xf numFmtId="179" fontId="12" fillId="0" borderId="20" xfId="0" applyNumberFormat="1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right" vertical="center"/>
    </xf>
    <xf numFmtId="56" fontId="15" fillId="0" borderId="11" xfId="0" applyNumberFormat="1" applyFont="1" applyBorder="1" applyAlignment="1">
      <alignment horizontal="center" vertical="center"/>
    </xf>
    <xf numFmtId="180" fontId="24" fillId="0" borderId="47" xfId="0" applyNumberFormat="1" applyFont="1" applyBorder="1" applyAlignment="1">
      <alignment horizontal="right" vertical="center"/>
    </xf>
    <xf numFmtId="49" fontId="33" fillId="0" borderId="12" xfId="0" applyNumberFormat="1" applyFont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17" fillId="0" borderId="57" xfId="0" applyFont="1" applyBorder="1">
      <alignment vertical="center"/>
    </xf>
    <xf numFmtId="0" fontId="22" fillId="0" borderId="16" xfId="0" applyFont="1" applyBorder="1" applyAlignment="1">
      <alignment horizontal="center" vertical="center"/>
    </xf>
    <xf numFmtId="49" fontId="33" fillId="0" borderId="24" xfId="0" applyNumberFormat="1" applyFont="1" applyBorder="1">
      <alignment vertical="center"/>
    </xf>
    <xf numFmtId="0" fontId="0" fillId="0" borderId="54" xfId="0" applyBorder="1">
      <alignment vertical="center"/>
    </xf>
    <xf numFmtId="0" fontId="22" fillId="0" borderId="58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181" fontId="24" fillId="0" borderId="47" xfId="2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25" fillId="3" borderId="28" xfId="0" applyNumberFormat="1" applyFont="1" applyFill="1" applyBorder="1" applyAlignment="1">
      <alignment horizontal="center" vertical="center"/>
    </xf>
    <xf numFmtId="49" fontId="25" fillId="3" borderId="29" xfId="0" applyNumberFormat="1" applyFont="1" applyFill="1" applyBorder="1" applyAlignment="1">
      <alignment horizontal="center" vertical="center"/>
    </xf>
    <xf numFmtId="49" fontId="25" fillId="3" borderId="31" xfId="0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49" fontId="16" fillId="0" borderId="5" xfId="0" applyNumberFormat="1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3" fontId="12" fillId="0" borderId="8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78" fontId="24" fillId="0" borderId="4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left" vertical="center"/>
    </xf>
    <xf numFmtId="3" fontId="12" fillId="0" borderId="12" xfId="0" applyNumberFormat="1" applyFont="1" applyBorder="1" applyAlignment="1">
      <alignment horizontal="center" vertical="center"/>
    </xf>
    <xf numFmtId="0" fontId="12" fillId="3" borderId="12" xfId="0" applyFont="1" applyFill="1" applyBorder="1" applyAlignment="1">
      <alignment horizontal="left" vertical="center"/>
    </xf>
    <xf numFmtId="1" fontId="12" fillId="0" borderId="11" xfId="0" applyNumberFormat="1" applyFont="1" applyBorder="1" applyAlignment="1">
      <alignment horizontal="center" vertical="center"/>
    </xf>
    <xf numFmtId="49" fontId="25" fillId="3" borderId="29" xfId="0" applyNumberFormat="1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49" fontId="33" fillId="0" borderId="12" xfId="0" applyNumberFormat="1" applyFont="1" applyBorder="1">
      <alignment vertical="center"/>
    </xf>
    <xf numFmtId="0" fontId="12" fillId="0" borderId="32" xfId="0" applyFont="1" applyBorder="1" applyAlignment="1">
      <alignment vertical="center"/>
    </xf>
    <xf numFmtId="0" fontId="31" fillId="7" borderId="50" xfId="0" applyFont="1" applyFill="1" applyBorder="1" applyAlignment="1">
      <alignment horizontal="left" vertical="center"/>
    </xf>
    <xf numFmtId="49" fontId="24" fillId="7" borderId="51" xfId="0" applyNumberFormat="1" applyFont="1" applyFill="1" applyBorder="1" applyAlignment="1">
      <alignment horizontal="left" vertical="center"/>
    </xf>
    <xf numFmtId="49" fontId="12" fillId="7" borderId="51" xfId="0" applyNumberFormat="1" applyFont="1" applyFill="1" applyBorder="1" applyAlignment="1">
      <alignment horizontal="left" vertical="center"/>
    </xf>
    <xf numFmtId="49" fontId="32" fillId="7" borderId="51" xfId="0" quotePrefix="1" applyNumberFormat="1" applyFont="1" applyFill="1" applyBorder="1" applyAlignment="1">
      <alignment horizontal="left" vertical="center"/>
    </xf>
    <xf numFmtId="49" fontId="29" fillId="7" borderId="52" xfId="0" quotePrefix="1" applyNumberFormat="1" applyFont="1" applyFill="1" applyBorder="1" applyAlignment="1">
      <alignment horizontal="left" vertical="center"/>
    </xf>
    <xf numFmtId="49" fontId="66" fillId="6" borderId="20" xfId="0" quotePrefix="1" applyNumberFormat="1" applyFont="1" applyFill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49" fillId="0" borderId="12" xfId="0" applyFont="1" applyBorder="1">
      <alignment vertical="center"/>
    </xf>
    <xf numFmtId="0" fontId="59" fillId="0" borderId="30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59" xfId="0" applyFont="1" applyBorder="1" applyAlignment="1">
      <alignment horizontal="center" vertical="center"/>
    </xf>
    <xf numFmtId="0" fontId="17" fillId="0" borderId="40" xfId="0" applyFont="1" applyBorder="1">
      <alignment vertical="center"/>
    </xf>
  </cellXfs>
  <cellStyles count="23">
    <cellStyle name="ハイパーリンク" xfId="1" builtinId="8"/>
    <cellStyle name="桁区切り" xfId="2" builtinId="6"/>
    <cellStyle name="桁区切り 2" xfId="3" xr:uid="{00000000-0005-0000-0000-000003000000}"/>
    <cellStyle name="桁区切り 2 2" xfId="15" xr:uid="{5C61111C-F371-4C81-86F9-BD520FFF074B}"/>
    <cellStyle name="桁区切り 3" xfId="14" xr:uid="{EBDFF5AB-3281-49C2-BE29-95A7DE61883D}"/>
    <cellStyle name="通貨" xfId="12" builtinId="7"/>
    <cellStyle name="通貨 2" xfId="21" xr:uid="{4D8042EF-C2FB-4F13-B13F-A7268521ABE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22" xr:uid="{C9681A79-8DB9-4923-AC08-74016E8964C8}"/>
    <cellStyle name="標準 4 2 2 2 2 3" xfId="20" xr:uid="{0F0F1EE8-60DC-4201-88DA-0E5D2C3DA7CF}"/>
    <cellStyle name="標準 4 2 2 2 3" xfId="19" xr:uid="{B4B96B00-34DE-4F00-81C0-E2190B3DD9B8}"/>
    <cellStyle name="標準 4 2 2 3" xfId="18" xr:uid="{832B135B-3CE4-4BE8-A0AC-DAB11A01B489}"/>
    <cellStyle name="標準 4 2 3" xfId="17" xr:uid="{FAF3DCF3-6224-4D5A-A3BB-D57E83C8056A}"/>
    <cellStyle name="標準 4 3" xfId="16" xr:uid="{825A816A-F86A-4057-90C0-6F16609CFDBB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1444625</xdr:colOff>
      <xdr:row>3</xdr:row>
      <xdr:rowOff>206375</xdr:rowOff>
    </xdr:from>
    <xdr:to>
      <xdr:col>6</xdr:col>
      <xdr:colOff>3937000</xdr:colOff>
      <xdr:row>3</xdr:row>
      <xdr:rowOff>444500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47B706C-924B-0F51-2DDD-B56C78DC76C2}"/>
            </a:ext>
          </a:extLst>
        </xdr:cNvPr>
        <xdr:cNvSpPr/>
      </xdr:nvSpPr>
      <xdr:spPr bwMode="auto">
        <a:xfrm>
          <a:off x="17272000" y="5238750"/>
          <a:ext cx="2492375" cy="2381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142875</xdr:colOff>
      <xdr:row>4</xdr:row>
      <xdr:rowOff>349250</xdr:rowOff>
    </xdr:from>
    <xdr:to>
      <xdr:col>6</xdr:col>
      <xdr:colOff>2921000</xdr:colOff>
      <xdr:row>4</xdr:row>
      <xdr:rowOff>1238250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5D8F46D-71CE-4D7A-D4BA-C81153595875}"/>
            </a:ext>
          </a:extLst>
        </xdr:cNvPr>
        <xdr:cNvSpPr/>
      </xdr:nvSpPr>
      <xdr:spPr bwMode="auto">
        <a:xfrm>
          <a:off x="15970250" y="10588625"/>
          <a:ext cx="2778125" cy="8890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2238375</xdr:colOff>
      <xdr:row>2</xdr:row>
      <xdr:rowOff>111124</xdr:rowOff>
    </xdr:from>
    <xdr:to>
      <xdr:col>6</xdr:col>
      <xdr:colOff>7303081</xdr:colOff>
      <xdr:row>2</xdr:row>
      <xdr:rowOff>4302125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3C0A1B-89BA-B5FB-5528-530752D73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911" b="32031"/>
        <a:stretch>
          <a:fillRect/>
        </a:stretch>
      </xdr:blipFill>
      <xdr:spPr>
        <a:xfrm>
          <a:off x="18065750" y="1619249"/>
          <a:ext cx="5064706" cy="41910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55" workbookViewId="0">
      <selection activeCell="C55" sqref="C55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100</v>
      </c>
    </row>
    <row r="10" spans="1:3" s="8" customFormat="1">
      <c r="A10" s="7">
        <f t="shared" si="0"/>
        <v>10</v>
      </c>
      <c r="B10" s="9" t="s">
        <v>77</v>
      </c>
      <c r="C10" s="4" t="s">
        <v>142</v>
      </c>
    </row>
    <row r="11" spans="1:3" s="8" customFormat="1">
      <c r="A11" s="7">
        <f t="shared" si="0"/>
        <v>11</v>
      </c>
      <c r="B11" s="9" t="s">
        <v>78</v>
      </c>
      <c r="C11" s="2" t="s">
        <v>101</v>
      </c>
    </row>
    <row r="12" spans="1:3" s="8" customFormat="1">
      <c r="A12" s="7">
        <f t="shared" si="0"/>
        <v>12</v>
      </c>
      <c r="B12" s="9" t="s">
        <v>79</v>
      </c>
      <c r="C12" s="2" t="s">
        <v>102</v>
      </c>
    </row>
    <row r="13" spans="1:3" s="8" customFormat="1">
      <c r="A13" s="7">
        <f t="shared" si="0"/>
        <v>13</v>
      </c>
      <c r="B13" s="9" t="s">
        <v>9</v>
      </c>
      <c r="C13" s="3" t="s">
        <v>105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210</v>
      </c>
    </row>
    <row r="26" spans="1:3">
      <c r="A26" s="7">
        <f t="shared" si="0"/>
        <v>26</v>
      </c>
      <c r="B26" s="9" t="s">
        <v>21</v>
      </c>
      <c r="C26" s="26" t="s">
        <v>211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SY-6901010-VT-DD-01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104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213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354966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SY-6901010-VT-DD-01</v>
      </c>
    </row>
    <row r="50" spans="1:3">
      <c r="A50" s="7">
        <f t="shared" si="0"/>
        <v>50</v>
      </c>
      <c r="B50" s="9" t="s">
        <v>45</v>
      </c>
      <c r="C50" s="4" t="s">
        <v>100</v>
      </c>
    </row>
    <row r="51" spans="1:3">
      <c r="A51" s="7">
        <f t="shared" si="0"/>
        <v>51</v>
      </c>
      <c r="B51" s="9" t="s">
        <v>46</v>
      </c>
      <c r="C51" s="4" t="s">
        <v>142</v>
      </c>
    </row>
    <row r="52" spans="1:3">
      <c r="A52" s="7">
        <f t="shared" si="0"/>
        <v>52</v>
      </c>
      <c r="B52" s="9" t="s">
        <v>47</v>
      </c>
      <c r="C52" s="2" t="s">
        <v>101</v>
      </c>
    </row>
    <row r="53" spans="1:3">
      <c r="A53" s="7">
        <f t="shared" si="0"/>
        <v>53</v>
      </c>
      <c r="B53" s="9" t="s">
        <v>48</v>
      </c>
      <c r="C53" s="2" t="s">
        <v>102</v>
      </c>
    </row>
    <row r="54" spans="1:3">
      <c r="A54" s="7">
        <f t="shared" si="0"/>
        <v>54</v>
      </c>
      <c r="B54" s="9" t="s">
        <v>49</v>
      </c>
      <c r="C54" s="3" t="s">
        <v>103</v>
      </c>
    </row>
    <row r="55" spans="1:3">
      <c r="A55" s="7">
        <f t="shared" si="0"/>
        <v>55</v>
      </c>
      <c r="B55" s="28" t="s">
        <v>50</v>
      </c>
      <c r="C55" s="26" t="s">
        <v>214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157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5" t="s">
        <v>210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4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A18" sqref="A18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4" customFormat="1" ht="32.25" customHeight="1">
      <c r="H1" s="95"/>
    </row>
    <row r="2" spans="1:15" s="94" customFormat="1" ht="32.5">
      <c r="A2" s="94" t="str">
        <f>'shipper master'!C26</f>
        <v xml:space="preserve"> SY-6901010-VT-DD-01</v>
      </c>
      <c r="H2" s="95"/>
      <c r="I2" s="94" t="str">
        <f>'shipper master'!C26</f>
        <v xml:space="preserve"> SY-6901010-VT-DD-01</v>
      </c>
    </row>
    <row r="3" spans="1:15" s="94" customFormat="1" ht="32.5">
      <c r="A3" s="94" t="str">
        <f>'[1]shipper master'!C50</f>
        <v xml:space="preserve">VIVAN GARMENTS VIET NAM </v>
      </c>
      <c r="H3" s="95"/>
      <c r="I3" s="94" t="str">
        <f>'[1]shipper master'!C50</f>
        <v xml:space="preserve">VIVAN GARMENTS VIET NAM </v>
      </c>
    </row>
    <row r="4" spans="1:15" s="94" customFormat="1" ht="32.5">
      <c r="A4" s="94" t="str">
        <f>'[1]shipper master'!C51</f>
        <v xml:space="preserve"> COMPANY LIMITED</v>
      </c>
      <c r="H4" s="95"/>
      <c r="I4" s="94" t="str">
        <f>'[1]shipper master'!C51</f>
        <v xml:space="preserve"> COMPANY LIMITED</v>
      </c>
    </row>
    <row r="5" spans="1:15" s="94" customFormat="1" ht="32.5">
      <c r="A5" s="94" t="str">
        <f>'[1]shipper master'!C52</f>
        <v xml:space="preserve"> HOCHIMINH-CITY, VIETNAM</v>
      </c>
      <c r="H5" s="95"/>
      <c r="I5" s="94" t="str">
        <f>'[1]shipper master'!C52</f>
        <v xml:space="preserve"> HOCHIMINH-CITY, VIETNAM</v>
      </c>
    </row>
    <row r="6" spans="1:15" s="94" customFormat="1" ht="32.5">
      <c r="A6" s="94" t="s">
        <v>108</v>
      </c>
      <c r="C6" s="94">
        <v>1</v>
      </c>
      <c r="D6" s="96"/>
      <c r="H6" s="95"/>
      <c r="I6" s="94" t="s">
        <v>108</v>
      </c>
      <c r="K6" s="94">
        <v>2</v>
      </c>
    </row>
    <row r="7" spans="1:15" s="94" customFormat="1" ht="32.25" customHeight="1">
      <c r="A7" s="94" t="str">
        <f>'[1]shipper master'!C54</f>
        <v xml:space="preserve"> MADE IN JAPAN</v>
      </c>
      <c r="H7" s="95"/>
      <c r="I7" s="94" t="str">
        <f>'[1]shipper master'!C54</f>
        <v xml:space="preserve"> MADE IN JAPAN</v>
      </c>
    </row>
    <row r="8" spans="1:15" s="94" customFormat="1" ht="19.5" customHeight="1">
      <c r="H8" s="95"/>
    </row>
    <row r="9" spans="1:15" s="94" customFormat="1" ht="19.5" customHeight="1">
      <c r="H9" s="95"/>
    </row>
    <row r="10" spans="1:15" s="94" customFormat="1" ht="19.5" customHeight="1">
      <c r="A10" s="97"/>
      <c r="B10" s="97"/>
      <c r="C10" s="97"/>
      <c r="D10" s="97"/>
      <c r="E10" s="97"/>
      <c r="F10" s="97"/>
      <c r="G10" s="97"/>
      <c r="H10" s="98"/>
      <c r="I10" s="97"/>
      <c r="J10" s="97"/>
      <c r="K10" s="97"/>
      <c r="L10" s="97"/>
      <c r="M10" s="97"/>
      <c r="N10" s="97"/>
      <c r="O10" s="97"/>
    </row>
    <row r="11" spans="1:15" s="94" customFormat="1" ht="19.5" customHeight="1">
      <c r="H11" s="95"/>
    </row>
    <row r="12" spans="1:15" s="94" customFormat="1" ht="19.5" customHeight="1">
      <c r="H12" s="95"/>
    </row>
    <row r="13" spans="1:15" s="94" customFormat="1" ht="32.5">
      <c r="A13" s="94" t="str">
        <f>'shipper master'!C26</f>
        <v xml:space="preserve"> SY-6901010-VT-DD-01</v>
      </c>
      <c r="H13" s="95"/>
      <c r="I13" s="94" t="str">
        <f>'shipper master'!C26</f>
        <v xml:space="preserve"> SY-6901010-VT-DD-01</v>
      </c>
    </row>
    <row r="14" spans="1:15" s="94" customFormat="1" ht="32.5">
      <c r="A14" s="94" t="str">
        <f>'[1]shipper master'!C50</f>
        <v xml:space="preserve">VIVAN GARMENTS VIET NAM </v>
      </c>
      <c r="H14" s="95"/>
      <c r="I14" s="94" t="str">
        <f>'[1]shipper master'!C50</f>
        <v xml:space="preserve">VIVAN GARMENTS VIET NAM </v>
      </c>
    </row>
    <row r="15" spans="1:15" s="94" customFormat="1" ht="32.5">
      <c r="A15" s="94" t="str">
        <f>'[1]shipper master'!C51</f>
        <v xml:space="preserve"> COMPANY LIMITED</v>
      </c>
      <c r="H15" s="95"/>
      <c r="I15" s="94" t="str">
        <f>'[1]shipper master'!C51</f>
        <v xml:space="preserve"> COMPANY LIMITED</v>
      </c>
    </row>
    <row r="16" spans="1:15" s="94" customFormat="1" ht="32.5">
      <c r="A16" s="94" t="str">
        <f>'[1]shipper master'!C52</f>
        <v xml:space="preserve"> HOCHIMINH-CITY, VIETNAM</v>
      </c>
      <c r="H16" s="95"/>
      <c r="I16" s="94" t="str">
        <f>'[1]shipper master'!C52</f>
        <v xml:space="preserve"> HOCHIMINH-CITY, VIETNAM</v>
      </c>
    </row>
    <row r="17" spans="1:11" s="94" customFormat="1" ht="32.5">
      <c r="A17" s="94" t="s">
        <v>108</v>
      </c>
      <c r="C17" s="94">
        <v>3</v>
      </c>
      <c r="H17" s="95"/>
      <c r="I17" s="94" t="s">
        <v>108</v>
      </c>
      <c r="K17" s="94">
        <v>4</v>
      </c>
    </row>
    <row r="18" spans="1:11" s="94" customFormat="1" ht="32.5">
      <c r="A18" s="94" t="str">
        <f>'[1]shipper master'!C54</f>
        <v xml:space="preserve"> MADE IN JAPAN</v>
      </c>
      <c r="H18" s="95"/>
      <c r="I18" s="94" t="str">
        <f>'[1]shipper master'!C54</f>
        <v xml:space="preserve"> MADE IN JAPAN</v>
      </c>
    </row>
    <row r="19" spans="1:11" s="99" customFormat="1" ht="34">
      <c r="A19" s="94"/>
    </row>
    <row r="20" spans="1:11" s="99" customFormat="1" ht="34"/>
    <row r="21" spans="1:11" s="99" customFormat="1" ht="34"/>
    <row r="22" spans="1:11" s="99" customFormat="1" ht="34"/>
    <row r="23" spans="1:11" s="99" customFormat="1" ht="34"/>
    <row r="24" spans="1:11" s="99" customFormat="1" ht="34"/>
    <row r="25" spans="1:11" s="99" customFormat="1" ht="34"/>
    <row r="26" spans="1:11" s="94" customFormat="1" ht="32.5"/>
    <row r="27" spans="1:11" s="94" customFormat="1" ht="32.5"/>
    <row r="28" spans="1:11" s="94" customFormat="1" ht="32.5"/>
    <row r="29" spans="1:11" s="94" customFormat="1" ht="32.5"/>
    <row r="30" spans="1:11" s="94" customFormat="1" ht="32.5"/>
    <row r="31" spans="1:11" s="94" customFormat="1" ht="32.5"/>
    <row r="32" spans="1:11" s="94" customFormat="1" ht="32.5"/>
    <row r="33" s="94" customFormat="1" ht="32.5"/>
    <row r="34" s="94" customFormat="1" ht="32.5"/>
  </sheetData>
  <phoneticPr fontId="14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10" zoomScale="110" zoomScaleNormal="115" zoomScaleSheetLayoutView="110" workbookViewId="0">
      <selection activeCell="D40" sqref="D40"/>
    </sheetView>
  </sheetViews>
  <sheetFormatPr defaultColWidth="9" defaultRowHeight="16"/>
  <cols>
    <col min="1" max="1" width="8.6328125" style="103" customWidth="1"/>
    <col min="2" max="2" width="11.6328125" style="103" customWidth="1"/>
    <col min="3" max="3" width="4.81640625" style="103" customWidth="1"/>
    <col min="4" max="4" width="23.36328125" style="103" customWidth="1"/>
    <col min="5" max="5" width="6.08984375" style="103" customWidth="1"/>
    <col min="6" max="7" width="3.08984375" style="103" customWidth="1"/>
    <col min="8" max="8" width="2.90625" style="103" customWidth="1"/>
    <col min="9" max="9" width="3.08984375" style="103" hidden="1" customWidth="1"/>
    <col min="10" max="10" width="8.453125" style="103" customWidth="1"/>
    <col min="11" max="11" width="9.90625" style="103" customWidth="1"/>
    <col min="12" max="12" width="13" style="103" customWidth="1"/>
    <col min="13" max="13" width="13.90625" style="103" customWidth="1"/>
    <col min="14" max="16384" width="9" style="103"/>
  </cols>
  <sheetData>
    <row r="1" spans="1:13" s="100" customFormat="1" ht="32.25" customHeight="1">
      <c r="A1" s="269" t="s">
        <v>109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</row>
    <row r="2" spans="1:13" ht="23.25" customHeight="1">
      <c r="A2" s="101" t="str">
        <f>'[2]shipper master'!C2</f>
        <v xml:space="preserve"> SHUNYA CO., LTD.</v>
      </c>
      <c r="B2" s="102"/>
      <c r="C2" s="102"/>
      <c r="D2" s="102"/>
      <c r="E2" s="102"/>
      <c r="L2" s="104"/>
    </row>
    <row r="3" spans="1:13" ht="15.75" customHeight="1">
      <c r="A3" s="3" t="str">
        <f>'[2]shipper master'!C3</f>
        <v xml:space="preserve"> KENSHIN BLDG., 1F, 1-22-10 DOUGENZAKA,</v>
      </c>
      <c r="B3" s="102"/>
      <c r="C3" s="102"/>
      <c r="D3" s="102"/>
      <c r="E3" s="102"/>
      <c r="L3" s="104"/>
    </row>
    <row r="4" spans="1:13" ht="18" customHeight="1">
      <c r="A4" s="3" t="str">
        <f>'[2]shipper master'!C4</f>
        <v xml:space="preserve"> SHIBUYA-KU 150-0043</v>
      </c>
      <c r="B4" s="102"/>
      <c r="C4" s="102"/>
      <c r="D4" s="102"/>
      <c r="E4" s="102"/>
      <c r="F4" s="105"/>
      <c r="G4" s="105"/>
      <c r="H4" s="105"/>
      <c r="I4" s="105"/>
      <c r="J4" s="105"/>
      <c r="L4" s="3">
        <f>'[2]shipper master'!C6</f>
        <v>0</v>
      </c>
    </row>
    <row r="5" spans="1:13" ht="16.5" thickBot="1">
      <c r="A5" s="106" t="str">
        <f>'[2]shipper master'!C5</f>
        <v xml:space="preserve"> TEL : +81(0)3-5459-1177</v>
      </c>
      <c r="B5" s="102"/>
      <c r="C5" s="102"/>
      <c r="D5" s="102"/>
      <c r="L5" s="3">
        <f>'[2]shipper master'!C7</f>
        <v>0</v>
      </c>
      <c r="M5" s="107"/>
    </row>
    <row r="6" spans="1:13" ht="13.4" customHeight="1">
      <c r="A6" s="108" t="s">
        <v>110</v>
      </c>
      <c r="B6" s="109"/>
      <c r="C6" s="109"/>
      <c r="D6" s="109"/>
      <c r="E6" s="109"/>
      <c r="F6" s="110" t="s">
        <v>111</v>
      </c>
      <c r="G6" s="111"/>
      <c r="H6" s="111"/>
      <c r="I6" s="111"/>
      <c r="J6" s="109"/>
      <c r="K6" s="200"/>
      <c r="L6" s="110" t="s">
        <v>112</v>
      </c>
      <c r="M6" s="104"/>
    </row>
    <row r="7" spans="1:13" ht="13.4" customHeight="1">
      <c r="A7" s="3" t="str">
        <f>'[2]shipper master'!C9</f>
        <v>VIVAN GARMENTS VIET NAM COMPANY LIMITED</v>
      </c>
      <c r="B7" s="104"/>
      <c r="C7" s="104"/>
      <c r="D7" s="104"/>
      <c r="E7" s="104"/>
      <c r="F7" s="112" t="str">
        <f>'shipper master'!C26</f>
        <v xml:space="preserve"> SY-6901010-VT-DD-01</v>
      </c>
      <c r="G7" s="113"/>
      <c r="H7" s="113"/>
      <c r="I7" s="113"/>
      <c r="J7" s="113"/>
      <c r="K7" s="201"/>
      <c r="L7" s="114"/>
      <c r="M7" s="104"/>
    </row>
    <row r="8" spans="1:13" ht="13.4" customHeight="1">
      <c r="A8" s="3" t="str">
        <f>'[2]shipper master'!C10</f>
        <v>D17 Street , Sai Gon South Residential Area</v>
      </c>
      <c r="B8" s="104"/>
      <c r="C8" s="104"/>
      <c r="D8" s="104"/>
      <c r="E8" s="104"/>
      <c r="F8" s="115" t="s">
        <v>113</v>
      </c>
      <c r="G8" s="108"/>
      <c r="H8" s="108"/>
      <c r="I8" s="108"/>
      <c r="J8" s="104"/>
      <c r="K8" s="202"/>
      <c r="L8" s="116" t="str">
        <f>'shipper master'!C26</f>
        <v xml:space="preserve"> SY-6901010-VT-DD-01</v>
      </c>
      <c r="M8" s="104"/>
    </row>
    <row r="9" spans="1:13" ht="13.4" customHeight="1">
      <c r="A9" s="3" t="str">
        <f>'[2]shipper master'!C11</f>
        <v>Hamlet 3 , Long Hau Commune , Can Giuoc District,</v>
      </c>
      <c r="B9" s="104"/>
      <c r="C9" s="104"/>
      <c r="D9" s="104"/>
      <c r="E9" s="104"/>
      <c r="F9" s="203" t="str">
        <f>'shipper master'!C25</f>
        <v>Oct, 10 2025</v>
      </c>
      <c r="G9" s="117"/>
      <c r="H9" s="117"/>
      <c r="I9" s="117"/>
      <c r="J9" s="117"/>
      <c r="K9" s="118"/>
      <c r="L9" s="116" t="str">
        <f>'[1]shipper master'!C50</f>
        <v xml:space="preserve">VIVAN GARMENTS VIET NAM </v>
      </c>
      <c r="M9" s="104"/>
    </row>
    <row r="10" spans="1:13" ht="13.4" customHeight="1">
      <c r="A10" s="3" t="str">
        <f>'[2]shipper master'!C12</f>
        <v xml:space="preserve"> Long An Province , VietNam</v>
      </c>
      <c r="B10" s="104"/>
      <c r="C10" s="104"/>
      <c r="D10" s="104"/>
      <c r="E10" s="104"/>
      <c r="F10" s="115" t="s">
        <v>114</v>
      </c>
      <c r="G10" s="108"/>
      <c r="H10" s="108"/>
      <c r="I10" s="108"/>
      <c r="J10" s="104"/>
      <c r="K10" s="202"/>
      <c r="L10" s="116" t="str">
        <f>'[1]shipper master'!C51</f>
        <v xml:space="preserve"> COMPANY LIMITED</v>
      </c>
      <c r="M10" s="104"/>
    </row>
    <row r="11" spans="1:13" ht="13.4" customHeight="1">
      <c r="A11" s="113" t="str">
        <f>'[2]shipper master'!C13</f>
        <v xml:space="preserve"> TEL : ( 084 ) 097 22 00 798  ATTN : MR. TUAN</v>
      </c>
      <c r="B11" s="104"/>
      <c r="C11" s="104"/>
      <c r="D11" s="104"/>
      <c r="E11" s="123"/>
      <c r="F11" s="270" t="str">
        <f>'shipper master'!C26</f>
        <v xml:space="preserve"> SY-6901010-VT-DD-01</v>
      </c>
      <c r="G11" s="271"/>
      <c r="H11" s="271"/>
      <c r="I11" s="271"/>
      <c r="J11" s="271"/>
      <c r="K11" s="272"/>
      <c r="L11" s="116" t="str">
        <f>'[1]shipper master'!C52</f>
        <v xml:space="preserve"> HOCHIMINH-CITY, VIETNAM</v>
      </c>
      <c r="M11" s="104"/>
    </row>
    <row r="12" spans="1:13" ht="13.4" customHeight="1">
      <c r="A12" s="108" t="s">
        <v>115</v>
      </c>
      <c r="B12" s="119"/>
      <c r="C12" s="119"/>
      <c r="D12" s="119"/>
      <c r="E12" s="104"/>
      <c r="F12" s="115" t="s">
        <v>116</v>
      </c>
      <c r="G12" s="108"/>
      <c r="H12" s="108"/>
      <c r="I12" s="108"/>
      <c r="J12" s="104"/>
      <c r="K12" s="104"/>
      <c r="L12" s="120" t="s">
        <v>208</v>
      </c>
      <c r="M12" s="104"/>
    </row>
    <row r="13" spans="1:13" ht="13.4" customHeight="1">
      <c r="A13" s="3" t="str">
        <f>'[2]shipper master'!C15</f>
        <v xml:space="preserve"> - SAME AS BUYER -</v>
      </c>
      <c r="B13" s="104"/>
      <c r="C13" s="104"/>
      <c r="D13" s="104"/>
      <c r="E13" s="104"/>
      <c r="F13" s="270">
        <f>'[2]shipper master'!C30</f>
        <v>0</v>
      </c>
      <c r="G13" s="271"/>
      <c r="H13" s="271"/>
      <c r="I13" s="271"/>
      <c r="J13" s="271"/>
      <c r="K13" s="272"/>
      <c r="L13" s="116" t="s">
        <v>117</v>
      </c>
      <c r="M13" s="104"/>
    </row>
    <row r="14" spans="1:13" ht="13.4" customHeight="1">
      <c r="A14" s="3">
        <f>'[2]shipper master'!C16</f>
        <v>0</v>
      </c>
      <c r="B14" s="104"/>
      <c r="C14" s="104"/>
      <c r="D14" s="104"/>
      <c r="E14" s="104"/>
      <c r="F14" s="121" t="s">
        <v>24</v>
      </c>
      <c r="G14" s="3"/>
      <c r="H14" s="3"/>
      <c r="I14" s="3"/>
      <c r="J14" s="3"/>
      <c r="K14" s="122"/>
      <c r="L14" s="116" t="s">
        <v>212</v>
      </c>
      <c r="M14" s="104"/>
    </row>
    <row r="15" spans="1:13" ht="13.4" customHeight="1">
      <c r="A15" s="3">
        <f>'[2]shipper master'!C17</f>
        <v>0</v>
      </c>
      <c r="B15" s="104"/>
      <c r="C15" s="104"/>
      <c r="D15" s="104"/>
      <c r="E15" s="104"/>
      <c r="F15" s="270">
        <f>'[2]shipper master'!C29</f>
        <v>0</v>
      </c>
      <c r="G15" s="271"/>
      <c r="H15" s="271"/>
      <c r="I15" s="271"/>
      <c r="J15" s="271"/>
      <c r="K15" s="272"/>
      <c r="L15" s="142"/>
      <c r="M15" s="104"/>
    </row>
    <row r="16" spans="1:13" ht="13.4" customHeight="1">
      <c r="A16" s="3">
        <f>'[2]shipper master'!C18</f>
        <v>0</v>
      </c>
      <c r="B16" s="104"/>
      <c r="C16" s="104"/>
      <c r="D16" s="104"/>
      <c r="E16" s="104"/>
      <c r="F16" s="115" t="s">
        <v>118</v>
      </c>
      <c r="G16" s="108"/>
      <c r="H16" s="108"/>
      <c r="I16" s="108"/>
      <c r="J16" s="104"/>
      <c r="K16" s="104"/>
      <c r="L16" s="114"/>
      <c r="M16" s="104"/>
    </row>
    <row r="17" spans="1:13" ht="13.4" customHeight="1">
      <c r="A17" s="113">
        <f>'[2]shipper master'!C19</f>
        <v>0</v>
      </c>
      <c r="B17" s="123"/>
      <c r="C17" s="123"/>
      <c r="D17" s="123"/>
      <c r="E17" s="123"/>
      <c r="F17" s="273"/>
      <c r="G17" s="274"/>
      <c r="H17" s="274"/>
      <c r="I17" s="274"/>
      <c r="J17" s="274"/>
      <c r="K17" s="275"/>
      <c r="L17" s="114"/>
      <c r="M17" s="104"/>
    </row>
    <row r="18" spans="1:13" ht="13.4" customHeight="1">
      <c r="A18" s="108" t="s">
        <v>119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14"/>
      <c r="M18" s="104"/>
    </row>
    <row r="19" spans="1:13" ht="13.4" customHeight="1">
      <c r="A19" s="113" t="str">
        <f>'[2]shipper master'!C21</f>
        <v xml:space="preserve"> NO COMMERCIAL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4"/>
      <c r="M19" s="123"/>
    </row>
    <row r="20" spans="1:13" ht="13.4" customHeight="1">
      <c r="A20" s="108" t="s">
        <v>120</v>
      </c>
      <c r="B20" s="104"/>
      <c r="C20" s="104"/>
      <c r="D20" s="125" t="s">
        <v>121</v>
      </c>
      <c r="E20" s="126"/>
      <c r="F20" s="108" t="s">
        <v>122</v>
      </c>
      <c r="G20" s="108"/>
      <c r="H20" s="108"/>
      <c r="I20" s="108"/>
      <c r="J20" s="127" t="s">
        <v>123</v>
      </c>
      <c r="K20" s="128"/>
      <c r="L20" s="108" t="s">
        <v>124</v>
      </c>
      <c r="M20" s="104"/>
    </row>
    <row r="21" spans="1:13" s="1" customFormat="1" ht="13.4" customHeight="1" thickBot="1">
      <c r="A21" s="3" t="str">
        <f>'[2]shipper master'!C24</f>
        <v xml:space="preserve"> AIRCRAFT</v>
      </c>
      <c r="B21" s="106"/>
      <c r="C21" s="3"/>
      <c r="D21" s="129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6"/>
      <c r="K21" s="106"/>
      <c r="L21" s="4"/>
      <c r="M21" s="106"/>
    </row>
    <row r="22" spans="1:13" s="134" customFormat="1" ht="16.399999999999999" customHeight="1">
      <c r="A22" s="130" t="s">
        <v>125</v>
      </c>
      <c r="B22" s="130" t="s">
        <v>126</v>
      </c>
      <c r="C22" s="130"/>
      <c r="D22" s="131" t="s">
        <v>127</v>
      </c>
      <c r="E22" s="130" t="s">
        <v>128</v>
      </c>
      <c r="F22" s="131"/>
      <c r="G22" s="131"/>
      <c r="H22" s="131" t="s">
        <v>129</v>
      </c>
      <c r="I22" s="131"/>
      <c r="J22" s="131"/>
      <c r="K22" s="132" t="s">
        <v>130</v>
      </c>
      <c r="L22" s="130" t="s">
        <v>131</v>
      </c>
      <c r="M22" s="133" t="s">
        <v>132</v>
      </c>
    </row>
    <row r="23" spans="1:13" ht="13.4" customHeight="1">
      <c r="A23" s="135"/>
      <c r="B23" s="136"/>
      <c r="C23" s="136"/>
      <c r="D23" s="104"/>
      <c r="E23" s="136"/>
      <c r="F23" s="104"/>
      <c r="G23" s="104"/>
      <c r="H23" s="104"/>
      <c r="I23" s="104"/>
      <c r="J23" s="104"/>
      <c r="K23" s="137"/>
      <c r="L23" s="104"/>
      <c r="M23" s="114"/>
    </row>
    <row r="24" spans="1:13" s="1" customFormat="1" ht="13.4" customHeight="1">
      <c r="A24" s="138"/>
      <c r="B24" s="139" t="str">
        <f>'[2]shipper master'!C36</f>
        <v>FABRIC &amp; PARTS FOR WEAR &amp; SAMPLE CLOTHES</v>
      </c>
      <c r="C24" s="139"/>
      <c r="D24" s="4"/>
      <c r="E24" s="4"/>
      <c r="F24" s="4"/>
      <c r="G24" s="4"/>
      <c r="H24" s="4"/>
      <c r="I24" s="4"/>
      <c r="J24" s="4"/>
      <c r="K24" s="140"/>
      <c r="L24" s="141" t="str">
        <f>'[2]shipper master'!C48</f>
        <v>F.O.B. TOKYO IN YEN</v>
      </c>
      <c r="M24" s="142"/>
    </row>
    <row r="25" spans="1:13" s="1" customFormat="1" ht="13.4" customHeight="1">
      <c r="A25" s="138"/>
      <c r="B25" s="139"/>
      <c r="C25" s="139"/>
      <c r="D25" s="4"/>
      <c r="E25" s="4"/>
      <c r="F25" s="4"/>
      <c r="G25" s="4"/>
      <c r="H25" s="4"/>
      <c r="I25" s="4"/>
      <c r="J25" s="4"/>
      <c r="K25" s="140"/>
      <c r="L25" s="143"/>
      <c r="M25" s="142"/>
    </row>
    <row r="26" spans="1:13" s="1" customFormat="1" ht="13.4" customHeight="1">
      <c r="A26" s="144"/>
      <c r="B26" s="139">
        <f>'[2]shipper master'!C37</f>
        <v>0</v>
      </c>
      <c r="C26" s="139"/>
      <c r="D26" s="4"/>
      <c r="E26" s="4"/>
      <c r="F26" s="3"/>
      <c r="G26" s="3"/>
      <c r="H26" s="3"/>
      <c r="I26" s="3"/>
      <c r="J26" s="3"/>
      <c r="K26" s="146">
        <f>'NARITA '!E39</f>
        <v>185</v>
      </c>
      <c r="L26" s="147" t="s">
        <v>147</v>
      </c>
      <c r="M26" s="148">
        <f>'NARITA '!H39</f>
        <v>81400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46">
        <f>'NARITA '!E40</f>
        <v>418</v>
      </c>
      <c r="L27" s="147" t="s">
        <v>144</v>
      </c>
      <c r="M27" s="148">
        <f>'NARITA '!H40</f>
        <v>273566</v>
      </c>
    </row>
    <row r="28" spans="1:13" s="1" customFormat="1" ht="13.4" customHeight="1">
      <c r="A28" s="149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46"/>
      <c r="L28" s="147"/>
      <c r="M28" s="148"/>
    </row>
    <row r="29" spans="1:13" s="1" customFormat="1" ht="13.4" customHeight="1">
      <c r="A29" s="149"/>
      <c r="B29" s="22"/>
      <c r="C29" s="22"/>
      <c r="D29" s="3"/>
      <c r="E29" s="4"/>
      <c r="F29" s="3"/>
      <c r="G29" s="3"/>
      <c r="H29" s="3"/>
      <c r="I29" s="3"/>
      <c r="J29" s="3"/>
      <c r="K29" s="150"/>
      <c r="L29" s="147"/>
      <c r="M29" s="151"/>
    </row>
    <row r="30" spans="1:13" s="1" customFormat="1" ht="17.25" customHeight="1" thickBot="1">
      <c r="A30" s="152"/>
      <c r="B30" s="153" t="s">
        <v>143</v>
      </c>
      <c r="C30" s="188"/>
      <c r="D30" s="191">
        <f>K26</f>
        <v>185</v>
      </c>
      <c r="E30" s="188" t="s">
        <v>146</v>
      </c>
      <c r="F30" s="276">
        <f>K27</f>
        <v>418</v>
      </c>
      <c r="G30" s="276"/>
      <c r="H30" s="276"/>
      <c r="I30" s="154" t="s">
        <v>85</v>
      </c>
      <c r="J30" s="154" t="s">
        <v>85</v>
      </c>
      <c r="K30" s="258">
        <f>K28</f>
        <v>0</v>
      </c>
      <c r="L30" s="189"/>
      <c r="M30" s="155">
        <f>SUM(M26:M29)</f>
        <v>354966</v>
      </c>
    </row>
    <row r="31" spans="1:13" s="1" customFormat="1" ht="13.4" customHeight="1" thickTop="1">
      <c r="A31" s="156"/>
      <c r="B31" s="157"/>
      <c r="C31" s="157"/>
      <c r="D31" s="3"/>
      <c r="E31" s="158"/>
      <c r="F31" s="3"/>
      <c r="G31" s="158"/>
      <c r="H31" s="3"/>
      <c r="I31" s="3"/>
      <c r="J31" s="3"/>
      <c r="K31" s="149"/>
      <c r="L31" s="159"/>
      <c r="M31" s="156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60"/>
      <c r="L32" s="159"/>
      <c r="M32" s="161"/>
    </row>
    <row r="33" spans="1:13" s="1" customFormat="1" ht="13.4" customHeight="1">
      <c r="A33" s="3" t="str">
        <f>'[2]shipper master'!C63</f>
        <v>" THESE GOODS WILL BE RETURN TO JAPAN</v>
      </c>
      <c r="B33" s="162"/>
      <c r="C33" s="162"/>
      <c r="D33" s="162"/>
      <c r="E33" s="162"/>
      <c r="F33" s="162"/>
      <c r="G33" s="3"/>
      <c r="H33" s="3"/>
      <c r="I33" s="3" t="s">
        <v>133</v>
      </c>
      <c r="J33" s="3"/>
      <c r="K33" s="160" t="s">
        <v>134</v>
      </c>
      <c r="L33" s="159"/>
      <c r="M33" s="3"/>
    </row>
    <row r="34" spans="1:13" s="1" customFormat="1" ht="13.4" customHeight="1">
      <c r="A34" s="268" t="str">
        <f>'[2]shipper master'!C64</f>
        <v xml:space="preserve">  AFTER MANUFACTURED AT VIET NAM "</v>
      </c>
      <c r="B34" s="268"/>
      <c r="C34" s="268"/>
      <c r="D34" s="268"/>
      <c r="E34" s="4"/>
      <c r="F34" s="3"/>
      <c r="G34" s="3"/>
      <c r="H34" s="3"/>
      <c r="I34" s="3" t="s">
        <v>135</v>
      </c>
      <c r="J34" s="3"/>
      <c r="K34" s="160" t="s">
        <v>136</v>
      </c>
      <c r="L34" s="159"/>
      <c r="M34" s="161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49"/>
      <c r="L35" s="159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49"/>
      <c r="L36" s="159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49"/>
      <c r="L37" s="159"/>
      <c r="M37" s="3"/>
    </row>
    <row r="38" spans="1:13" s="1" customFormat="1" ht="13.4" customHeight="1">
      <c r="A38" s="163" t="s">
        <v>137</v>
      </c>
      <c r="B38" s="164"/>
      <c r="C38" s="164"/>
      <c r="D38" s="165" t="s">
        <v>209</v>
      </c>
      <c r="E38" s="4"/>
      <c r="F38" s="3"/>
      <c r="G38" s="3"/>
      <c r="H38" s="3"/>
      <c r="I38" s="3"/>
      <c r="J38" s="3"/>
      <c r="K38" s="149"/>
      <c r="L38" s="159"/>
      <c r="M38" s="3"/>
    </row>
    <row r="39" spans="1:13" s="1" customFormat="1" ht="13.4" customHeight="1">
      <c r="A39" s="163" t="s">
        <v>138</v>
      </c>
      <c r="B39" s="164"/>
      <c r="C39" s="164"/>
      <c r="D39" s="166" t="s">
        <v>139</v>
      </c>
      <c r="E39" s="4"/>
      <c r="F39" s="3"/>
      <c r="G39" s="3"/>
      <c r="H39" s="3"/>
      <c r="I39" s="3"/>
      <c r="J39" s="3"/>
      <c r="K39" s="149"/>
      <c r="L39" s="159"/>
      <c r="M39" s="3"/>
    </row>
    <row r="40" spans="1:13" s="1" customFormat="1" ht="13.4" customHeight="1">
      <c r="A40" s="145"/>
      <c r="B40" s="139"/>
      <c r="C40" s="139"/>
      <c r="D40" s="167"/>
      <c r="E40" s="139"/>
      <c r="F40" s="168"/>
      <c r="G40" s="168"/>
      <c r="H40" s="168"/>
      <c r="I40" s="3"/>
      <c r="J40" s="3"/>
      <c r="K40" s="149"/>
      <c r="L40" s="159"/>
      <c r="M40" s="3"/>
    </row>
    <row r="41" spans="1:13" ht="18" customHeight="1">
      <c r="A41" s="145"/>
      <c r="B41" s="104"/>
      <c r="C41" s="104"/>
      <c r="D41" s="104"/>
      <c r="E41" s="104"/>
      <c r="F41" s="104"/>
      <c r="G41" s="104"/>
      <c r="H41" s="136"/>
      <c r="I41" s="104"/>
      <c r="J41" s="104"/>
      <c r="K41" s="136"/>
      <c r="L41" s="169"/>
      <c r="M41" s="104"/>
    </row>
    <row r="42" spans="1:13" ht="13.4" customHeight="1">
      <c r="A42" s="104"/>
      <c r="B42" s="170"/>
      <c r="C42" s="170"/>
      <c r="D42" s="104"/>
      <c r="E42" s="104"/>
      <c r="F42" s="104"/>
      <c r="G42" s="104"/>
      <c r="H42" s="104"/>
      <c r="I42" s="104"/>
      <c r="J42" s="104"/>
      <c r="K42" s="171"/>
      <c r="L42" s="169"/>
      <c r="M42" s="104"/>
    </row>
    <row r="43" spans="1:13" ht="13.4" customHeight="1">
      <c r="A43" s="104"/>
      <c r="B43" s="170"/>
      <c r="C43" s="170"/>
      <c r="D43" s="104"/>
      <c r="E43" s="104"/>
      <c r="F43" s="104"/>
      <c r="G43" s="104"/>
      <c r="H43" s="104"/>
      <c r="I43" s="104"/>
      <c r="J43" s="104"/>
      <c r="K43" s="171"/>
      <c r="L43" s="169"/>
      <c r="M43" s="104"/>
    </row>
    <row r="44" spans="1:13" ht="13.4" customHeight="1">
      <c r="A44" s="104"/>
      <c r="B44" s="104"/>
      <c r="C44" s="104"/>
      <c r="D44" s="104"/>
      <c r="E44" s="104"/>
      <c r="F44" s="104"/>
      <c r="G44" s="104"/>
      <c r="H44" s="123"/>
      <c r="I44" s="123"/>
      <c r="J44" s="123"/>
      <c r="K44" s="172"/>
      <c r="L44" s="173"/>
      <c r="M44" s="123"/>
    </row>
    <row r="45" spans="1:13" ht="13.4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71"/>
      <c r="L45" s="169"/>
      <c r="M45" s="104"/>
    </row>
    <row r="46" spans="1:13" ht="13.4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71"/>
      <c r="L46" s="169"/>
      <c r="M46" s="104"/>
    </row>
    <row r="47" spans="1:13" ht="13.4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71"/>
      <c r="L47" s="169"/>
      <c r="M47" s="104"/>
    </row>
    <row r="48" spans="1:13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71"/>
      <c r="L48" s="169"/>
      <c r="M48" s="104"/>
    </row>
    <row r="49" spans="1:13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71"/>
      <c r="L49" s="174"/>
      <c r="M49" s="104"/>
    </row>
    <row r="50" spans="1:13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71"/>
      <c r="L50" s="174"/>
      <c r="M50" s="104"/>
    </row>
    <row r="51" spans="1:13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71"/>
      <c r="L51" s="174"/>
      <c r="M51" s="104"/>
    </row>
    <row r="52" spans="1:13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71"/>
      <c r="L52" s="174"/>
      <c r="M52" s="104"/>
    </row>
    <row r="53" spans="1:1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71"/>
      <c r="L53" s="174"/>
      <c r="M53" s="104"/>
    </row>
    <row r="54" spans="1:1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71"/>
      <c r="L54" s="174"/>
      <c r="M54" s="104"/>
    </row>
    <row r="55" spans="1:13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71"/>
      <c r="L55" s="174"/>
      <c r="M55" s="104"/>
    </row>
    <row r="56" spans="1:13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71"/>
      <c r="L56" s="174"/>
      <c r="M56" s="104"/>
    </row>
    <row r="57" spans="1:13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71"/>
      <c r="L57" s="174"/>
      <c r="M57" s="104"/>
    </row>
    <row r="58" spans="1:13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71"/>
      <c r="L58" s="174"/>
      <c r="M58" s="104"/>
    </row>
    <row r="59" spans="1:13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71"/>
      <c r="L59" s="174"/>
      <c r="M59" s="104"/>
    </row>
    <row r="60" spans="1:13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71"/>
      <c r="L60" s="174"/>
      <c r="M60" s="104"/>
    </row>
    <row r="61" spans="1:13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71"/>
      <c r="L61" s="174"/>
      <c r="M61" s="104"/>
    </row>
    <row r="62" spans="1:13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71"/>
      <c r="L62" s="174"/>
      <c r="M62" s="104"/>
    </row>
    <row r="63" spans="1:1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71"/>
      <c r="L63" s="174"/>
      <c r="M63" s="104"/>
    </row>
    <row r="64" spans="1:13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71"/>
      <c r="L64" s="174"/>
      <c r="M64" s="104"/>
    </row>
    <row r="65" spans="1:13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71"/>
      <c r="L65" s="174"/>
      <c r="M65" s="104"/>
    </row>
    <row r="66" spans="1:1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71"/>
      <c r="L66" s="174"/>
      <c r="M66" s="104"/>
    </row>
    <row r="67" spans="1:13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71"/>
      <c r="L67" s="174"/>
      <c r="M67" s="104"/>
    </row>
    <row r="68" spans="1:13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71"/>
      <c r="L68" s="174"/>
      <c r="M68" s="104"/>
    </row>
    <row r="69" spans="1:13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71"/>
      <c r="L69" s="174"/>
      <c r="M69" s="104"/>
    </row>
    <row r="70" spans="1:13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71"/>
      <c r="L70" s="174"/>
      <c r="M70" s="104"/>
    </row>
    <row r="71" spans="1:13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71"/>
      <c r="L71" s="174"/>
      <c r="M71" s="104"/>
    </row>
    <row r="72" spans="1:13">
      <c r="K72" s="175"/>
      <c r="L72" s="176"/>
    </row>
    <row r="73" spans="1:13">
      <c r="K73" s="175"/>
      <c r="L73" s="176"/>
    </row>
    <row r="74" spans="1:13">
      <c r="L74" s="176"/>
    </row>
    <row r="75" spans="1:13">
      <c r="L75" s="176"/>
    </row>
    <row r="76" spans="1:13">
      <c r="L76" s="176"/>
    </row>
    <row r="77" spans="1:13">
      <c r="L77" s="176"/>
    </row>
    <row r="78" spans="1:13">
      <c r="L78" s="176"/>
    </row>
    <row r="79" spans="1:13">
      <c r="L79" s="176"/>
    </row>
    <row r="80" spans="1:13">
      <c r="L80" s="176"/>
    </row>
    <row r="81" spans="12:12">
      <c r="L81" s="176"/>
    </row>
    <row r="82" spans="12:12">
      <c r="L82" s="176"/>
    </row>
    <row r="83" spans="12:12">
      <c r="L83" s="176"/>
    </row>
    <row r="84" spans="12:12">
      <c r="L84" s="176"/>
    </row>
    <row r="85" spans="12:12">
      <c r="L85" s="176"/>
    </row>
    <row r="86" spans="12:12">
      <c r="L86" s="176"/>
    </row>
    <row r="87" spans="12:12">
      <c r="L87" s="176"/>
    </row>
    <row r="88" spans="12:12">
      <c r="L88" s="176"/>
    </row>
    <row r="89" spans="12:12">
      <c r="L89" s="176"/>
    </row>
    <row r="90" spans="12:12">
      <c r="L90" s="176"/>
    </row>
    <row r="91" spans="12:12">
      <c r="L91" s="176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4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93"/>
  <sheetViews>
    <sheetView tabSelected="1" view="pageBreakPreview" zoomScale="70" zoomScaleNormal="90" zoomScaleSheetLayoutView="70" workbookViewId="0">
      <selection activeCell="C43" sqref="C43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277" t="s">
        <v>98</v>
      </c>
      <c r="B2" s="277"/>
      <c r="C2" s="277"/>
      <c r="D2" s="277"/>
      <c r="E2" s="277"/>
      <c r="F2" s="277"/>
      <c r="G2" s="277"/>
      <c r="H2" s="277"/>
      <c r="I2" s="36"/>
      <c r="L2" s="37"/>
      <c r="M2" s="37"/>
      <c r="N2" s="37"/>
    </row>
    <row r="3" spans="1:14" ht="15.5" thickBot="1">
      <c r="A3" s="38"/>
      <c r="B3" s="39"/>
      <c r="C3" s="38"/>
      <c r="D3" s="38"/>
      <c r="E3" s="38"/>
      <c r="F3" s="38"/>
      <c r="G3" s="38"/>
      <c r="H3" s="38"/>
      <c r="I3" s="36"/>
      <c r="L3" s="37"/>
      <c r="M3" s="37"/>
      <c r="N3" s="37"/>
    </row>
    <row r="4" spans="1:14" ht="21.75" customHeight="1" thickBot="1">
      <c r="A4" s="40" t="s">
        <v>36</v>
      </c>
      <c r="B4" s="24" t="s">
        <v>96</v>
      </c>
      <c r="C4" s="40" t="s">
        <v>86</v>
      </c>
      <c r="D4" s="23" t="s">
        <v>87</v>
      </c>
      <c r="E4" s="40" t="s">
        <v>88</v>
      </c>
      <c r="F4" s="278" t="s">
        <v>89</v>
      </c>
      <c r="G4" s="279"/>
      <c r="H4" s="41" t="s">
        <v>90</v>
      </c>
      <c r="I4" s="42" t="s">
        <v>91</v>
      </c>
      <c r="J4" s="43" t="s">
        <v>92</v>
      </c>
      <c r="K4" s="44" t="s">
        <v>93</v>
      </c>
      <c r="L4" s="45" t="s">
        <v>106</v>
      </c>
      <c r="M4" s="45" t="s">
        <v>94</v>
      </c>
      <c r="N4" s="46" t="s">
        <v>95</v>
      </c>
    </row>
    <row r="5" spans="1:14">
      <c r="A5" s="47"/>
      <c r="B5" s="48"/>
      <c r="C5" s="49"/>
      <c r="D5" s="50"/>
      <c r="E5" s="49"/>
      <c r="F5" s="49"/>
      <c r="G5" s="51"/>
      <c r="H5" s="51"/>
      <c r="I5" s="52"/>
      <c r="J5" s="53"/>
      <c r="K5" s="53"/>
      <c r="L5" s="53"/>
      <c r="M5" s="53"/>
      <c r="N5" s="54"/>
    </row>
    <row r="6" spans="1:14">
      <c r="A6" s="55"/>
      <c r="B6" s="56" t="s">
        <v>97</v>
      </c>
      <c r="C6" s="49"/>
      <c r="D6" s="57" t="str">
        <f>[3]invoice!B24</f>
        <v>FABRIC &amp; PARTS FOR WEAR &amp; SAMPLE CLOTHES</v>
      </c>
      <c r="E6" s="51"/>
      <c r="F6" s="51"/>
      <c r="G6" s="58" t="str">
        <f>'[1]shipper master'!C48</f>
        <v>F.O.B. TOKYO IN YEN</v>
      </c>
      <c r="H6" s="51"/>
      <c r="I6" s="59"/>
      <c r="J6" s="60"/>
      <c r="K6" s="60"/>
      <c r="L6" s="60"/>
      <c r="M6" s="60"/>
      <c r="N6" s="61"/>
    </row>
    <row r="7" spans="1:14" ht="15.5" thickBot="1">
      <c r="A7" s="62"/>
      <c r="B7" s="63"/>
      <c r="C7" s="64"/>
      <c r="D7" s="65" t="s">
        <v>107</v>
      </c>
      <c r="E7" s="64"/>
      <c r="F7" s="64"/>
      <c r="G7" s="66"/>
      <c r="H7" s="20"/>
      <c r="I7" s="67"/>
      <c r="J7" s="68"/>
      <c r="K7" s="68"/>
      <c r="L7" s="68"/>
      <c r="M7" s="69"/>
      <c r="N7" s="70"/>
    </row>
    <row r="8" spans="1:14" ht="15.65" customHeight="1">
      <c r="A8" s="280" t="s">
        <v>181</v>
      </c>
      <c r="B8" s="29"/>
      <c r="C8" s="29"/>
      <c r="D8" s="186" t="s">
        <v>175</v>
      </c>
      <c r="E8" s="71"/>
      <c r="F8" s="71"/>
      <c r="G8" s="72"/>
      <c r="H8" s="73"/>
      <c r="I8" s="283" t="s">
        <v>182</v>
      </c>
      <c r="J8" s="265"/>
      <c r="K8" s="73"/>
      <c r="L8" s="73"/>
      <c r="M8" s="73"/>
      <c r="N8" s="302"/>
    </row>
    <row r="9" spans="1:14">
      <c r="A9" s="281"/>
      <c r="B9" s="30" t="s">
        <v>162</v>
      </c>
      <c r="C9" s="192" t="s">
        <v>164</v>
      </c>
      <c r="D9" s="21" t="s">
        <v>145</v>
      </c>
      <c r="E9" s="197">
        <v>106</v>
      </c>
      <c r="F9" s="76" t="s">
        <v>146</v>
      </c>
      <c r="G9" s="193">
        <v>630</v>
      </c>
      <c r="H9" s="194">
        <f>E9*G9</f>
        <v>66780</v>
      </c>
      <c r="I9" s="284"/>
      <c r="J9" s="227"/>
      <c r="K9" s="51"/>
      <c r="L9" s="260"/>
      <c r="M9" s="51"/>
      <c r="N9" s="303"/>
    </row>
    <row r="10" spans="1:14" ht="16.5">
      <c r="A10" s="281"/>
      <c r="B10" s="21" t="s">
        <v>145</v>
      </c>
      <c r="C10" s="74"/>
      <c r="D10" s="224" t="s">
        <v>165</v>
      </c>
      <c r="E10" s="75"/>
      <c r="F10" s="76"/>
      <c r="G10" s="193"/>
      <c r="H10" s="194"/>
      <c r="I10" s="284"/>
      <c r="J10" s="227" t="s">
        <v>184</v>
      </c>
      <c r="K10" s="51"/>
      <c r="L10" s="51"/>
      <c r="M10" s="51"/>
      <c r="N10" s="303"/>
    </row>
    <row r="11" spans="1:14" ht="16.5">
      <c r="A11" s="281"/>
      <c r="B11" s="33" t="s">
        <v>163</v>
      </c>
      <c r="C11" s="74"/>
      <c r="D11" s="32" t="s">
        <v>166</v>
      </c>
      <c r="E11" s="75"/>
      <c r="F11" s="76"/>
      <c r="G11" s="77"/>
      <c r="H11" s="78"/>
      <c r="I11" s="284"/>
      <c r="J11" s="227"/>
      <c r="K11" s="51"/>
      <c r="L11" s="51"/>
      <c r="M11" s="51"/>
      <c r="N11" s="303"/>
    </row>
    <row r="12" spans="1:14" ht="15.5" thickBot="1">
      <c r="A12" s="282"/>
      <c r="B12" s="35" t="s">
        <v>159</v>
      </c>
      <c r="C12" s="79"/>
      <c r="D12" s="34"/>
      <c r="E12" s="80"/>
      <c r="F12" s="190"/>
      <c r="G12" s="81"/>
      <c r="H12" s="82"/>
      <c r="I12" s="285"/>
      <c r="J12" s="304"/>
      <c r="K12" s="19"/>
      <c r="L12" s="19"/>
      <c r="M12" s="19"/>
      <c r="N12" s="305"/>
    </row>
    <row r="13" spans="1:14" ht="15.5" thickBot="1">
      <c r="A13" s="300"/>
      <c r="B13" s="195"/>
      <c r="C13" s="192"/>
      <c r="D13" s="196"/>
      <c r="E13" s="236"/>
      <c r="F13" s="225"/>
      <c r="G13" s="83"/>
      <c r="H13" s="84"/>
      <c r="I13" s="301"/>
      <c r="J13" s="227"/>
      <c r="K13" s="16"/>
      <c r="L13" s="16"/>
      <c r="M13" s="16"/>
      <c r="N13" s="303"/>
    </row>
    <row r="14" spans="1:14" ht="15.65" customHeight="1">
      <c r="A14" s="280" t="s">
        <v>180</v>
      </c>
      <c r="B14" s="29"/>
      <c r="C14" s="29"/>
      <c r="D14" s="186" t="s">
        <v>171</v>
      </c>
      <c r="E14" s="71"/>
      <c r="F14" s="71"/>
      <c r="G14" s="72"/>
      <c r="H14" s="73"/>
      <c r="I14" s="283" t="s">
        <v>183</v>
      </c>
      <c r="J14" s="265"/>
      <c r="K14" s="73"/>
      <c r="L14" s="73"/>
      <c r="M14" s="73"/>
      <c r="N14" s="302"/>
    </row>
    <row r="15" spans="1:14">
      <c r="A15" s="281"/>
      <c r="B15" s="30" t="s">
        <v>167</v>
      </c>
      <c r="C15" s="192" t="s">
        <v>170</v>
      </c>
      <c r="D15" s="21" t="s">
        <v>145</v>
      </c>
      <c r="E15" s="197">
        <v>9</v>
      </c>
      <c r="F15" s="76" t="s">
        <v>146</v>
      </c>
      <c r="G15" s="193">
        <v>1080</v>
      </c>
      <c r="H15" s="194">
        <f>E15*G15</f>
        <v>9720</v>
      </c>
      <c r="I15" s="284"/>
      <c r="J15" s="227"/>
      <c r="K15" s="51"/>
      <c r="L15" s="260"/>
      <c r="M15" s="51"/>
      <c r="N15" s="303"/>
    </row>
    <row r="16" spans="1:14" ht="16.5">
      <c r="A16" s="281"/>
      <c r="B16" s="21" t="s">
        <v>145</v>
      </c>
      <c r="C16" s="74"/>
      <c r="D16" s="224" t="s">
        <v>172</v>
      </c>
      <c r="E16" s="75"/>
      <c r="F16" s="76"/>
      <c r="G16" s="77"/>
      <c r="H16" s="78"/>
      <c r="I16" s="284"/>
      <c r="J16" s="227"/>
      <c r="K16" s="51"/>
      <c r="L16" s="51"/>
      <c r="M16" s="51"/>
      <c r="N16" s="303"/>
    </row>
    <row r="17" spans="1:14" ht="16.5">
      <c r="A17" s="281"/>
      <c r="B17" s="33" t="s">
        <v>168</v>
      </c>
      <c r="C17" s="74"/>
      <c r="D17" s="32" t="s">
        <v>173</v>
      </c>
      <c r="E17" s="75"/>
      <c r="F17" s="76"/>
      <c r="G17" s="77"/>
      <c r="H17" s="78"/>
      <c r="I17" s="284"/>
      <c r="J17" s="227"/>
      <c r="K17" s="51"/>
      <c r="L17" s="51"/>
      <c r="M17" s="51"/>
      <c r="N17" s="303"/>
    </row>
    <row r="18" spans="1:14" ht="15.5" thickBot="1">
      <c r="A18" s="281"/>
      <c r="B18" s="35" t="s">
        <v>169</v>
      </c>
      <c r="C18" s="79"/>
      <c r="D18" s="34"/>
      <c r="E18" s="80"/>
      <c r="F18" s="190"/>
      <c r="G18" s="81"/>
      <c r="H18" s="82"/>
      <c r="I18" s="284"/>
      <c r="J18" s="227"/>
      <c r="K18" s="51"/>
      <c r="L18" s="51"/>
      <c r="M18" s="51"/>
      <c r="N18" s="303"/>
    </row>
    <row r="19" spans="1:14" ht="15.5" thickBot="1">
      <c r="A19" s="281"/>
      <c r="B19" s="238"/>
      <c r="C19" s="192"/>
      <c r="D19" s="237"/>
      <c r="E19" s="197"/>
      <c r="F19" s="76"/>
      <c r="G19" s="193"/>
      <c r="H19" s="194"/>
      <c r="I19" s="284"/>
      <c r="J19" s="227"/>
      <c r="K19" s="51"/>
      <c r="L19" s="51"/>
      <c r="M19" s="51"/>
      <c r="N19" s="199"/>
    </row>
    <row r="20" spans="1:14" ht="15.65" customHeight="1">
      <c r="A20" s="281"/>
      <c r="B20" s="306"/>
      <c r="C20" s="29"/>
      <c r="D20" s="186" t="s">
        <v>171</v>
      </c>
      <c r="E20" s="71"/>
      <c r="F20" s="71"/>
      <c r="G20" s="72"/>
      <c r="H20" s="73"/>
      <c r="I20" s="284"/>
      <c r="J20" s="227"/>
      <c r="K20" s="51"/>
      <c r="L20" s="51"/>
      <c r="M20" s="51"/>
      <c r="N20" s="303"/>
    </row>
    <row r="21" spans="1:14">
      <c r="A21" s="281"/>
      <c r="B21" s="307" t="s">
        <v>186</v>
      </c>
      <c r="C21" s="74" t="s">
        <v>187</v>
      </c>
      <c r="D21" s="31" t="s">
        <v>145</v>
      </c>
      <c r="E21" s="197">
        <v>250</v>
      </c>
      <c r="F21" s="76" t="s">
        <v>85</v>
      </c>
      <c r="G21" s="193">
        <v>1000</v>
      </c>
      <c r="H21" s="78">
        <f>E21*G21</f>
        <v>250000</v>
      </c>
      <c r="I21" s="284"/>
      <c r="J21" s="227"/>
      <c r="K21" s="51"/>
      <c r="L21" s="51"/>
      <c r="M21" s="51"/>
      <c r="N21" s="303"/>
    </row>
    <row r="22" spans="1:14" ht="16.5">
      <c r="A22" s="281"/>
      <c r="B22" s="308" t="s">
        <v>188</v>
      </c>
      <c r="C22" s="74"/>
      <c r="D22" s="31" t="s">
        <v>189</v>
      </c>
      <c r="E22" s="75"/>
      <c r="F22" s="76"/>
      <c r="G22" s="77"/>
      <c r="H22" s="78"/>
      <c r="I22" s="284"/>
      <c r="J22" s="227"/>
      <c r="K22" s="51"/>
      <c r="L22" s="51"/>
      <c r="M22" s="51"/>
      <c r="N22" s="303"/>
    </row>
    <row r="23" spans="1:14" ht="15.5" customHeight="1">
      <c r="A23" s="281"/>
      <c r="B23" s="309" t="s">
        <v>190</v>
      </c>
      <c r="C23" s="74"/>
      <c r="D23" s="32"/>
      <c r="E23" s="75"/>
      <c r="F23" s="76"/>
      <c r="G23" s="77"/>
      <c r="H23" s="78"/>
      <c r="I23" s="284"/>
      <c r="J23" s="227"/>
      <c r="K23" s="51"/>
      <c r="L23" s="51"/>
      <c r="M23" s="51"/>
      <c r="N23" s="303"/>
    </row>
    <row r="24" spans="1:14" ht="15.5" thickBot="1">
      <c r="A24" s="281"/>
      <c r="B24" s="310" t="s">
        <v>189</v>
      </c>
      <c r="C24" s="79"/>
      <c r="D24" s="34"/>
      <c r="E24" s="80"/>
      <c r="F24" s="80"/>
      <c r="G24" s="81"/>
      <c r="H24" s="82"/>
      <c r="I24" s="284"/>
      <c r="J24" s="227" t="s">
        <v>185</v>
      </c>
      <c r="K24" s="51"/>
      <c r="L24" s="51"/>
      <c r="M24" s="51"/>
      <c r="N24" s="303"/>
    </row>
    <row r="25" spans="1:14" ht="15.5" thickBot="1">
      <c r="A25" s="281"/>
      <c r="B25" s="238"/>
      <c r="C25" s="192"/>
      <c r="D25" s="237"/>
      <c r="E25" s="197"/>
      <c r="F25" s="76"/>
      <c r="G25" s="193"/>
      <c r="H25" s="194"/>
      <c r="I25" s="284"/>
      <c r="J25" s="227"/>
      <c r="K25" s="51"/>
      <c r="L25" s="51"/>
      <c r="M25" s="51"/>
      <c r="N25" s="199"/>
    </row>
    <row r="26" spans="1:14" ht="15.65" customHeight="1">
      <c r="A26" s="281"/>
      <c r="B26" s="287"/>
      <c r="C26" s="288"/>
      <c r="D26" s="186" t="s">
        <v>191</v>
      </c>
      <c r="E26" s="71"/>
      <c r="F26" s="71"/>
      <c r="G26" s="72"/>
      <c r="H26" s="73"/>
      <c r="I26" s="284"/>
      <c r="J26" s="248"/>
      <c r="K26" s="51"/>
      <c r="L26" s="51"/>
      <c r="M26" s="51"/>
      <c r="N26" s="303"/>
    </row>
    <row r="27" spans="1:14" ht="15.65" customHeight="1">
      <c r="A27" s="281"/>
      <c r="B27" s="289" t="s">
        <v>193</v>
      </c>
      <c r="C27" s="290" t="s">
        <v>192</v>
      </c>
      <c r="D27" s="291" t="s">
        <v>194</v>
      </c>
      <c r="E27" s="292"/>
      <c r="F27" s="293"/>
      <c r="G27" s="294"/>
      <c r="H27" s="16"/>
      <c r="I27" s="284"/>
      <c r="J27" s="248"/>
      <c r="K27" s="51"/>
      <c r="L27" s="51"/>
      <c r="M27" s="51"/>
      <c r="N27" s="303"/>
    </row>
    <row r="28" spans="1:14" ht="15.65" customHeight="1">
      <c r="A28" s="281"/>
      <c r="B28" s="289"/>
      <c r="C28" s="290"/>
      <c r="D28" s="291" t="s">
        <v>195</v>
      </c>
      <c r="E28" s="292">
        <v>56</v>
      </c>
      <c r="F28" s="85" t="s">
        <v>85</v>
      </c>
      <c r="G28" s="78">
        <v>170</v>
      </c>
      <c r="H28" s="78">
        <f>E28*G28</f>
        <v>9520</v>
      </c>
      <c r="I28" s="284"/>
      <c r="J28" s="248"/>
      <c r="K28" s="51"/>
      <c r="L28" s="51"/>
      <c r="M28" s="51"/>
      <c r="N28" s="303"/>
    </row>
    <row r="29" spans="1:14" ht="15.65" customHeight="1">
      <c r="A29" s="281"/>
      <c r="B29" s="289" t="s">
        <v>196</v>
      </c>
      <c r="C29" s="290" t="s">
        <v>197</v>
      </c>
      <c r="D29" s="291"/>
      <c r="E29" s="292">
        <v>7</v>
      </c>
      <c r="F29" s="85" t="s">
        <v>85</v>
      </c>
      <c r="G29" s="78">
        <v>113</v>
      </c>
      <c r="H29" s="78">
        <f>E29*G29</f>
        <v>791</v>
      </c>
      <c r="I29" s="284"/>
      <c r="J29" s="248"/>
      <c r="K29" s="51"/>
      <c r="L29" s="51"/>
      <c r="M29" s="51"/>
      <c r="N29" s="303"/>
    </row>
    <row r="30" spans="1:14" ht="15.65" customHeight="1">
      <c r="A30" s="281"/>
      <c r="B30" s="289" t="s">
        <v>198</v>
      </c>
      <c r="C30" s="290" t="s">
        <v>199</v>
      </c>
      <c r="D30" s="291"/>
      <c r="E30" s="292">
        <v>7</v>
      </c>
      <c r="F30" s="85" t="s">
        <v>85</v>
      </c>
      <c r="G30" s="78">
        <v>45</v>
      </c>
      <c r="H30" s="78">
        <f>E30*G30</f>
        <v>315</v>
      </c>
      <c r="I30" s="284"/>
      <c r="J30" s="248"/>
      <c r="K30" s="51"/>
      <c r="L30" s="51"/>
      <c r="M30" s="51"/>
      <c r="N30" s="303"/>
    </row>
    <row r="31" spans="1:14" ht="15.5" thickBot="1">
      <c r="A31" s="281"/>
      <c r="B31" s="195" t="s">
        <v>200</v>
      </c>
      <c r="C31" s="192" t="s">
        <v>201</v>
      </c>
      <c r="D31" s="196"/>
      <c r="E31" s="292">
        <v>7</v>
      </c>
      <c r="F31" s="85" t="s">
        <v>85</v>
      </c>
      <c r="G31" s="78">
        <v>120</v>
      </c>
      <c r="H31" s="78">
        <f>E31*G31</f>
        <v>840</v>
      </c>
      <c r="I31" s="284"/>
      <c r="J31" s="227"/>
      <c r="K31" s="51"/>
      <c r="L31" s="51"/>
      <c r="M31" s="51"/>
      <c r="N31" s="303"/>
    </row>
    <row r="32" spans="1:14" ht="15.65" customHeight="1">
      <c r="A32" s="281"/>
      <c r="B32" s="287"/>
      <c r="C32" s="288"/>
      <c r="D32" s="186" t="s">
        <v>175</v>
      </c>
      <c r="E32" s="71"/>
      <c r="F32" s="71"/>
      <c r="G32" s="72"/>
      <c r="H32" s="73"/>
      <c r="I32" s="284"/>
      <c r="J32" s="248"/>
      <c r="K32" s="51"/>
      <c r="L32" s="51"/>
      <c r="M32" s="51"/>
      <c r="N32" s="303"/>
    </row>
    <row r="33" spans="1:14" ht="15.65" customHeight="1">
      <c r="A33" s="281"/>
      <c r="B33" s="289">
        <v>520</v>
      </c>
      <c r="C33" s="290" t="s">
        <v>174</v>
      </c>
      <c r="D33" s="291" t="s">
        <v>176</v>
      </c>
      <c r="E33" s="197">
        <v>70</v>
      </c>
      <c r="F33" s="76" t="s">
        <v>146</v>
      </c>
      <c r="G33" s="193">
        <v>70</v>
      </c>
      <c r="H33" s="194">
        <f>E33*G33</f>
        <v>4900</v>
      </c>
      <c r="I33" s="284"/>
      <c r="J33" s="248"/>
      <c r="K33" s="51"/>
      <c r="L33" s="51"/>
      <c r="M33" s="51"/>
      <c r="N33" s="303"/>
    </row>
    <row r="34" spans="1:14" ht="15.65" customHeight="1">
      <c r="A34" s="281"/>
      <c r="B34" s="289"/>
      <c r="C34" s="290"/>
      <c r="D34" s="291"/>
      <c r="E34" s="292"/>
      <c r="F34" s="85"/>
      <c r="G34" s="78"/>
      <c r="H34" s="78"/>
      <c r="I34" s="284"/>
      <c r="J34" s="248"/>
      <c r="K34" s="51"/>
      <c r="L34" s="51"/>
      <c r="M34" s="51"/>
      <c r="N34" s="303"/>
    </row>
    <row r="35" spans="1:14" ht="15.65" customHeight="1">
      <c r="A35" s="281"/>
      <c r="B35" s="289" t="s">
        <v>177</v>
      </c>
      <c r="C35" s="290" t="s">
        <v>178</v>
      </c>
      <c r="D35" s="291" t="s">
        <v>179</v>
      </c>
      <c r="E35" s="292">
        <v>90</v>
      </c>
      <c r="F35" s="85" t="s">
        <v>85</v>
      </c>
      <c r="G35" s="78">
        <v>90</v>
      </c>
      <c r="H35" s="78">
        <f>E35*G35</f>
        <v>8100</v>
      </c>
      <c r="I35" s="284"/>
      <c r="J35" s="248"/>
      <c r="K35" s="51"/>
      <c r="L35" s="51"/>
      <c r="M35" s="51"/>
      <c r="N35" s="303"/>
    </row>
    <row r="36" spans="1:14" ht="15.65" customHeight="1" thickBot="1">
      <c r="A36" s="281"/>
      <c r="B36" s="295"/>
      <c r="C36" s="296"/>
      <c r="D36" s="298"/>
      <c r="E36" s="297"/>
      <c r="F36" s="299"/>
      <c r="G36" s="82"/>
      <c r="H36" s="82"/>
      <c r="I36" s="284"/>
      <c r="J36" s="248"/>
      <c r="K36" s="51"/>
      <c r="L36" s="51"/>
      <c r="M36" s="51"/>
      <c r="N36" s="303"/>
    </row>
    <row r="37" spans="1:14" ht="18.5" customHeight="1" thickBot="1">
      <c r="A37" s="282"/>
      <c r="B37" s="311" t="s">
        <v>202</v>
      </c>
      <c r="C37" s="252"/>
      <c r="D37" s="253" t="s">
        <v>203</v>
      </c>
      <c r="E37" s="254">
        <v>1</v>
      </c>
      <c r="F37" s="255" t="s">
        <v>85</v>
      </c>
      <c r="G37" s="256">
        <v>4000</v>
      </c>
      <c r="H37" s="256">
        <f>E37*G37</f>
        <v>4000</v>
      </c>
      <c r="I37" s="285"/>
      <c r="J37" s="259"/>
      <c r="K37" s="312"/>
      <c r="L37" s="313"/>
      <c r="M37" s="312"/>
      <c r="N37" s="305"/>
    </row>
    <row r="38" spans="1:14" ht="15.5" thickBot="1">
      <c r="A38" s="226"/>
      <c r="B38" s="251"/>
      <c r="C38" s="249"/>
      <c r="D38" s="250"/>
      <c r="E38" s="236"/>
      <c r="F38" s="225"/>
      <c r="G38" s="83"/>
      <c r="H38" s="84"/>
      <c r="I38" s="198"/>
      <c r="J38" s="227"/>
      <c r="K38" s="16"/>
      <c r="L38" s="16"/>
      <c r="M38" s="16"/>
      <c r="N38" s="199"/>
    </row>
    <row r="39" spans="1:14">
      <c r="A39" s="234"/>
      <c r="B39" s="228"/>
      <c r="C39" s="241"/>
      <c r="D39" s="229"/>
      <c r="E39" s="235">
        <f>SUMIF($F$8:$F$38,"M.",$E$8:$E$38)</f>
        <v>185</v>
      </c>
      <c r="F39" s="187" t="s">
        <v>146</v>
      </c>
      <c r="G39" s="233"/>
      <c r="H39" s="239">
        <f>SUMIF($F$8:$F$38,"M.",$H$8:$H$38)</f>
        <v>81400</v>
      </c>
      <c r="I39" s="87"/>
      <c r="J39" s="88"/>
      <c r="K39" s="89"/>
      <c r="L39" s="89"/>
      <c r="M39" s="89"/>
      <c r="N39" s="90"/>
    </row>
    <row r="40" spans="1:14">
      <c r="A40" s="51"/>
      <c r="B40" s="21"/>
      <c r="C40" s="51"/>
      <c r="D40" s="91"/>
      <c r="E40" s="86">
        <f>SUMIF($F$8:$F$38,"PCS.",$E$8:$E$38)</f>
        <v>418</v>
      </c>
      <c r="F40" s="85" t="s">
        <v>85</v>
      </c>
      <c r="G40" s="51"/>
      <c r="H40" s="240">
        <f>SUMIF($F$8:$F$38,"PCS.",$H$8:$H$38)</f>
        <v>273566</v>
      </c>
      <c r="I40" s="51"/>
      <c r="J40" s="92"/>
      <c r="K40" s="51"/>
      <c r="L40" s="51"/>
      <c r="M40" s="51"/>
      <c r="N40" s="93"/>
    </row>
    <row r="41" spans="1:14" ht="14" customHeight="1" thickBot="1">
      <c r="A41" s="242"/>
      <c r="B41" s="243" t="s">
        <v>143</v>
      </c>
      <c r="C41" s="244" t="s">
        <v>209</v>
      </c>
      <c r="D41" s="245"/>
      <c r="E41" s="243"/>
      <c r="F41" s="246"/>
      <c r="G41" s="19" t="s">
        <v>156</v>
      </c>
      <c r="H41" s="247">
        <f>SUM(H8:H38)</f>
        <v>354966</v>
      </c>
      <c r="I41" s="223"/>
      <c r="J41" s="257"/>
      <c r="K41" s="230"/>
      <c r="L41" s="231"/>
      <c r="M41" s="222"/>
      <c r="N41" s="232"/>
    </row>
    <row r="45" spans="1:14">
      <c r="C45" s="3"/>
    </row>
    <row r="46" spans="1:14">
      <c r="C46" s="3"/>
    </row>
    <row r="93" spans="1:1">
      <c r="A93" s="7" t="s">
        <v>99</v>
      </c>
    </row>
  </sheetData>
  <mergeCells count="6">
    <mergeCell ref="A2:H2"/>
    <mergeCell ref="F4:G4"/>
    <mergeCell ref="A8:A12"/>
    <mergeCell ref="I8:I12"/>
    <mergeCell ref="A14:A37"/>
    <mergeCell ref="I14:I37"/>
  </mergeCells>
  <phoneticPr fontId="14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H5" sqref="H5"/>
    </sheetView>
  </sheetViews>
  <sheetFormatPr defaultRowHeight="31.5"/>
  <cols>
    <col min="1" max="1" width="14.453125" customWidth="1"/>
    <col min="2" max="2" width="40.90625" style="204" customWidth="1"/>
    <col min="3" max="3" width="41.36328125" style="205" customWidth="1"/>
    <col min="4" max="4" width="49.453125" style="205" customWidth="1"/>
    <col min="5" max="5" width="42.08984375" style="205" customWidth="1"/>
    <col min="6" max="6" width="38.1796875" style="207" customWidth="1"/>
    <col min="7" max="7" width="139.36328125" style="207" customWidth="1"/>
    <col min="8" max="8" width="34.90625" style="208" customWidth="1"/>
    <col min="9" max="9" width="34.90625" style="209" customWidth="1"/>
    <col min="10" max="16" width="34.90625" customWidth="1"/>
  </cols>
  <sheetData>
    <row r="1" spans="1:9">
      <c r="D1" s="206" t="s">
        <v>148</v>
      </c>
    </row>
    <row r="2" spans="1:9" s="214" customFormat="1" ht="88.4" customHeight="1" thickBot="1">
      <c r="A2" s="210"/>
      <c r="B2" s="211" t="s">
        <v>149</v>
      </c>
      <c r="C2" s="212" t="s">
        <v>150</v>
      </c>
      <c r="D2" s="212" t="s">
        <v>160</v>
      </c>
      <c r="E2" s="212" t="s">
        <v>151</v>
      </c>
      <c r="F2" s="213" t="s">
        <v>152</v>
      </c>
      <c r="G2" s="213" t="s">
        <v>153</v>
      </c>
      <c r="H2" s="212" t="s">
        <v>154</v>
      </c>
      <c r="I2" s="213" t="s">
        <v>155</v>
      </c>
    </row>
    <row r="3" spans="1:9" ht="352" customHeight="1" thickBot="1">
      <c r="A3" s="215"/>
      <c r="B3" s="216" t="s">
        <v>204</v>
      </c>
      <c r="C3" s="217" t="s">
        <v>205</v>
      </c>
      <c r="D3" s="218" t="s">
        <v>206</v>
      </c>
      <c r="E3" s="219" t="s">
        <v>158</v>
      </c>
      <c r="F3" s="220" t="s">
        <v>207</v>
      </c>
      <c r="G3" s="220"/>
      <c r="H3" s="220" t="s">
        <v>161</v>
      </c>
      <c r="I3" s="316">
        <v>3</v>
      </c>
    </row>
    <row r="4" spans="1:9" ht="409.6" customHeight="1" thickBot="1">
      <c r="A4" s="215"/>
      <c r="B4" s="216"/>
      <c r="C4" s="217"/>
      <c r="D4" s="218"/>
      <c r="E4" s="219"/>
      <c r="F4" s="220"/>
      <c r="G4" s="220"/>
      <c r="H4" s="220"/>
      <c r="I4" s="314"/>
    </row>
    <row r="5" spans="1:9" ht="286" customHeight="1" thickBot="1">
      <c r="A5" s="215"/>
      <c r="B5" s="216"/>
      <c r="C5" s="217"/>
      <c r="D5" s="218"/>
      <c r="E5" s="219"/>
      <c r="F5" s="220"/>
      <c r="G5" s="220"/>
      <c r="H5" s="220"/>
      <c r="I5" s="315"/>
    </row>
    <row r="6" spans="1:9" ht="194.9" customHeight="1" thickBot="1">
      <c r="A6" s="215"/>
      <c r="B6" s="216"/>
      <c r="C6" s="217"/>
      <c r="D6" s="218"/>
      <c r="E6" s="219"/>
      <c r="F6" s="220"/>
      <c r="G6" s="220"/>
      <c r="H6" s="220"/>
      <c r="I6" s="221"/>
    </row>
    <row r="7" spans="1:9" ht="194.9" customHeight="1" thickBot="1">
      <c r="A7" s="215"/>
      <c r="B7" s="216"/>
      <c r="C7" s="217"/>
      <c r="D7" s="218"/>
      <c r="E7" s="219"/>
      <c r="F7" s="220"/>
      <c r="G7" s="220"/>
      <c r="H7" s="220"/>
      <c r="I7" s="221"/>
    </row>
    <row r="8" spans="1:9" ht="194.9" customHeight="1">
      <c r="A8" s="215"/>
      <c r="B8" s="216"/>
      <c r="C8" s="217"/>
      <c r="D8" s="218"/>
      <c r="E8" s="219"/>
      <c r="F8" s="220"/>
      <c r="G8" s="220"/>
      <c r="H8" s="220"/>
      <c r="I8" s="221"/>
    </row>
    <row r="9" spans="1:9" ht="134.15" customHeight="1"/>
    <row r="10" spans="1:9" ht="134.15" customHeight="1"/>
  </sheetData>
  <phoneticPr fontId="14"/>
  <pageMargins left="0.51181102362204722" right="0" top="0.74803149606299213" bottom="0.74803149606299213" header="0.31496062992125984" footer="0.31496062992125984"/>
  <pageSetup paperSize="9" scale="22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66"/>
  <sheetViews>
    <sheetView view="pageBreakPreview" zoomScale="70" zoomScaleNormal="70" zoomScaleSheetLayoutView="70" workbookViewId="0">
      <selection activeCell="J32" sqref="J32"/>
    </sheetView>
  </sheetViews>
  <sheetFormatPr defaultRowHeight="15"/>
  <cols>
    <col min="1" max="1" width="7.90625" customWidth="1"/>
    <col min="2" max="2" width="38.08984375" style="177" customWidth="1"/>
    <col min="3" max="3" width="81.6328125" customWidth="1"/>
    <col min="4" max="4" width="23.6328125" customWidth="1"/>
  </cols>
  <sheetData>
    <row r="1" spans="1:4" ht="17.5" customHeight="1">
      <c r="A1" s="145"/>
    </row>
    <row r="2" spans="1:4" ht="15" customHeight="1">
      <c r="A2" s="286" t="s">
        <v>140</v>
      </c>
      <c r="B2" s="286"/>
      <c r="C2" s="178"/>
    </row>
    <row r="3" spans="1:4" ht="15.65" customHeight="1" thickBot="1">
      <c r="A3" s="179"/>
      <c r="B3" s="180"/>
      <c r="C3" s="179"/>
    </row>
    <row r="4" spans="1:4" ht="21.75" customHeight="1" thickBot="1">
      <c r="A4" s="181" t="s">
        <v>36</v>
      </c>
      <c r="B4" s="24" t="s">
        <v>96</v>
      </c>
      <c r="C4" s="23" t="s">
        <v>87</v>
      </c>
      <c r="D4" s="182" t="s">
        <v>141</v>
      </c>
    </row>
    <row r="5" spans="1:4" ht="16" customHeight="1">
      <c r="A5" s="280" t="s">
        <v>181</v>
      </c>
      <c r="B5" s="29"/>
      <c r="C5" s="186" t="s">
        <v>175</v>
      </c>
      <c r="D5" s="261"/>
    </row>
    <row r="6" spans="1:4" ht="16" customHeight="1">
      <c r="A6" s="281"/>
      <c r="B6" s="30" t="s">
        <v>162</v>
      </c>
      <c r="C6" s="21" t="s">
        <v>145</v>
      </c>
      <c r="D6" s="262"/>
    </row>
    <row r="7" spans="1:4" ht="16" customHeight="1">
      <c r="A7" s="281"/>
      <c r="B7" s="21" t="s">
        <v>145</v>
      </c>
      <c r="C7" s="224" t="s">
        <v>165</v>
      </c>
      <c r="D7" s="262"/>
    </row>
    <row r="8" spans="1:4" ht="16" customHeight="1">
      <c r="A8" s="281"/>
      <c r="B8" s="33" t="s">
        <v>163</v>
      </c>
      <c r="C8" s="32" t="s">
        <v>166</v>
      </c>
      <c r="D8" s="262"/>
    </row>
    <row r="9" spans="1:4" ht="16" customHeight="1" thickBot="1">
      <c r="A9" s="282"/>
      <c r="B9" s="35" t="s">
        <v>159</v>
      </c>
      <c r="C9" s="34"/>
      <c r="D9" s="266"/>
    </row>
    <row r="10" spans="1:4" ht="15" customHeight="1" thickBot="1">
      <c r="A10" s="300"/>
      <c r="B10" s="195"/>
      <c r="C10" s="196"/>
      <c r="D10" s="317"/>
    </row>
    <row r="11" spans="1:4" ht="15.5" customHeight="1">
      <c r="A11" s="280" t="s">
        <v>180</v>
      </c>
      <c r="B11" s="29"/>
      <c r="C11" s="186" t="s">
        <v>171</v>
      </c>
      <c r="D11" s="267"/>
    </row>
    <row r="12" spans="1:4" ht="17" customHeight="1">
      <c r="A12" s="281"/>
      <c r="B12" s="30" t="s">
        <v>167</v>
      </c>
      <c r="C12" s="21" t="s">
        <v>145</v>
      </c>
      <c r="D12" s="264"/>
    </row>
    <row r="13" spans="1:4" ht="16.399999999999999" customHeight="1">
      <c r="A13" s="281"/>
      <c r="B13" s="21" t="s">
        <v>145</v>
      </c>
      <c r="C13" s="224" t="s">
        <v>172</v>
      </c>
      <c r="D13" s="262"/>
    </row>
    <row r="14" spans="1:4" ht="15" customHeight="1">
      <c r="A14" s="281"/>
      <c r="B14" s="33" t="s">
        <v>168</v>
      </c>
      <c r="C14" s="32" t="s">
        <v>173</v>
      </c>
      <c r="D14" s="262"/>
    </row>
    <row r="15" spans="1:4" ht="15" customHeight="1" thickBot="1">
      <c r="A15" s="281"/>
      <c r="B15" s="35" t="s">
        <v>169</v>
      </c>
      <c r="C15" s="34"/>
      <c r="D15" s="262"/>
    </row>
    <row r="16" spans="1:4" ht="15" customHeight="1" thickBot="1">
      <c r="A16" s="281"/>
      <c r="B16" s="238"/>
      <c r="C16" s="237"/>
      <c r="D16" s="263"/>
    </row>
    <row r="17" spans="1:4" ht="18.5" customHeight="1">
      <c r="A17" s="281"/>
      <c r="B17" s="306"/>
      <c r="C17" s="186" t="s">
        <v>171</v>
      </c>
      <c r="D17" s="267"/>
    </row>
    <row r="18" spans="1:4" ht="17" customHeight="1">
      <c r="A18" s="281"/>
      <c r="B18" s="307" t="s">
        <v>186</v>
      </c>
      <c r="C18" s="31" t="s">
        <v>145</v>
      </c>
      <c r="D18" s="264"/>
    </row>
    <row r="19" spans="1:4" ht="16.399999999999999" customHeight="1">
      <c r="A19" s="281"/>
      <c r="B19" s="308" t="s">
        <v>188</v>
      </c>
      <c r="C19" s="31" t="s">
        <v>189</v>
      </c>
      <c r="D19" s="262"/>
    </row>
    <row r="20" spans="1:4" ht="15" customHeight="1">
      <c r="A20" s="281"/>
      <c r="B20" s="309" t="s">
        <v>190</v>
      </c>
      <c r="C20" s="32"/>
      <c r="D20" s="262"/>
    </row>
    <row r="21" spans="1:4" ht="15" customHeight="1" thickBot="1">
      <c r="A21" s="281"/>
      <c r="B21" s="310" t="s">
        <v>189</v>
      </c>
      <c r="C21" s="34"/>
      <c r="D21" s="262"/>
    </row>
    <row r="22" spans="1:4" ht="16.5" customHeight="1" thickBot="1">
      <c r="A22" s="281"/>
      <c r="B22" s="238"/>
      <c r="C22" s="237"/>
      <c r="D22" s="262" t="s">
        <v>65</v>
      </c>
    </row>
    <row r="23" spans="1:4" ht="16.5" customHeight="1">
      <c r="A23" s="281"/>
      <c r="B23" s="287"/>
      <c r="C23" s="186" t="s">
        <v>191</v>
      </c>
      <c r="D23" s="262"/>
    </row>
    <row r="24" spans="1:4" ht="16.5" customHeight="1">
      <c r="A24" s="281"/>
      <c r="B24" s="289" t="s">
        <v>193</v>
      </c>
      <c r="C24" s="291" t="s">
        <v>194</v>
      </c>
      <c r="D24" s="262"/>
    </row>
    <row r="25" spans="1:4" ht="16.5" customHeight="1">
      <c r="A25" s="281"/>
      <c r="B25" s="289"/>
      <c r="C25" s="291" t="s">
        <v>195</v>
      </c>
      <c r="D25" s="262"/>
    </row>
    <row r="26" spans="1:4" ht="16.399999999999999" customHeight="1">
      <c r="A26" s="281"/>
      <c r="B26" s="289" t="s">
        <v>196</v>
      </c>
      <c r="C26" s="291"/>
      <c r="D26" s="262"/>
    </row>
    <row r="27" spans="1:4" ht="15" customHeight="1">
      <c r="A27" s="281"/>
      <c r="B27" s="289" t="s">
        <v>198</v>
      </c>
      <c r="C27" s="291"/>
      <c r="D27" s="262"/>
    </row>
    <row r="28" spans="1:4" ht="15" customHeight="1" thickBot="1">
      <c r="A28" s="281"/>
      <c r="B28" s="195" t="s">
        <v>200</v>
      </c>
      <c r="C28" s="196"/>
      <c r="D28" s="262"/>
    </row>
    <row r="29" spans="1:4" ht="15" customHeight="1">
      <c r="A29" s="281"/>
      <c r="B29" s="287"/>
      <c r="C29" s="186" t="s">
        <v>175</v>
      </c>
      <c r="D29" s="183"/>
    </row>
    <row r="30" spans="1:4" ht="21.75" customHeight="1">
      <c r="A30" s="281"/>
      <c r="B30" s="289">
        <v>520</v>
      </c>
      <c r="C30" s="291" t="s">
        <v>176</v>
      </c>
      <c r="D30" s="267"/>
    </row>
    <row r="31" spans="1:4" ht="16.5" customHeight="1">
      <c r="A31" s="281"/>
      <c r="B31" s="289"/>
      <c r="C31" s="291"/>
      <c r="D31" s="262"/>
    </row>
    <row r="32" spans="1:4" ht="16.399999999999999" customHeight="1">
      <c r="A32" s="281"/>
      <c r="B32" s="289" t="s">
        <v>177</v>
      </c>
      <c r="C32" s="291" t="s">
        <v>179</v>
      </c>
      <c r="D32" s="262"/>
    </row>
    <row r="33" spans="1:4" ht="15" customHeight="1" thickBot="1">
      <c r="A33" s="281"/>
      <c r="B33" s="295"/>
      <c r="C33" s="298"/>
      <c r="D33" s="262"/>
    </row>
    <row r="34" spans="1:4" ht="15" customHeight="1" thickBot="1">
      <c r="A34" s="282"/>
      <c r="B34" s="311" t="s">
        <v>202</v>
      </c>
      <c r="C34" s="253" t="s">
        <v>203</v>
      </c>
      <c r="D34" s="266"/>
    </row>
    <row r="35" spans="1:4" ht="15" customHeight="1">
      <c r="A35" s="184"/>
      <c r="B35" s="184"/>
      <c r="C35" s="184"/>
      <c r="D35" s="184"/>
    </row>
    <row r="36" spans="1:4" ht="15" customHeight="1">
      <c r="A36" s="184"/>
      <c r="B36" s="184"/>
      <c r="C36" s="184"/>
      <c r="D36" s="184"/>
    </row>
    <row r="37" spans="1:4" ht="15" customHeight="1">
      <c r="A37" s="184"/>
      <c r="B37" s="184"/>
      <c r="C37" s="184"/>
      <c r="D37" s="184"/>
    </row>
    <row r="38" spans="1:4" ht="15" customHeight="1">
      <c r="A38" s="184"/>
      <c r="B38" s="184"/>
      <c r="C38" s="184"/>
      <c r="D38" s="184"/>
    </row>
    <row r="39" spans="1:4" ht="15" customHeight="1">
      <c r="A39" s="184"/>
      <c r="B39" s="184"/>
      <c r="C39" s="184"/>
      <c r="D39" s="184"/>
    </row>
    <row r="40" spans="1:4" ht="15.65" customHeight="1">
      <c r="A40" s="184"/>
      <c r="B40" s="184"/>
      <c r="C40" s="184"/>
      <c r="D40" s="184"/>
    </row>
    <row r="41" spans="1:4" ht="15" customHeight="1">
      <c r="A41" s="184"/>
      <c r="B41" s="184"/>
      <c r="C41" s="184"/>
      <c r="D41" s="184"/>
    </row>
    <row r="42" spans="1:4" ht="15" customHeight="1">
      <c r="A42" s="184"/>
      <c r="B42" s="184"/>
      <c r="C42" s="184"/>
      <c r="D42" s="184"/>
    </row>
    <row r="43" spans="1:4" ht="15" customHeight="1">
      <c r="A43" s="184"/>
      <c r="B43" s="184"/>
      <c r="C43" s="184"/>
      <c r="D43" s="184"/>
    </row>
    <row r="44" spans="1:4" ht="15" customHeight="1">
      <c r="A44" s="184"/>
      <c r="B44" s="184"/>
      <c r="C44" s="184"/>
      <c r="D44" s="184"/>
    </row>
    <row r="45" spans="1:4" ht="15" customHeight="1">
      <c r="A45" s="184"/>
      <c r="B45" s="184"/>
      <c r="C45" s="184"/>
      <c r="D45" s="184"/>
    </row>
    <row r="46" spans="1:4" ht="15" customHeight="1">
      <c r="A46" s="184"/>
      <c r="B46" s="184"/>
      <c r="C46" s="184"/>
      <c r="D46" s="184"/>
    </row>
    <row r="47" spans="1:4" ht="15" customHeight="1">
      <c r="A47" s="184"/>
      <c r="B47" s="184"/>
      <c r="C47" s="184"/>
      <c r="D47" s="184"/>
    </row>
    <row r="48" spans="1:4" ht="15" customHeight="1">
      <c r="A48" s="184"/>
      <c r="B48" s="184"/>
      <c r="C48" s="184"/>
      <c r="D48" s="184"/>
    </row>
    <row r="49" spans="1:4" ht="15" customHeight="1">
      <c r="A49" s="184"/>
      <c r="B49" s="184"/>
      <c r="C49" s="184"/>
      <c r="D49" s="184"/>
    </row>
    <row r="50" spans="1:4" ht="14.15" customHeight="1">
      <c r="A50" s="184"/>
      <c r="B50" s="184"/>
      <c r="C50" s="184"/>
      <c r="D50" s="184"/>
    </row>
    <row r="51" spans="1:4" ht="15" customHeight="1">
      <c r="A51" s="184"/>
      <c r="B51" s="184"/>
      <c r="C51" s="184"/>
      <c r="D51" s="184"/>
    </row>
    <row r="52" spans="1:4" ht="15" customHeight="1">
      <c r="A52" s="184"/>
      <c r="B52" s="184"/>
      <c r="C52" s="184"/>
      <c r="D52" s="184"/>
    </row>
    <row r="53" spans="1:4" ht="15" customHeight="1">
      <c r="A53" s="184"/>
      <c r="B53" s="184"/>
      <c r="C53" s="184"/>
      <c r="D53" s="184"/>
    </row>
    <row r="54" spans="1:4" ht="15" customHeight="1">
      <c r="A54" s="184"/>
      <c r="B54" s="184"/>
      <c r="C54" s="184"/>
      <c r="D54" s="184"/>
    </row>
    <row r="55" spans="1:4" ht="15" customHeight="1">
      <c r="A55" s="184"/>
      <c r="B55" s="184"/>
      <c r="C55" s="184"/>
      <c r="D55" s="184"/>
    </row>
    <row r="56" spans="1:4" ht="15" customHeight="1">
      <c r="A56" s="184"/>
      <c r="B56" s="184"/>
      <c r="C56" s="184"/>
      <c r="D56" s="184"/>
    </row>
    <row r="57" spans="1:4" ht="12.65" customHeight="1">
      <c r="A57" s="184"/>
      <c r="B57" s="184"/>
      <c r="C57" s="184"/>
      <c r="D57" s="184"/>
    </row>
    <row r="58" spans="1:4" ht="15.65" customHeight="1">
      <c r="A58" s="184"/>
      <c r="B58" s="184"/>
      <c r="C58" s="184"/>
      <c r="D58" s="184"/>
    </row>
    <row r="59" spans="1:4" ht="41.15" customHeight="1">
      <c r="A59" s="184"/>
      <c r="B59" s="184"/>
      <c r="C59" s="184"/>
      <c r="D59" s="184"/>
    </row>
    <row r="60" spans="1:4" ht="21.75" customHeight="1">
      <c r="A60" s="184"/>
      <c r="B60" s="184"/>
      <c r="C60" s="184"/>
      <c r="D60" s="184"/>
    </row>
    <row r="61" spans="1:4" ht="15" customHeight="1">
      <c r="A61" s="184"/>
      <c r="B61" s="184"/>
      <c r="C61" s="184"/>
      <c r="D61" s="184"/>
    </row>
    <row r="62" spans="1:4" ht="10.4" customHeight="1">
      <c r="A62" s="163"/>
      <c r="B62" s="163"/>
      <c r="C62" s="185"/>
      <c r="D62" s="163"/>
    </row>
    <row r="63" spans="1:4">
      <c r="A63" s="163"/>
      <c r="B63" s="163"/>
      <c r="C63" s="163"/>
      <c r="D63" s="163"/>
    </row>
    <row r="64" spans="1:4">
      <c r="A64" s="163"/>
      <c r="B64" s="163"/>
      <c r="C64" s="163"/>
      <c r="D64" s="163"/>
    </row>
    <row r="65" spans="1:4">
      <c r="A65" s="163"/>
      <c r="B65" s="163"/>
      <c r="C65" s="163"/>
      <c r="D65" s="163"/>
    </row>
    <row r="66" spans="1:4">
      <c r="A66" s="163"/>
      <c r="B66" s="163"/>
      <c r="C66" s="163"/>
      <c r="D66" s="163"/>
    </row>
  </sheetData>
  <mergeCells count="3">
    <mergeCell ref="A2:B2"/>
    <mergeCell ref="A5:A9"/>
    <mergeCell ref="A11:A34"/>
  </mergeCells>
  <phoneticPr fontId="14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2025-10-09T07:04:12Z</dcterms:modified>
</cp:coreProperties>
</file>