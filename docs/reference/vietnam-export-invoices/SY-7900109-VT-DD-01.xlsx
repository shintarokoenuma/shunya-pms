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1A79F00C-96B3-42EB-B8D8-A6CA671452E2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LABEL" sheetId="66" r:id="rId5"/>
  </sheets>
  <externalReferences>
    <externalReference r:id="rId6"/>
    <externalReference r:id="rId7"/>
    <externalReference r:id="rId8"/>
  </externalReferences>
  <definedNames>
    <definedName name="pricetable" localSheetId="1">#REF!</definedName>
    <definedName name="pricetable" localSheetId="4">#REF!</definedName>
    <definedName name="pricetable" localSheetId="3">#REF!</definedName>
    <definedName name="pricetable">#REF!</definedName>
    <definedName name="_xlnm.Print_Area" localSheetId="4">LABEL!$A$1:$D$38</definedName>
    <definedName name="_xlnm.Print_Area" localSheetId="3">'NARITA '!$A$1:$N$41</definedName>
    <definedName name="_xlnm.Print_Titles" localSheetId="4">LABEL!$1:$3</definedName>
    <definedName name="_xlnm.Print_Titles" localSheetId="3">'NARITA '!$1:$6</definedName>
  </definedNames>
  <calcPr calcId="191029"/>
</workbook>
</file>

<file path=xl/calcChain.xml><?xml version="1.0" encoding="utf-8"?>
<calcChain xmlns="http://schemas.openxmlformats.org/spreadsheetml/2006/main">
  <c r="E39" i="60" l="1"/>
  <c r="M27" i="65" s="1"/>
  <c r="E38" i="60"/>
  <c r="E31" i="65" s="1"/>
  <c r="H28" i="60"/>
  <c r="H27" i="60"/>
  <c r="K31" i="65"/>
  <c r="M28" i="65"/>
  <c r="O28" i="65"/>
  <c r="L31" i="65" l="1"/>
  <c r="M26" i="65"/>
  <c r="H33" i="60" l="1"/>
  <c r="H15" i="60" l="1"/>
  <c r="H16" i="60"/>
  <c r="H21" i="60" l="1"/>
  <c r="H39" i="60" s="1"/>
  <c r="O27" i="65" s="1"/>
  <c r="H9" i="60"/>
  <c r="F9" i="65"/>
  <c r="H41" i="60" l="1"/>
  <c r="H38" i="60"/>
  <c r="O26" i="65" s="1"/>
  <c r="O31" i="65" s="1"/>
  <c r="F11" i="65"/>
  <c r="F7" i="65"/>
  <c r="C45" i="17" l="1"/>
  <c r="N8" i="65"/>
  <c r="I13" i="64"/>
  <c r="A13" i="64"/>
  <c r="I2" i="64"/>
  <c r="A2" i="64"/>
  <c r="A37" i="65"/>
  <c r="D36" i="65"/>
  <c r="A35" i="65"/>
  <c r="A34" i="65"/>
  <c r="B29" i="65"/>
  <c r="B26" i="65"/>
  <c r="N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N11" i="65"/>
  <c r="A11" i="65"/>
  <c r="N10" i="65"/>
  <c r="A10" i="65"/>
  <c r="N9" i="65"/>
  <c r="A9" i="65"/>
  <c r="A8" i="65"/>
  <c r="A7" i="65"/>
  <c r="N5" i="65"/>
  <c r="A5" i="65"/>
  <c r="N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<sst xmlns="http://schemas.openxmlformats.org/spreadsheetml/2006/main" count="316" uniqueCount="212">
  <si>
    <t>SHIPPER NAME</t>
    <phoneticPr fontId="9" type="noConversion"/>
  </si>
  <si>
    <t>S/CODE</t>
    <phoneticPr fontId="9" type="noConversion"/>
  </si>
  <si>
    <t>SHIPPER ADDRESS 2</t>
    <phoneticPr fontId="14"/>
  </si>
  <si>
    <t>SHIPPER ADDRESS 1</t>
    <phoneticPr fontId="14"/>
  </si>
  <si>
    <t>SHIPPER ADDRESS 3</t>
    <phoneticPr fontId="14"/>
  </si>
  <si>
    <t xml:space="preserve">SHIPPER </t>
    <phoneticPr fontId="14"/>
  </si>
  <si>
    <t>TEL</t>
    <phoneticPr fontId="14"/>
  </si>
  <si>
    <t>FAX</t>
    <phoneticPr fontId="14"/>
  </si>
  <si>
    <t>ATTN OR VAT NO.</t>
    <phoneticPr fontId="14"/>
  </si>
  <si>
    <t>TEL/FAX</t>
    <phoneticPr fontId="14"/>
  </si>
  <si>
    <t>ATTN</t>
    <phoneticPr fontId="14"/>
  </si>
  <si>
    <t>CONSIGNEE :</t>
    <phoneticPr fontId="14"/>
  </si>
  <si>
    <t>CONSIGNEE ADDRESS1</t>
    <phoneticPr fontId="14"/>
  </si>
  <si>
    <t>CONSIGNEE ADDRESS2</t>
    <phoneticPr fontId="14"/>
  </si>
  <si>
    <t>CONSIGNEE ADDRESS3</t>
    <phoneticPr fontId="14"/>
  </si>
  <si>
    <t>TEL</t>
    <phoneticPr fontId="14"/>
  </si>
  <si>
    <t>FAX</t>
    <phoneticPr fontId="14"/>
  </si>
  <si>
    <t>PAYMENT 1</t>
    <phoneticPr fontId="14"/>
  </si>
  <si>
    <t>PAYMENT 2</t>
    <phoneticPr fontId="14"/>
  </si>
  <si>
    <t>SHIPPER PER</t>
    <phoneticPr fontId="14"/>
  </si>
  <si>
    <t>INVOICE DATE</t>
    <phoneticPr fontId="14"/>
  </si>
  <si>
    <t>INVOICE NO.</t>
    <phoneticPr fontId="14"/>
  </si>
  <si>
    <t>CONTRACT NO.</t>
    <phoneticPr fontId="14"/>
  </si>
  <si>
    <t>CONTRACT DATE</t>
    <phoneticPr fontId="14"/>
  </si>
  <si>
    <t>ORDER DATE</t>
    <phoneticPr fontId="14"/>
  </si>
  <si>
    <t>ORDER NO.</t>
    <phoneticPr fontId="14"/>
  </si>
  <si>
    <t>L/C DATE</t>
    <phoneticPr fontId="14"/>
  </si>
  <si>
    <t>FROM</t>
    <phoneticPr fontId="14"/>
  </si>
  <si>
    <t xml:space="preserve"> TOKYO, JAPAN</t>
    <phoneticPr fontId="14"/>
  </si>
  <si>
    <t>TO</t>
    <phoneticPr fontId="14"/>
  </si>
  <si>
    <t>VIA</t>
    <phoneticPr fontId="14"/>
  </si>
  <si>
    <t>SHIPPING TERMS</t>
    <phoneticPr fontId="14"/>
  </si>
  <si>
    <t>TITTLE 1</t>
    <phoneticPr fontId="14"/>
  </si>
  <si>
    <t>TITTLE 2</t>
    <phoneticPr fontId="14"/>
  </si>
  <si>
    <t>ATTACHE</t>
    <phoneticPr fontId="14"/>
  </si>
  <si>
    <t>- DETAILS AS PER ATTACHED SHEET -</t>
    <phoneticPr fontId="14"/>
  </si>
  <si>
    <t>C/NO.</t>
    <phoneticPr fontId="14"/>
  </si>
  <si>
    <t>STYLE NO.</t>
    <phoneticPr fontId="14"/>
  </si>
  <si>
    <t>DESCRIPTION</t>
    <phoneticPr fontId="14"/>
  </si>
  <si>
    <t>Q'TY CODE</t>
    <phoneticPr fontId="14"/>
  </si>
  <si>
    <t>QUANTITY</t>
    <phoneticPr fontId="14"/>
  </si>
  <si>
    <t>UNIT PRICE</t>
    <phoneticPr fontId="14"/>
  </si>
  <si>
    <t>AMOUNT</t>
    <phoneticPr fontId="14"/>
  </si>
  <si>
    <t>DISCOUNT</t>
    <phoneticPr fontId="14"/>
  </si>
  <si>
    <t>CASE MARK1</t>
    <phoneticPr fontId="14"/>
  </si>
  <si>
    <t>CASE MARK2</t>
    <phoneticPr fontId="14"/>
  </si>
  <si>
    <t>CASE MARK3</t>
    <phoneticPr fontId="14"/>
  </si>
  <si>
    <t>CASE MARK4</t>
    <phoneticPr fontId="14"/>
  </si>
  <si>
    <t>CASE MARK5</t>
    <phoneticPr fontId="14"/>
  </si>
  <si>
    <t>CASE MARK6</t>
    <phoneticPr fontId="14"/>
  </si>
  <si>
    <t>TOTAL</t>
    <phoneticPr fontId="14"/>
  </si>
  <si>
    <t>MANUFACTURED BY</t>
    <phoneticPr fontId="14"/>
  </si>
  <si>
    <t>ORIGIN</t>
    <phoneticPr fontId="14"/>
  </si>
  <si>
    <t>OUR BANK</t>
    <phoneticPr fontId="14"/>
  </si>
  <si>
    <t>ETD TYO</t>
    <phoneticPr fontId="14"/>
  </si>
  <si>
    <t>DELIVERY SCHEDULES</t>
    <phoneticPr fontId="14"/>
  </si>
  <si>
    <t>INSURANCE</t>
    <phoneticPr fontId="14"/>
  </si>
  <si>
    <t>REMARK 1</t>
    <phoneticPr fontId="14"/>
  </si>
  <si>
    <t>AIR FREIGHT</t>
    <phoneticPr fontId="14"/>
  </si>
  <si>
    <t>YOUR (OUR) FORWARDER</t>
    <phoneticPr fontId="14"/>
  </si>
  <si>
    <t>CUSTOMS AGENT</t>
    <phoneticPr fontId="14"/>
  </si>
  <si>
    <t>FORWARDER</t>
    <phoneticPr fontId="14"/>
  </si>
  <si>
    <t>C/O ISSUED DATE</t>
    <phoneticPr fontId="14"/>
  </si>
  <si>
    <t>COUNTRY</t>
    <phoneticPr fontId="14"/>
  </si>
  <si>
    <t>F.O.B. TOKYO IN YEN</t>
    <phoneticPr fontId="14"/>
  </si>
  <si>
    <t xml:space="preserve"> SHUNYA CO., LTD.</t>
    <phoneticPr fontId="14"/>
  </si>
  <si>
    <t xml:space="preserve"> KENSHIN BLDG., 1F, 1-22-10 DOUGENZAKA,</t>
    <phoneticPr fontId="14"/>
  </si>
  <si>
    <t xml:space="preserve"> SHIBUYA-KU 150-0043</t>
    <phoneticPr fontId="14"/>
  </si>
  <si>
    <t xml:space="preserve"> TEL : +81(0)3-5459-1177</t>
    <phoneticPr fontId="14"/>
  </si>
  <si>
    <t xml:space="preserve"> - SAME AS BUYER -</t>
    <phoneticPr fontId="14"/>
  </si>
  <si>
    <t xml:space="preserve"> HOCHIMINH-CITY, VIETNAM</t>
    <phoneticPr fontId="14"/>
  </si>
  <si>
    <t>VIETNAM</t>
    <phoneticPr fontId="14"/>
  </si>
  <si>
    <t>PREPAID</t>
    <phoneticPr fontId="14"/>
  </si>
  <si>
    <t>COVERED BY SHIPPER</t>
    <phoneticPr fontId="14"/>
  </si>
  <si>
    <t>MEITETSU WORLD TRANSPORT (MR. NAMIKI)</t>
    <phoneticPr fontId="14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</si>
  <si>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4"/>
  </si>
  <si>
    <t>BUYER</t>
    <phoneticPr fontId="14"/>
  </si>
  <si>
    <t>BUYER ADDRESS1</t>
    <phoneticPr fontId="14"/>
  </si>
  <si>
    <t>BUYER ADDRESS2</t>
    <phoneticPr fontId="14"/>
  </si>
  <si>
    <t>BUYER ADDRESS3</t>
    <phoneticPr fontId="14"/>
  </si>
  <si>
    <t xml:space="preserve"> AIRCRAFT</t>
    <phoneticPr fontId="14"/>
  </si>
  <si>
    <t>持ち帰り条件</t>
    <rPh sb="0" eb="1">
      <t>モ</t>
    </rPh>
    <rPh sb="2" eb="3">
      <t>カエ</t>
    </rPh>
    <rPh sb="4" eb="6">
      <t>ジョウケン</t>
    </rPh>
    <phoneticPr fontId="14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</si>
  <si>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4"/>
  </si>
  <si>
    <t xml:space="preserve">  AFTER MANUFACTURED AT VIET NAM "</t>
    <phoneticPr fontId="14"/>
  </si>
  <si>
    <t xml:space="preserve"> NO COMMERCIAL</t>
    <phoneticPr fontId="13"/>
  </si>
  <si>
    <t>PCS.</t>
    <phoneticPr fontId="14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</si>
  <si>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</si>
  <si>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</si>
  <si>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</si>
  <si>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</si>
  <si>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</si>
  <si>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</si>
  <si>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</si>
  <si>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</si>
  <si>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</si>
  <si>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</si>
  <si>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4"/>
  </si>
  <si>
    <t>(H.S. CODE)</t>
    <phoneticPr fontId="14"/>
  </si>
  <si>
    <t>- ATTACHED SHEET -</t>
    <phoneticPr fontId="14"/>
  </si>
  <si>
    <t xml:space="preserve"> </t>
    <phoneticPr fontId="14"/>
  </si>
  <si>
    <t>WOVEN FABRIC</t>
    <phoneticPr fontId="14"/>
  </si>
  <si>
    <t>VIVAN GARMENTS VIET NAM COMPANY LIMITED</t>
    <phoneticPr fontId="14"/>
  </si>
  <si>
    <t>Hamlet 3 , Long Hau Commune , Can Giuoc District,</t>
    <phoneticPr fontId="14"/>
  </si>
  <si>
    <t xml:space="preserve"> Long An Province , VietNam</t>
    <phoneticPr fontId="14"/>
  </si>
  <si>
    <t xml:space="preserve"> TEL : :   ( 084 ) 097 22 00 798  ATTN : MR. TUAN</t>
    <phoneticPr fontId="14"/>
  </si>
  <si>
    <t>FABRIC &amp; PARTS FOR WEAR &amp; SAMPLE CLOTHES</t>
    <phoneticPr fontId="14"/>
  </si>
  <si>
    <t xml:space="preserve"> TEL : ( 084 ) 097 22 00 798  ATTN : MR. TUAN</t>
    <phoneticPr fontId="14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</si>
  <si>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4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</si>
  <si>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4"/>
  </si>
  <si>
    <t xml:space="preserve"> C/NO.</t>
    <phoneticPr fontId="14"/>
  </si>
  <si>
    <t>INVOICE</t>
    <phoneticPr fontId="14"/>
  </si>
  <si>
    <t>IMPORTER</t>
    <phoneticPr fontId="13"/>
  </si>
  <si>
    <t>INVOICE NO.</t>
    <phoneticPr fontId="13"/>
  </si>
  <si>
    <t>CASE MARK</t>
    <phoneticPr fontId="13"/>
  </si>
  <si>
    <t>INVOICE DATE</t>
    <phoneticPr fontId="13"/>
  </si>
  <si>
    <t>CONTRACT NO.</t>
    <phoneticPr fontId="13"/>
  </si>
  <si>
    <t>CONSIGNEE</t>
    <phoneticPr fontId="13"/>
  </si>
  <si>
    <t xml:space="preserve">ORDER NO. </t>
    <phoneticPr fontId="13"/>
  </si>
  <si>
    <t>MADE  IN JAPAN</t>
    <phoneticPr fontId="14"/>
  </si>
  <si>
    <t>L/C NO.</t>
    <phoneticPr fontId="13"/>
  </si>
  <si>
    <t>PAYMENT METHOD</t>
    <phoneticPr fontId="13"/>
  </si>
  <si>
    <t>SHIPPED PER</t>
    <phoneticPr fontId="13"/>
  </si>
  <si>
    <t>FROM</t>
    <phoneticPr fontId="13"/>
  </si>
  <si>
    <t>TO</t>
    <phoneticPr fontId="13"/>
  </si>
  <si>
    <t xml:space="preserve"> </t>
    <phoneticPr fontId="13"/>
  </si>
  <si>
    <t>VIA</t>
    <phoneticPr fontId="13"/>
  </si>
  <si>
    <t>C/NO.</t>
    <phoneticPr fontId="13"/>
  </si>
  <si>
    <t>ART NO.</t>
    <phoneticPr fontId="14"/>
  </si>
  <si>
    <t xml:space="preserve">  DESCRIPTION  OF  GOODS</t>
    <phoneticPr fontId="13"/>
  </si>
  <si>
    <t>COLOR</t>
    <phoneticPr fontId="14"/>
  </si>
  <si>
    <t>SIZE</t>
    <phoneticPr fontId="14"/>
  </si>
  <si>
    <t>Q'TY</t>
    <phoneticPr fontId="13"/>
  </si>
  <si>
    <t>U/PRICE</t>
    <phoneticPr fontId="13"/>
  </si>
  <si>
    <t>AMOUNT</t>
    <phoneticPr fontId="13"/>
  </si>
  <si>
    <t>" NO COMMER VALUE</t>
    <phoneticPr fontId="14"/>
  </si>
  <si>
    <t>" NO COMMERCIAL VALUE</t>
    <phoneticPr fontId="14"/>
  </si>
  <si>
    <t xml:space="preserve">  VALUE FOR CUSTOMS PURPOSE ONLY "</t>
    <phoneticPr fontId="14"/>
  </si>
  <si>
    <t xml:space="preserve"> VALUE FOR CUSTOMS PURPOSE ONLY "</t>
    <phoneticPr fontId="14"/>
  </si>
  <si>
    <t>TOTAL CARTONS :</t>
    <phoneticPr fontId="14"/>
  </si>
  <si>
    <t>TOTAL GROSS WEIGHT :</t>
    <phoneticPr fontId="14"/>
  </si>
  <si>
    <t>KGS</t>
    <phoneticPr fontId="14"/>
  </si>
  <si>
    <t>LABEL SHEET -</t>
    <phoneticPr fontId="14"/>
  </si>
  <si>
    <t>原産国</t>
    <rPh sb="0" eb="3">
      <t>ゲンサンコク</t>
    </rPh>
    <phoneticPr fontId="14"/>
  </si>
  <si>
    <t>D17 Street , Sai Gon South Residential Area</t>
    <phoneticPr fontId="14"/>
  </si>
  <si>
    <t>TOTAL :</t>
  </si>
  <si>
    <t>PCS.</t>
  </si>
  <si>
    <t>WOVEN FABRIC</t>
  </si>
  <si>
    <t>M.</t>
    <phoneticPr fontId="14"/>
  </si>
  <si>
    <t>M.</t>
  </si>
  <si>
    <t>KNIT FABRIC</t>
    <phoneticPr fontId="14"/>
  </si>
  <si>
    <t>TOTAL</t>
    <phoneticPr fontId="54"/>
  </si>
  <si>
    <t>長繊維、プリント加工なし</t>
    <rPh sb="0" eb="1">
      <t>ナガ</t>
    </rPh>
    <rPh sb="1" eb="3">
      <t>センイ</t>
    </rPh>
    <phoneticPr fontId="14"/>
  </si>
  <si>
    <t>COUNTRY OF ORIGIN : JAPAN,USA</t>
    <phoneticPr fontId="14"/>
  </si>
  <si>
    <t>KNIT FABRIC</t>
  </si>
  <si>
    <t>STYLE:26S-CS01(25SY-29)</t>
    <phoneticPr fontId="14"/>
  </si>
  <si>
    <t>短繊維、プリント加工なし</t>
    <rPh sb="0" eb="1">
      <t>タン</t>
    </rPh>
    <rPh sb="1" eb="3">
      <t>センイ</t>
    </rPh>
    <phoneticPr fontId="14"/>
  </si>
  <si>
    <t>COTTON100%</t>
    <phoneticPr fontId="14"/>
  </si>
  <si>
    <r>
      <t>WIDTH:180CM (227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</si>
  <si>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丸編みパイル編　裏毛　先染め</t>
    <rPh sb="0" eb="1">
      <t>ア</t>
    </rPh>
    <rPh sb="5" eb="6">
      <t>アミ</t>
    </rPh>
    <rPh sb="7" eb="9">
      <t>ウラケ</t>
    </rPh>
    <rPh sb="11" eb="13">
      <t>サキゾ</t>
    </rPh>
    <phoneticPr fontId="14"/>
  </si>
  <si>
    <t>c/#WHITE</t>
    <phoneticPr fontId="14"/>
  </si>
  <si>
    <t xml:space="preserve"> SHUNYA CO., LTD.</t>
  </si>
  <si>
    <t>MADE IN JAPAN</t>
  </si>
  <si>
    <t>MADE IN JAPAN</t>
    <phoneticPr fontId="14"/>
  </si>
  <si>
    <t>32-44105</t>
    <phoneticPr fontId="14"/>
  </si>
  <si>
    <t>朱子織　後染め　サテン</t>
    <rPh sb="0" eb="2">
      <t>シュシ</t>
    </rPh>
    <rPh sb="2" eb="3">
      <t>オリ</t>
    </rPh>
    <rPh sb="4" eb="5">
      <t>アト</t>
    </rPh>
    <phoneticPr fontId="14"/>
  </si>
  <si>
    <t>c/#BK</t>
    <phoneticPr fontId="14"/>
  </si>
  <si>
    <t>STYLE:26S-SH03(25SY-36),26S-SH04(25SY-35),26S-PT05(25SY-39)</t>
    <phoneticPr fontId="14"/>
  </si>
  <si>
    <t>VISCOSE100%</t>
    <phoneticPr fontId="14"/>
  </si>
  <si>
    <r>
      <t>WIDTH:135CM (200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</si>
  <si>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入庫NO.22078279</t>
    <rPh sb="0" eb="2">
      <t>ニュウコ</t>
    </rPh>
    <phoneticPr fontId="14"/>
  </si>
  <si>
    <t>入庫NO.22078280</t>
    <rPh sb="0" eb="2">
      <t>ニュウコ</t>
    </rPh>
    <phoneticPr fontId="14"/>
  </si>
  <si>
    <t>12/25</t>
    <phoneticPr fontId="14"/>
  </si>
  <si>
    <t>1-4</t>
    <phoneticPr fontId="14"/>
  </si>
  <si>
    <t>51010</t>
    <phoneticPr fontId="14"/>
  </si>
  <si>
    <t>平織　先染め　タータンチェック</t>
    <rPh sb="0" eb="1">
      <t>ヒラオリ</t>
    </rPh>
    <rPh sb="2" eb="4">
      <t>サキゾ</t>
    </rPh>
    <phoneticPr fontId="14"/>
  </si>
  <si>
    <t>短繊維、プリント加工あり</t>
    <rPh sb="0" eb="1">
      <t>タン</t>
    </rPh>
    <rPh sb="1" eb="3">
      <t>センイ</t>
    </rPh>
    <phoneticPr fontId="14"/>
  </si>
  <si>
    <t>c/#102 RED</t>
    <phoneticPr fontId="14"/>
  </si>
  <si>
    <t>c/#513 BEIGE</t>
    <phoneticPr fontId="14"/>
  </si>
  <si>
    <t>STYLE:26S-JK01(25SY-22)</t>
    <phoneticPr fontId="14"/>
  </si>
  <si>
    <r>
      <t>WIDTH:111CM (100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</si>
  <si>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入庫NO.22078307</t>
    <rPh sb="0" eb="2">
      <t>ニュウコ</t>
    </rPh>
    <phoneticPr fontId="14"/>
  </si>
  <si>
    <t>1/5</t>
    <phoneticPr fontId="14"/>
  </si>
  <si>
    <t>5</t>
    <phoneticPr fontId="14"/>
  </si>
  <si>
    <t>ST-1005</t>
    <phoneticPr fontId="14"/>
  </si>
  <si>
    <t>shell button</t>
    <phoneticPr fontId="14"/>
  </si>
  <si>
    <t>学術名： Tectus maximus</t>
    <rPh sb="0" eb="2">
      <t>ガクジュツメイ</t>
    </rPh>
    <phoneticPr fontId="14"/>
  </si>
  <si>
    <t>高瀬</t>
    <rPh sb="0" eb="1">
      <t>タカセ</t>
    </rPh>
    <phoneticPr fontId="14"/>
  </si>
  <si>
    <t>STYLE:26S-SH01(25SY-28),26S-SH02(25SY-19),26S-SH03(25SY-36),26S-SH04(25SY-35)</t>
    <phoneticPr fontId="14"/>
  </si>
  <si>
    <t>shell button 11.5mm</t>
    <phoneticPr fontId="14"/>
  </si>
  <si>
    <t>入庫NO.22078348</t>
    <rPh sb="0" eb="2">
      <t>ニュウコ</t>
    </rPh>
    <phoneticPr fontId="14"/>
  </si>
  <si>
    <t>1/8</t>
    <phoneticPr fontId="14"/>
  </si>
  <si>
    <t>6</t>
    <phoneticPr fontId="14"/>
  </si>
  <si>
    <t>027G0081924</t>
    <phoneticPr fontId="14"/>
  </si>
  <si>
    <t>丸編みリブ編　先染め</t>
    <rPh sb="0" eb="1">
      <t>アウラケ</t>
    </rPh>
    <rPh sb="7" eb="9">
      <t>サキゾ</t>
    </rPh>
    <phoneticPr fontId="14"/>
  </si>
  <si>
    <t>c/#G GRAY</t>
    <phoneticPr fontId="14"/>
  </si>
  <si>
    <t>STYLE:26S-CS01(25SY-29)</t>
  </si>
  <si>
    <r>
      <t>COTTON 95%</t>
    </r>
    <r>
      <rPr>
        <b/>
        <sz val="10"/>
        <color theme="1"/>
        <rFont val="Yu Gothic"/>
        <family val="2"/>
        <charset val="128"/>
      </rPr>
      <t>　</t>
    </r>
    <r>
      <rPr>
        <b/>
        <sz val="10"/>
        <color theme="1"/>
        <rFont val="Century Gothic"/>
        <family val="2"/>
      </rPr>
      <t>POLYURETHANE5%</t>
    </r>
    <phoneticPr fontId="14"/>
  </si>
  <si>
    <r>
      <t>WIDTH:90CM (234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</si>
  <si>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佐川：4408-9526-5871</t>
    <rPh sb="0" eb="2">
      <t>サガワ</t>
    </rPh>
    <phoneticPr fontId="14"/>
  </si>
  <si>
    <t>1/9</t>
    <phoneticPr fontId="14"/>
  </si>
  <si>
    <t>7</t>
    <phoneticPr fontId="14"/>
  </si>
  <si>
    <t>027G0081930</t>
    <phoneticPr fontId="14"/>
  </si>
  <si>
    <t>c/#008 BLACK</t>
    <phoneticPr fontId="14"/>
  </si>
  <si>
    <t>第一貨物/61446559403</t>
    <phoneticPr fontId="14"/>
  </si>
  <si>
    <t>8</t>
    <phoneticPr fontId="14"/>
  </si>
  <si>
    <t>8CARTONS</t>
    <phoneticPr fontId="14"/>
  </si>
  <si>
    <t xml:space="preserve"> C/NO. 1-8</t>
    <phoneticPr fontId="14"/>
  </si>
  <si>
    <t>Jan, 09 2026</t>
  </si>
  <si>
    <t>Jan, 09 2026</t>
    <phoneticPr fontId="14"/>
  </si>
  <si>
    <t xml:space="preserve"> SY-7900109VT-DD-01</t>
    <phoneticPr fontId="14"/>
  </si>
  <si>
    <t>228.4M. 1700PCS.</t>
    <phoneticPr fontId="14"/>
  </si>
  <si>
    <t>8PACKAGES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</si>
</sst>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58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sz val="6"/>
      <name val="ＭＳ Ｐゴシック"/>
      <family val="2"/>
      <charset val="128"/>
      <scheme val="minor"/>
    </font>
    <font>
      <b/>
      <sz val="10"/>
      <color theme="1"/>
      <name val="ＭＳ ゴシック"/>
      <family val="3"/>
      <charset val="128"/>
    </font>
    <font>
      <b/>
      <i/>
      <sz val="10"/>
      <color theme="1"/>
      <name val="Century Gothic"/>
      <family val="2"/>
    </font>
    <font>
      <b/>
      <sz val="8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5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5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24" fillId="0" borderId="0" xfId="0" applyFont="1" applyAlignment="1">
      <alignment vertical="center" shrinkToFit="1"/>
    </xf>
    <xf numFmtId="49" fontId="12" fillId="0" borderId="0" xfId="0" applyNumberFormat="1" applyFont="1" applyAlignment="1">
      <alignment vertical="center" shrinkToFit="1"/>
    </xf>
    <xf numFmtId="0" fontId="18" fillId="0" borderId="0" xfId="1" applyNumberFormat="1" applyFont="1" applyFill="1" applyBorder="1" applyAlignment="1" applyProtection="1"/>
    <xf numFmtId="26" fontId="12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0" fontId="12" fillId="0" borderId="4" xfId="0" applyFont="1" applyBorder="1" applyAlignment="1">
      <alignment horizontal="center" vertical="center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 shrinkToFit="1"/>
    </xf>
    <xf numFmtId="177" fontId="21" fillId="3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24" fillId="0" borderId="10" xfId="0" applyFont="1" applyBorder="1" applyAlignment="1">
      <alignment vertical="center" wrapText="1"/>
    </xf>
    <xf numFmtId="179" fontId="24" fillId="0" borderId="10" xfId="0" applyNumberFormat="1" applyFont="1" applyBorder="1" applyAlignment="1">
      <alignment vertical="center" shrinkToFit="1"/>
    </xf>
    <xf numFmtId="49" fontId="32" fillId="0" borderId="10" xfId="0" quotePrefix="1" applyNumberFormat="1" applyFont="1" applyBorder="1" applyAlignment="1">
      <alignment horizontal="left" vertical="center"/>
    </xf>
    <xf numFmtId="179" fontId="24" fillId="0" borderId="11" xfId="0" applyNumberFormat="1" applyFont="1" applyBorder="1" applyAlignment="1">
      <alignment vertical="center" shrinkToFit="1"/>
    </xf>
    <xf numFmtId="49" fontId="29" fillId="0" borderId="11" xfId="0" quotePrefix="1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27" fillId="0" borderId="10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49" fontId="25" fillId="0" borderId="10" xfId="0" applyNumberFormat="1" applyFont="1" applyBorder="1" applyAlignment="1">
      <alignment horizontal="left" vertical="center"/>
    </xf>
    <xf numFmtId="0" fontId="16" fillId="0" borderId="10" xfId="0" applyFont="1" applyBorder="1">
      <alignment vertical="center"/>
    </xf>
    <xf numFmtId="26" fontId="16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>
      <alignment vertical="center"/>
    </xf>
    <xf numFmtId="26" fontId="16" fillId="0" borderId="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78" fontId="2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178" fontId="24" fillId="0" borderId="10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179" fontId="24" fillId="0" borderId="11" xfId="0" applyNumberFormat="1" applyFont="1" applyBorder="1" applyAlignment="1">
      <alignment horizontal="center" vertical="center" shrinkToFit="1"/>
    </xf>
    <xf numFmtId="178" fontId="24" fillId="0" borderId="11" xfId="0" applyNumberFormat="1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8" fontId="24" fillId="0" borderId="4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80" fontId="12" fillId="0" borderId="8" xfId="2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vertical="center" shrinkToFit="1"/>
    </xf>
    <xf numFmtId="49" fontId="12" fillId="0" borderId="10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5" fillId="0" borderId="37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35" fillId="0" borderId="38" xfId="0" applyFont="1" applyBorder="1">
      <alignment vertical="center"/>
    </xf>
    <xf numFmtId="0" fontId="35" fillId="0" borderId="39" xfId="0" applyFont="1" applyBorder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12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44" fillId="0" borderId="0" xfId="0" applyFont="1">
      <alignment vertical="center"/>
    </xf>
    <xf numFmtId="0" fontId="42" fillId="0" borderId="2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2" xfId="0" applyFont="1" applyBorder="1">
      <alignment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>
      <alignment vertical="center"/>
    </xf>
    <xf numFmtId="0" fontId="42" fillId="0" borderId="42" xfId="0" applyFont="1" applyBorder="1">
      <alignment vertical="center"/>
    </xf>
    <xf numFmtId="0" fontId="44" fillId="0" borderId="42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49" fontId="12" fillId="0" borderId="41" xfId="0" applyNumberFormat="1" applyFont="1" applyBorder="1">
      <alignment vertical="center"/>
    </xf>
    <xf numFmtId="49" fontId="12" fillId="0" borderId="43" xfId="0" applyNumberFormat="1" applyFont="1" applyBorder="1">
      <alignment vertical="center"/>
    </xf>
    <xf numFmtId="0" fontId="42" fillId="0" borderId="44" xfId="0" applyFont="1" applyBorder="1">
      <alignment vertical="center"/>
    </xf>
    <xf numFmtId="0" fontId="25" fillId="5" borderId="42" xfId="0" applyFont="1" applyFill="1" applyBorder="1" applyAlignment="1">
      <alignment horizontal="left" vertical="center"/>
    </xf>
    <xf numFmtId="0" fontId="44" fillId="0" borderId="42" xfId="0" applyFont="1" applyBorder="1">
      <alignment vertical="center"/>
    </xf>
    <xf numFmtId="0" fontId="12" fillId="0" borderId="7" xfId="0" applyFont="1" applyBorder="1">
      <alignment vertical="center"/>
    </xf>
    <xf numFmtId="0" fontId="42" fillId="0" borderId="41" xfId="0" applyFont="1" applyBorder="1">
      <alignment vertical="center"/>
    </xf>
    <xf numFmtId="0" fontId="42" fillId="0" borderId="40" xfId="0" applyFont="1" applyBorder="1">
      <alignment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>
      <alignment vertical="center"/>
    </xf>
    <xf numFmtId="0" fontId="46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6" xfId="0" applyFont="1" applyBorder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26" fontId="16" fillId="0" borderId="42" xfId="0" applyNumberFormat="1" applyFont="1" applyBorder="1" applyAlignment="1">
      <alignment horizontal="left" vertical="center"/>
    </xf>
    <xf numFmtId="0" fontId="12" fillId="0" borderId="42" xfId="0" applyFont="1" applyBorder="1">
      <alignment vertical="center"/>
    </xf>
    <xf numFmtId="26" fontId="16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/>
    </xf>
    <xf numFmtId="49" fontId="12" fillId="0" borderId="0" xfId="0" applyNumberFormat="1" applyFont="1">
      <alignment vertical="center"/>
    </xf>
    <xf numFmtId="180" fontId="24" fillId="0" borderId="4" xfId="2" applyNumberFormat="1" applyFont="1" applyFill="1" applyBorder="1" applyAlignment="1">
      <alignment horizontal="right" vertical="center"/>
    </xf>
    <xf numFmtId="1" fontId="24" fillId="0" borderId="4" xfId="2" applyNumberFormat="1" applyFont="1" applyFill="1" applyBorder="1" applyAlignment="1">
      <alignment horizontal="left" vertical="center"/>
    </xf>
    <xf numFmtId="177" fontId="24" fillId="0" borderId="42" xfId="2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24" fillId="0" borderId="4" xfId="2" applyNumberFormat="1" applyFont="1" applyFill="1" applyBorder="1" applyAlignment="1">
      <alignment horizontal="right" vertical="center"/>
    </xf>
    <xf numFmtId="177" fontId="24" fillId="3" borderId="42" xfId="2" applyNumberFormat="1" applyFont="1" applyFill="1" applyBorder="1" applyAlignment="1">
      <alignment horizontal="right" vertical="center"/>
    </xf>
    <xf numFmtId="181" fontId="12" fillId="0" borderId="47" xfId="2" applyNumberFormat="1" applyFont="1" applyFill="1" applyBorder="1" applyAlignment="1">
      <alignment horizontal="left" vertical="center" indent="1"/>
    </xf>
    <xf numFmtId="182" fontId="24" fillId="0" borderId="47" xfId="0" applyNumberFormat="1" applyFont="1" applyBorder="1" applyAlignment="1">
      <alignment horizontal="left" vertical="center"/>
    </xf>
    <xf numFmtId="178" fontId="24" fillId="0" borderId="47" xfId="0" applyNumberFormat="1" applyFont="1" applyBorder="1" applyAlignment="1">
      <alignment horizontal="right"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left" vertical="center"/>
    </xf>
    <xf numFmtId="26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83" fontId="12" fillId="0" borderId="0" xfId="0" applyNumberFormat="1" applyFont="1">
      <alignment vertical="center"/>
    </xf>
    <xf numFmtId="0" fontId="46" fillId="0" borderId="0" xfId="0" applyFont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49" fontId="25" fillId="5" borderId="0" xfId="0" applyNumberFormat="1" applyFont="1" applyFill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49" fontId="42" fillId="0" borderId="0" xfId="0" applyNumberFormat="1" applyFont="1" applyAlignment="1">
      <alignment horizontal="right"/>
    </xf>
    <xf numFmtId="0" fontId="48" fillId="0" borderId="0" xfId="0" applyFont="1">
      <alignment vertical="center"/>
    </xf>
    <xf numFmtId="0" fontId="42" fillId="0" borderId="0" xfId="0" applyFont="1" applyAlignment="1">
      <alignment horizontal="center"/>
    </xf>
    <xf numFmtId="0" fontId="48" fillId="0" borderId="41" xfId="0" applyFont="1" applyBorder="1" applyAlignment="1">
      <alignment horizontal="left"/>
    </xf>
    <xf numFmtId="49" fontId="42" fillId="0" borderId="41" xfId="0" applyNumberFormat="1" applyFont="1" applyBorder="1" applyAlignment="1">
      <alignment horizontal="right"/>
    </xf>
    <xf numFmtId="49" fontId="42" fillId="0" borderId="0" xfId="0" applyNumberFormat="1" applyFont="1">
      <alignment vertical="center"/>
    </xf>
    <xf numFmtId="0" fontId="41" fillId="0" borderId="0" xfId="0" applyFont="1" applyAlignment="1">
      <alignment horizontal="center"/>
    </xf>
    <xf numFmtId="49" fontId="4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9" fillId="0" borderId="0" xfId="0" applyNumberFormat="1" applyFont="1">
      <alignment vertical="center"/>
    </xf>
    <xf numFmtId="49" fontId="49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5" fillId="0" borderId="16" xfId="0" applyNumberFormat="1" applyFont="1" applyBorder="1">
      <alignment vertical="center"/>
    </xf>
    <xf numFmtId="0" fontId="17" fillId="0" borderId="50" xfId="0" applyFont="1" applyBorder="1">
      <alignment vertical="center"/>
    </xf>
    <xf numFmtId="0" fontId="25" fillId="5" borderId="5" xfId="0" applyFont="1" applyFill="1" applyBorder="1" applyAlignment="1">
      <alignment horizontal="left" vertical="center"/>
    </xf>
    <xf numFmtId="1" fontId="12" fillId="0" borderId="5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vertical="center"/>
    </xf>
    <xf numFmtId="0" fontId="12" fillId="0" borderId="47" xfId="0" applyFont="1" applyBorder="1">
      <alignment vertical="center"/>
    </xf>
    <xf numFmtId="1" fontId="12" fillId="0" borderId="12" xfId="0" applyNumberFormat="1" applyFont="1" applyBorder="1" applyAlignment="1">
      <alignment horizontal="center" vertical="center"/>
    </xf>
    <xf numFmtId="49" fontId="24" fillId="0" borderId="10" xfId="0" quotePrefix="1" applyNumberFormat="1" applyFont="1" applyBorder="1" applyAlignment="1">
      <alignment horizontal="left" vertical="center"/>
    </xf>
    <xf numFmtId="0" fontId="22" fillId="0" borderId="16" xfId="0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horizontal="right" vertical="center"/>
    </xf>
    <xf numFmtId="0" fontId="24" fillId="0" borderId="8" xfId="0" applyFont="1" applyBorder="1" applyAlignment="1">
      <alignment horizontal="left" vertical="center"/>
    </xf>
    <xf numFmtId="178" fontId="24" fillId="0" borderId="8" xfId="0" applyNumberFormat="1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49" fontId="24" fillId="0" borderId="8" xfId="0" applyNumberFormat="1" applyFont="1" applyBorder="1" applyAlignment="1">
      <alignment horizontal="left" vertical="center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2" fillId="0" borderId="30" xfId="0" applyFont="1" applyBorder="1">
      <alignment vertical="center"/>
    </xf>
    <xf numFmtId="0" fontId="42" fillId="0" borderId="23" xfId="0" applyFont="1" applyBorder="1">
      <alignment vertical="center"/>
    </xf>
    <xf numFmtId="0" fontId="12" fillId="0" borderId="43" xfId="0" applyFont="1" applyBorder="1">
      <alignment vertical="center"/>
    </xf>
    <xf numFmtId="0" fontId="42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0" fontId="12" fillId="0" borderId="43" xfId="0" applyFont="1" applyBorder="1" applyAlignment="1">
      <alignment horizontal="center" vertical="center"/>
    </xf>
    <xf numFmtId="0" fontId="15" fillId="0" borderId="24" xfId="0" applyFont="1" applyBorder="1">
      <alignment vertical="center"/>
    </xf>
    <xf numFmtId="0" fontId="15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1" fontId="12" fillId="0" borderId="4" xfId="0" applyNumberFormat="1" applyFont="1" applyBorder="1" applyAlignment="1">
      <alignment horizontal="center" vertical="center"/>
    </xf>
    <xf numFmtId="49" fontId="25" fillId="3" borderId="31" xfId="0" applyNumberFormat="1" applyFont="1" applyFill="1" applyBorder="1">
      <alignment vertical="center"/>
    </xf>
    <xf numFmtId="49" fontId="25" fillId="3" borderId="29" xfId="0" applyNumberFormat="1" applyFont="1" applyFill="1" applyBorder="1">
      <alignment vertical="center"/>
    </xf>
    <xf numFmtId="49" fontId="33" fillId="0" borderId="24" xfId="0" applyNumberFormat="1" applyFont="1" applyBorder="1">
      <alignment vertical="center"/>
    </xf>
    <xf numFmtId="49" fontId="33" fillId="0" borderId="4" xfId="0" applyNumberFormat="1" applyFont="1" applyBorder="1">
      <alignment vertical="center"/>
    </xf>
    <xf numFmtId="49" fontId="33" fillId="0" borderId="12" xfId="0" applyNumberFormat="1" applyFont="1" applyBorder="1">
      <alignment vertical="center"/>
    </xf>
    <xf numFmtId="49" fontId="12" fillId="0" borderId="5" xfId="0" applyNumberFormat="1" applyFont="1" applyBorder="1" applyAlignment="1">
      <alignment horizontal="left" vertical="center"/>
    </xf>
    <xf numFmtId="0" fontId="12" fillId="0" borderId="5" xfId="0" applyFont="1" applyBorder="1">
      <alignment vertical="center"/>
    </xf>
    <xf numFmtId="56" fontId="15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2" fillId="0" borderId="49" xfId="0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7" fillId="0" borderId="40" xfId="0" applyFont="1" applyBorder="1">
      <alignment vertical="center"/>
    </xf>
    <xf numFmtId="0" fontId="0" fillId="0" borderId="52" xfId="0" applyBorder="1">
      <alignment vertical="center"/>
    </xf>
    <xf numFmtId="0" fontId="12" fillId="0" borderId="5" xfId="0" applyFont="1" applyBorder="1" applyAlignment="1">
      <alignment horizontal="center"/>
    </xf>
    <xf numFmtId="180" fontId="12" fillId="0" borderId="5" xfId="2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0" fillId="0" borderId="36" xfId="0" applyBorder="1">
      <alignment vertical="center"/>
    </xf>
    <xf numFmtId="0" fontId="0" fillId="0" borderId="32" xfId="0" applyBorder="1">
      <alignment vertical="center"/>
    </xf>
    <xf numFmtId="0" fontId="56" fillId="0" borderId="2" xfId="0" applyFont="1" applyBorder="1" applyAlignment="1">
      <alignment horizontal="center" vertical="center"/>
    </xf>
    <xf numFmtId="6" fontId="12" fillId="0" borderId="5" xfId="12" applyFont="1" applyFill="1" applyBorder="1" applyAlignment="1">
      <alignment horizontal="right" vertical="center"/>
    </xf>
    <xf numFmtId="6" fontId="12" fillId="0" borderId="8" xfId="12" applyFont="1" applyFill="1" applyBorder="1" applyAlignment="1">
      <alignment horizontal="right" vertical="center"/>
    </xf>
    <xf numFmtId="49" fontId="50" fillId="3" borderId="0" xfId="0" applyNumberFormat="1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/>
    </xf>
    <xf numFmtId="0" fontId="12" fillId="0" borderId="6" xfId="0" applyFont="1" applyBorder="1">
      <alignment vertical="center"/>
    </xf>
    <xf numFmtId="0" fontId="12" fillId="0" borderId="53" xfId="0" applyFont="1" applyBorder="1">
      <alignment vertical="center"/>
    </xf>
    <xf numFmtId="0" fontId="12" fillId="0" borderId="54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left" vertical="center"/>
    </xf>
    <xf numFmtId="0" fontId="12" fillId="0" borderId="54" xfId="0" applyFont="1" applyBorder="1">
      <alignment vertical="center"/>
    </xf>
    <xf numFmtId="176" fontId="12" fillId="0" borderId="54" xfId="0" applyNumberFormat="1" applyFont="1" applyBorder="1" applyAlignment="1">
      <alignment horizontal="right" vertical="center"/>
    </xf>
    <xf numFmtId="177" fontId="12" fillId="0" borderId="51" xfId="0" applyNumberFormat="1" applyFont="1" applyBorder="1">
      <alignment vertical="center"/>
    </xf>
    <xf numFmtId="178" fontId="24" fillId="0" borderId="55" xfId="0" applyNumberFormat="1" applyFont="1" applyBorder="1" applyAlignment="1">
      <alignment horizontal="right" vertical="center"/>
    </xf>
    <xf numFmtId="177" fontId="12" fillId="0" borderId="55" xfId="0" applyNumberFormat="1" applyFont="1" applyBorder="1" applyAlignment="1">
      <alignment horizontal="right" vertical="center"/>
    </xf>
    <xf numFmtId="0" fontId="15" fillId="0" borderId="55" xfId="0" applyFont="1" applyBorder="1">
      <alignment vertical="center"/>
    </xf>
    <xf numFmtId="0" fontId="12" fillId="0" borderId="55" xfId="0" applyFont="1" applyBorder="1" applyAlignment="1">
      <alignment horizontal="center" vertical="center"/>
    </xf>
    <xf numFmtId="49" fontId="33" fillId="0" borderId="55" xfId="0" applyNumberFormat="1" applyFont="1" applyBorder="1">
      <alignment vertical="center"/>
    </xf>
    <xf numFmtId="0" fontId="24" fillId="0" borderId="5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1" fontId="12" fillId="0" borderId="55" xfId="0" applyNumberFormat="1" applyFont="1" applyBorder="1" applyAlignment="1">
      <alignment horizontal="center" vertical="center"/>
    </xf>
    <xf numFmtId="0" fontId="12" fillId="0" borderId="56" xfId="0" applyFont="1" applyBorder="1">
      <alignment vertical="center"/>
    </xf>
    <xf numFmtId="49" fontId="24" fillId="0" borderId="55" xfId="0" quotePrefix="1" applyNumberFormat="1" applyFont="1" applyBorder="1" applyAlignment="1">
      <alignment horizontal="left" vertical="center"/>
    </xf>
    <xf numFmtId="179" fontId="24" fillId="0" borderId="55" xfId="0" applyNumberFormat="1" applyFont="1" applyBorder="1" applyAlignment="1">
      <alignment vertical="center" shrinkToFit="1"/>
    </xf>
    <xf numFmtId="179" fontId="24" fillId="0" borderId="12" xfId="0" applyNumberFormat="1" applyFont="1" applyBorder="1" applyAlignment="1">
      <alignment vertical="center" shrinkToFit="1"/>
    </xf>
    <xf numFmtId="49" fontId="25" fillId="0" borderId="36" xfId="0" applyNumberFormat="1" applyFont="1" applyBorder="1">
      <alignment vertical="center"/>
    </xf>
    <xf numFmtId="0" fontId="31" fillId="6" borderId="5" xfId="0" applyFont="1" applyFill="1" applyBorder="1" applyAlignment="1">
      <alignment horizontal="left" vertical="center"/>
    </xf>
    <xf numFmtId="1" fontId="24" fillId="0" borderId="55" xfId="2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49" fontId="25" fillId="3" borderId="28" xfId="0" applyNumberFormat="1" applyFont="1" applyFill="1" applyBorder="1" applyAlignment="1">
      <alignment horizontal="center" vertical="center"/>
    </xf>
    <xf numFmtId="49" fontId="25" fillId="3" borderId="29" xfId="0" applyNumberFormat="1" applyFont="1" applyFill="1" applyBorder="1" applyAlignment="1">
      <alignment horizontal="center" vertical="center"/>
    </xf>
    <xf numFmtId="49" fontId="25" fillId="3" borderId="31" xfId="0" applyNumberFormat="1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49" fontId="25" fillId="6" borderId="28" xfId="0" applyNumberFormat="1" applyFont="1" applyFill="1" applyBorder="1" applyAlignment="1">
      <alignment horizontal="center" vertical="center"/>
    </xf>
    <xf numFmtId="49" fontId="25" fillId="6" borderId="29" xfId="0" applyNumberFormat="1" applyFont="1" applyFill="1" applyBorder="1" applyAlignment="1">
      <alignment horizontal="center" vertical="center"/>
    </xf>
    <xf numFmtId="49" fontId="25" fillId="6" borderId="31" xfId="0" applyNumberFormat="1" applyFont="1" applyFill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57" fillId="5" borderId="5" xfId="0" applyFont="1" applyFill="1" applyBorder="1" applyAlignment="1">
      <alignment horizontal="left" vertical="center"/>
    </xf>
    <xf numFmtId="49" fontId="24" fillId="6" borderId="8" xfId="0" applyNumberFormat="1" applyFont="1" applyFill="1" applyBorder="1" applyAlignment="1">
      <alignment horizontal="left" vertical="center"/>
    </xf>
    <xf numFmtId="49" fontId="12" fillId="6" borderId="10" xfId="0" applyNumberFormat="1" applyFont="1" applyFill="1" applyBorder="1" applyAlignment="1">
      <alignment horizontal="left" vertical="center"/>
    </xf>
    <xf numFmtId="49" fontId="32" fillId="6" borderId="10" xfId="0" quotePrefix="1" applyNumberFormat="1" applyFont="1" applyFill="1" applyBorder="1" applyAlignment="1">
      <alignment horizontal="left" vertical="center"/>
    </xf>
    <xf numFmtId="49" fontId="29" fillId="6" borderId="11" xfId="0" quotePrefix="1" applyNumberFormat="1" applyFont="1" applyFill="1" applyBorder="1" applyAlignment="1">
      <alignment horizontal="left" vertical="center"/>
    </xf>
    <xf numFmtId="49" fontId="12" fillId="0" borderId="5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center"/>
    </xf>
    <xf numFmtId="0" fontId="24" fillId="0" borderId="47" xfId="0" applyFont="1" applyBorder="1" applyAlignment="1">
      <alignment horizontal="right" vertical="center"/>
    </xf>
    <xf numFmtId="181" fontId="12" fillId="0" borderId="47" xfId="2" applyNumberFormat="1" applyFont="1" applyFill="1" applyBorder="1" applyAlignment="1">
      <alignment horizontal="center" vertical="center"/>
    </xf>
  </cellXfs>
  <cellStyles count="15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14" xr:uid="{D71A3FD5-8B8D-4AD9-8726-1BFB16456FCC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284134</xdr:colOff>
      <xdr:row>36</xdr:row>
      <xdr:rowOff>48895</xdr:rowOff>
    </xdr:from>
    <xdr:to>
      <xdr:col>14</xdr:col>
      <xdr:colOff>691977</xdr:colOff>
      <xdr:row>44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3543" y="6987713"/>
          <a:ext cx="3184525" cy="1440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topLeftCell="A19" workbookViewId="0">
      <selection activeCell="C63" sqref="C63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101</v>
      </c>
    </row>
    <row r="10" spans="1:3" s="8" customFormat="1">
      <c r="A10" s="7">
        <f t="shared" si="0"/>
        <v>10</v>
      </c>
      <c r="B10" s="9" t="s">
        <v>77</v>
      </c>
      <c r="C10" s="4" t="s">
        <v>143</v>
      </c>
    </row>
    <row r="11" spans="1:3" s="8" customFormat="1">
      <c r="A11" s="7">
        <f t="shared" si="0"/>
        <v>11</v>
      </c>
      <c r="B11" s="9" t="s">
        <v>78</v>
      </c>
      <c r="C11" s="2" t="s">
        <v>102</v>
      </c>
    </row>
    <row r="12" spans="1:3" s="8" customFormat="1">
      <c r="A12" s="7">
        <f t="shared" si="0"/>
        <v>12</v>
      </c>
      <c r="B12" s="9" t="s">
        <v>79</v>
      </c>
      <c r="C12" s="2" t="s">
        <v>103</v>
      </c>
    </row>
    <row r="13" spans="1:3" s="8" customFormat="1">
      <c r="A13" s="7">
        <f t="shared" si="0"/>
        <v>13</v>
      </c>
      <c r="B13" s="9" t="s">
        <v>9</v>
      </c>
      <c r="C13" s="3" t="s">
        <v>106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208</v>
      </c>
    </row>
    <row r="26" spans="1:3">
      <c r="A26" s="7">
        <f t="shared" si="0"/>
        <v>26</v>
      </c>
      <c r="B26" s="9" t="s">
        <v>21</v>
      </c>
      <c r="C26" s="26" t="s">
        <v>209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SY-7900109VT-DD-01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105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210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invoice!O31</f>
        <v>335253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SY-7900109VT-DD-01</v>
      </c>
    </row>
    <row r="50" spans="1:3">
      <c r="A50" s="7">
        <f t="shared" si="0"/>
        <v>50</v>
      </c>
      <c r="B50" s="9" t="s">
        <v>45</v>
      </c>
      <c r="C50" s="4" t="s">
        <v>101</v>
      </c>
    </row>
    <row r="51" spans="1:3">
      <c r="A51" s="7">
        <f t="shared" si="0"/>
        <v>51</v>
      </c>
      <c r="B51" s="9" t="s">
        <v>46</v>
      </c>
      <c r="C51" s="4" t="s">
        <v>143</v>
      </c>
    </row>
    <row r="52" spans="1:3">
      <c r="A52" s="7">
        <f t="shared" si="0"/>
        <v>52</v>
      </c>
      <c r="B52" s="9" t="s">
        <v>47</v>
      </c>
      <c r="C52" s="2" t="s">
        <v>102</v>
      </c>
    </row>
    <row r="53" spans="1:3">
      <c r="A53" s="7">
        <f t="shared" si="0"/>
        <v>53</v>
      </c>
      <c r="B53" s="9" t="s">
        <v>48</v>
      </c>
      <c r="C53" s="2" t="s">
        <v>103</v>
      </c>
    </row>
    <row r="54" spans="1:3">
      <c r="A54" s="7">
        <f t="shared" si="0"/>
        <v>54</v>
      </c>
      <c r="B54" s="9" t="s">
        <v>49</v>
      </c>
      <c r="C54" s="3" t="s">
        <v>104</v>
      </c>
    </row>
    <row r="55" spans="1:3">
      <c r="A55" s="7">
        <f t="shared" si="0"/>
        <v>55</v>
      </c>
      <c r="B55" s="28" t="s">
        <v>50</v>
      </c>
      <c r="C55" s="26" t="s">
        <v>211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152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30" t="s">
        <v>207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4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1" customFormat="1" ht="32.25" customHeight="1">
      <c r="H1" s="92"/>
    </row>
    <row r="2" spans="1:15" s="91" customFormat="1" ht="32.5">
      <c r="A2" s="91" t="str">
        <f>'shipper master'!C26</f>
        <v xml:space="preserve"> SY-7900109VT-DD-01</v>
      </c>
      <c r="H2" s="92"/>
      <c r="I2" s="91" t="str">
        <f>'shipper master'!C26</f>
        <v xml:space="preserve"> SY-7900109VT-DD-01</v>
      </c>
    </row>
    <row r="3" spans="1:15" s="91" customFormat="1" ht="32.5">
      <c r="A3" s="91" t="str">
        <f>'[1]shipper master'!C50</f>
        <v xml:space="preserve">VIVAN GARMENTS VIET NAM </v>
      </c>
      <c r="H3" s="92"/>
      <c r="I3" s="91" t="str">
        <f>'[1]shipper master'!C50</f>
        <v xml:space="preserve">VIVAN GARMENTS VIET NAM </v>
      </c>
    </row>
    <row r="4" spans="1:15" s="91" customFormat="1" ht="32.5">
      <c r="A4" s="91" t="str">
        <f>'[1]shipper master'!C51</f>
        <v xml:space="preserve"> COMPANY LIMITED</v>
      </c>
      <c r="H4" s="92"/>
      <c r="I4" s="91" t="str">
        <f>'[1]shipper master'!C51</f>
        <v xml:space="preserve"> COMPANY LIMITED</v>
      </c>
    </row>
    <row r="5" spans="1:15" s="91" customFormat="1" ht="32.5">
      <c r="A5" s="91" t="str">
        <f>'[1]shipper master'!C52</f>
        <v xml:space="preserve"> HOCHIMINH-CITY, VIETNAM</v>
      </c>
      <c r="H5" s="92"/>
      <c r="I5" s="91" t="str">
        <f>'[1]shipper master'!C52</f>
        <v xml:space="preserve"> HOCHIMINH-CITY, VIETNAM</v>
      </c>
    </row>
    <row r="6" spans="1:15" s="91" customFormat="1" ht="32.5">
      <c r="A6" s="91" t="s">
        <v>109</v>
      </c>
      <c r="C6" s="91">
        <v>1</v>
      </c>
      <c r="D6" s="93"/>
      <c r="H6" s="92"/>
      <c r="I6" s="91" t="s">
        <v>109</v>
      </c>
      <c r="K6" s="91">
        <v>2</v>
      </c>
    </row>
    <row r="7" spans="1:15" s="91" customFormat="1" ht="32.25" customHeight="1">
      <c r="A7" s="91" t="str">
        <f>'[1]shipper master'!C54</f>
        <v xml:space="preserve"> MADE IN JAPAN</v>
      </c>
      <c r="H7" s="92"/>
      <c r="I7" s="91" t="str">
        <f>'[1]shipper master'!C54</f>
        <v xml:space="preserve"> MADE IN JAPAN</v>
      </c>
    </row>
    <row r="8" spans="1:15" s="91" customFormat="1" ht="19.5" customHeight="1">
      <c r="H8" s="92"/>
    </row>
    <row r="9" spans="1:15" s="91" customFormat="1" ht="19.5" customHeight="1">
      <c r="H9" s="92"/>
    </row>
    <row r="10" spans="1:15" s="91" customFormat="1" ht="19.5" customHeight="1">
      <c r="A10" s="94"/>
      <c r="B10" s="94"/>
      <c r="C10" s="94"/>
      <c r="D10" s="94"/>
      <c r="E10" s="94"/>
      <c r="F10" s="94"/>
      <c r="G10" s="94"/>
      <c r="H10" s="95"/>
      <c r="I10" s="94"/>
      <c r="J10" s="94"/>
      <c r="K10" s="94"/>
      <c r="L10" s="94"/>
      <c r="M10" s="94"/>
      <c r="N10" s="94"/>
      <c r="O10" s="94"/>
    </row>
    <row r="11" spans="1:15" s="91" customFormat="1" ht="19.5" customHeight="1">
      <c r="H11" s="92"/>
    </row>
    <row r="12" spans="1:15" s="91" customFormat="1" ht="19.5" customHeight="1">
      <c r="H12" s="92"/>
    </row>
    <row r="13" spans="1:15" s="91" customFormat="1" ht="32.5">
      <c r="A13" s="91" t="str">
        <f>'shipper master'!C26</f>
        <v xml:space="preserve"> SY-7900109VT-DD-01</v>
      </c>
      <c r="H13" s="92"/>
      <c r="I13" s="91" t="str">
        <f>'shipper master'!C26</f>
        <v xml:space="preserve"> SY-7900109VT-DD-01</v>
      </c>
    </row>
    <row r="14" spans="1:15" s="91" customFormat="1" ht="32.5">
      <c r="A14" s="91" t="str">
        <f>'[1]shipper master'!C50</f>
        <v xml:space="preserve">VIVAN GARMENTS VIET NAM </v>
      </c>
      <c r="H14" s="92"/>
      <c r="I14" s="91" t="str">
        <f>'[1]shipper master'!C50</f>
        <v xml:space="preserve">VIVAN GARMENTS VIET NAM </v>
      </c>
    </row>
    <row r="15" spans="1:15" s="91" customFormat="1" ht="32.5">
      <c r="A15" s="91" t="str">
        <f>'[1]shipper master'!C51</f>
        <v xml:space="preserve"> COMPANY LIMITED</v>
      </c>
      <c r="H15" s="92"/>
      <c r="I15" s="91" t="str">
        <f>'[1]shipper master'!C51</f>
        <v xml:space="preserve"> COMPANY LIMITED</v>
      </c>
    </row>
    <row r="16" spans="1:15" s="91" customFormat="1" ht="32.5">
      <c r="A16" s="91" t="str">
        <f>'[1]shipper master'!C52</f>
        <v xml:space="preserve"> HOCHIMINH-CITY, VIETNAM</v>
      </c>
      <c r="H16" s="92"/>
      <c r="I16" s="91" t="str">
        <f>'[1]shipper master'!C52</f>
        <v xml:space="preserve"> HOCHIMINH-CITY, VIETNAM</v>
      </c>
    </row>
    <row r="17" spans="1:11" s="91" customFormat="1" ht="32.5">
      <c r="A17" s="91" t="s">
        <v>109</v>
      </c>
      <c r="C17" s="91">
        <v>3</v>
      </c>
      <c r="H17" s="92"/>
      <c r="I17" s="91" t="s">
        <v>109</v>
      </c>
      <c r="K17" s="91">
        <v>4</v>
      </c>
    </row>
    <row r="18" spans="1:11" s="91" customFormat="1" ht="32.5">
      <c r="A18" s="91" t="str">
        <f>'[1]shipper master'!C54</f>
        <v xml:space="preserve"> MADE IN JAPAN</v>
      </c>
      <c r="H18" s="92"/>
      <c r="I18" s="91" t="str">
        <f>'[1]shipper master'!C54</f>
        <v xml:space="preserve"> MADE IN JAPAN</v>
      </c>
    </row>
    <row r="19" spans="1:11" s="96" customFormat="1" ht="34">
      <c r="A19" s="91"/>
    </row>
    <row r="20" spans="1:11" s="96" customFormat="1" ht="34"/>
    <row r="21" spans="1:11" s="96" customFormat="1" ht="34"/>
    <row r="22" spans="1:11" s="96" customFormat="1" ht="34"/>
    <row r="23" spans="1:11" s="96" customFormat="1" ht="34"/>
    <row r="24" spans="1:11" s="96" customFormat="1" ht="34"/>
    <row r="25" spans="1:11" s="96" customFormat="1" ht="34"/>
    <row r="26" spans="1:11" s="91" customFormat="1" ht="32.5"/>
    <row r="27" spans="1:11" s="91" customFormat="1" ht="32.5"/>
    <row r="28" spans="1:11" s="91" customFormat="1" ht="32.5"/>
    <row r="29" spans="1:11" s="91" customFormat="1" ht="32.5"/>
    <row r="30" spans="1:11" s="91" customFormat="1" ht="32.5"/>
    <row r="31" spans="1:11" s="91" customFormat="1" ht="32.5"/>
    <row r="32" spans="1:11" s="91" customFormat="1" ht="32.5"/>
    <row r="33" s="91" customFormat="1" ht="32.5"/>
    <row r="34" s="91" customFormat="1" ht="32.5"/>
  </sheetData>
  <phoneticPr fontId="14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O92"/>
  <sheetViews>
    <sheetView showZeros="0" view="pageBreakPreview" zoomScale="90" zoomScaleNormal="115" zoomScaleSheetLayoutView="90" workbookViewId="0">
      <selection activeCell="Q15" sqref="Q15"/>
    </sheetView>
  </sheetViews>
  <sheetFormatPr defaultColWidth="9" defaultRowHeight="16"/>
  <cols>
    <col min="1" max="1" width="8.6328125" style="100" customWidth="1"/>
    <col min="2" max="2" width="11.6328125" style="100" customWidth="1"/>
    <col min="3" max="3" width="4.81640625" style="100" customWidth="1"/>
    <col min="4" max="4" width="19.1796875" style="100" customWidth="1"/>
    <col min="5" max="5" width="6.08984375" style="100" customWidth="1"/>
    <col min="6" max="7" width="3.08984375" style="100" customWidth="1"/>
    <col min="8" max="8" width="2.90625" style="100" customWidth="1"/>
    <col min="9" max="9" width="3.08984375" style="100" hidden="1" customWidth="1"/>
    <col min="10" max="12" width="8.453125" style="100" customWidth="1"/>
    <col min="13" max="13" width="9.90625" style="100" customWidth="1"/>
    <col min="14" max="14" width="13" style="100" customWidth="1"/>
    <col min="15" max="15" width="13.90625" style="100" customWidth="1"/>
    <col min="16" max="16384" width="9" style="100"/>
  </cols>
  <sheetData>
    <row r="1" spans="1:15" s="97" customFormat="1" ht="32.25" customHeight="1">
      <c r="A1" s="255" t="s">
        <v>110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</row>
    <row r="2" spans="1:15" ht="23.25" customHeight="1">
      <c r="A2" s="98" t="str">
        <f>'[2]shipper master'!C2</f>
        <v xml:space="preserve"> SHUNYA CO., LTD.</v>
      </c>
      <c r="B2" s="99"/>
      <c r="C2" s="99"/>
      <c r="D2" s="99"/>
      <c r="E2" s="99"/>
      <c r="N2" s="101"/>
    </row>
    <row r="3" spans="1:15" ht="15.75" customHeight="1">
      <c r="A3" s="3" t="str">
        <f>'[2]shipper master'!C3</f>
        <v xml:space="preserve"> KENSHIN BLDG., 1F, 1-22-10 DOUGENZAKA,</v>
      </c>
      <c r="B3" s="99"/>
      <c r="C3" s="99"/>
      <c r="D3" s="99"/>
      <c r="E3" s="99"/>
      <c r="N3" s="101"/>
    </row>
    <row r="4" spans="1:15" ht="18" customHeight="1">
      <c r="A4" s="3" t="str">
        <f>'[2]shipper master'!C4</f>
        <v xml:space="preserve"> SHIBUYA-KU 150-0043</v>
      </c>
      <c r="B4" s="99"/>
      <c r="C4" s="99"/>
      <c r="D4" s="99"/>
      <c r="E4" s="99"/>
      <c r="F4" s="102"/>
      <c r="G4" s="102"/>
      <c r="H4" s="102"/>
      <c r="I4" s="102"/>
      <c r="J4" s="102"/>
      <c r="K4" s="102"/>
      <c r="L4" s="102"/>
      <c r="N4" s="3">
        <f>'[2]shipper master'!C6</f>
        <v>0</v>
      </c>
    </row>
    <row r="5" spans="1:15" ht="16.5" thickBot="1">
      <c r="A5" s="103" t="str">
        <f>'[2]shipper master'!C5</f>
        <v xml:space="preserve"> TEL : +81(0)3-5459-1177</v>
      </c>
      <c r="B5" s="99"/>
      <c r="C5" s="99"/>
      <c r="D5" s="99"/>
      <c r="N5" s="3">
        <f>'[2]shipper master'!C7</f>
        <v>0</v>
      </c>
      <c r="O5" s="104"/>
    </row>
    <row r="6" spans="1:15" ht="13.4" customHeight="1">
      <c r="A6" s="105" t="s">
        <v>111</v>
      </c>
      <c r="B6" s="106"/>
      <c r="C6" s="106"/>
      <c r="D6" s="106"/>
      <c r="E6" s="106"/>
      <c r="F6" s="107" t="s">
        <v>112</v>
      </c>
      <c r="G6" s="108"/>
      <c r="H6" s="108"/>
      <c r="I6" s="108"/>
      <c r="J6" s="106"/>
      <c r="K6" s="106"/>
      <c r="L6" s="106"/>
      <c r="M6" s="199"/>
      <c r="N6" s="107" t="s">
        <v>113</v>
      </c>
      <c r="O6" s="101"/>
    </row>
    <row r="7" spans="1:15" ht="13.4" customHeight="1">
      <c r="A7" s="3" t="str">
        <f>'[2]shipper master'!C9</f>
        <v>VIVAN GARMENTS VIET NAM COMPANY LIMITED</v>
      </c>
      <c r="B7" s="101"/>
      <c r="C7" s="101"/>
      <c r="D7" s="101"/>
      <c r="E7" s="101"/>
      <c r="F7" s="109" t="str">
        <f>'shipper master'!C26</f>
        <v xml:space="preserve"> SY-7900109VT-DD-01</v>
      </c>
      <c r="G7" s="110"/>
      <c r="H7" s="110"/>
      <c r="I7" s="110"/>
      <c r="J7" s="110"/>
      <c r="K7" s="110"/>
      <c r="L7" s="110"/>
      <c r="M7" s="200"/>
      <c r="N7" s="111"/>
      <c r="O7" s="101"/>
    </row>
    <row r="8" spans="1:15" ht="13.4" customHeight="1">
      <c r="A8" s="3" t="str">
        <f>'[2]shipper master'!C10</f>
        <v>D17 Street , Sai Gon South Residential Area</v>
      </c>
      <c r="B8" s="101"/>
      <c r="C8" s="101"/>
      <c r="D8" s="101"/>
      <c r="E8" s="101"/>
      <c r="F8" s="112" t="s">
        <v>114</v>
      </c>
      <c r="G8" s="105"/>
      <c r="H8" s="105"/>
      <c r="I8" s="105"/>
      <c r="J8" s="101"/>
      <c r="K8" s="101"/>
      <c r="L8" s="101"/>
      <c r="M8" s="201"/>
      <c r="N8" s="113" t="str">
        <f>'shipper master'!C26</f>
        <v xml:space="preserve"> SY-7900109VT-DD-01</v>
      </c>
      <c r="O8" s="101"/>
    </row>
    <row r="9" spans="1:15" ht="13.4" customHeight="1">
      <c r="A9" s="3" t="str">
        <f>'[2]shipper master'!C11</f>
        <v>Hamlet 3 , Long Hau Commune , Can Giuoc District,</v>
      </c>
      <c r="B9" s="101"/>
      <c r="C9" s="101"/>
      <c r="D9" s="101"/>
      <c r="E9" s="101"/>
      <c r="F9" s="202" t="str">
        <f>'shipper master'!C25</f>
        <v>Jan, 09 2026</v>
      </c>
      <c r="G9" s="114"/>
      <c r="H9" s="114"/>
      <c r="I9" s="114"/>
      <c r="J9" s="114"/>
      <c r="K9" s="114"/>
      <c r="L9" s="114"/>
      <c r="M9" s="115"/>
      <c r="N9" s="113" t="str">
        <f>'[1]shipper master'!C50</f>
        <v xml:space="preserve">VIVAN GARMENTS VIET NAM </v>
      </c>
      <c r="O9" s="101"/>
    </row>
    <row r="10" spans="1:15" ht="13.4" customHeight="1">
      <c r="A10" s="3" t="str">
        <f>'[2]shipper master'!C12</f>
        <v xml:space="preserve"> Long An Province , VietNam</v>
      </c>
      <c r="B10" s="101"/>
      <c r="C10" s="101"/>
      <c r="D10" s="101"/>
      <c r="E10" s="101"/>
      <c r="F10" s="112" t="s">
        <v>115</v>
      </c>
      <c r="G10" s="105"/>
      <c r="H10" s="105"/>
      <c r="I10" s="105"/>
      <c r="J10" s="101"/>
      <c r="K10" s="101"/>
      <c r="L10" s="101"/>
      <c r="M10" s="201"/>
      <c r="N10" s="113" t="str">
        <f>'[1]shipper master'!C51</f>
        <v xml:space="preserve"> COMPANY LIMITED</v>
      </c>
      <c r="O10" s="101"/>
    </row>
    <row r="11" spans="1:15" ht="13.4" customHeight="1">
      <c r="A11" s="110" t="str">
        <f>'[2]shipper master'!C13</f>
        <v xml:space="preserve"> TEL : ( 084 ) 097 22 00 798  ATTN : MR. TUAN</v>
      </c>
      <c r="B11" s="101"/>
      <c r="C11" s="101"/>
      <c r="D11" s="101"/>
      <c r="E11" s="120"/>
      <c r="F11" s="256" t="str">
        <f>'shipper master'!C26</f>
        <v xml:space="preserve"> SY-7900109VT-DD-01</v>
      </c>
      <c r="G11" s="257"/>
      <c r="H11" s="257"/>
      <c r="I11" s="257"/>
      <c r="J11" s="257"/>
      <c r="K11" s="257"/>
      <c r="L11" s="257"/>
      <c r="M11" s="258"/>
      <c r="N11" s="113" t="str">
        <f>'[1]shipper master'!C52</f>
        <v xml:space="preserve"> HOCHIMINH-CITY, VIETNAM</v>
      </c>
      <c r="O11" s="101"/>
    </row>
    <row r="12" spans="1:15" ht="13.4" customHeight="1">
      <c r="A12" s="105" t="s">
        <v>116</v>
      </c>
      <c r="B12" s="116"/>
      <c r="C12" s="116"/>
      <c r="D12" s="116"/>
      <c r="E12" s="101"/>
      <c r="F12" s="112" t="s">
        <v>117</v>
      </c>
      <c r="G12" s="105"/>
      <c r="H12" s="105"/>
      <c r="I12" s="105"/>
      <c r="J12" s="101"/>
      <c r="K12" s="101"/>
      <c r="L12" s="101"/>
      <c r="M12" s="101"/>
      <c r="N12" s="117" t="s">
        <v>206</v>
      </c>
      <c r="O12" s="101"/>
    </row>
    <row r="13" spans="1:15" ht="13.4" customHeight="1">
      <c r="A13" s="3" t="str">
        <f>'[2]shipper master'!C15</f>
        <v xml:space="preserve"> - SAME AS BUYER -</v>
      </c>
      <c r="B13" s="101"/>
      <c r="C13" s="101"/>
      <c r="D13" s="101"/>
      <c r="E13" s="101"/>
      <c r="F13" s="256">
        <f>'[2]shipper master'!C30</f>
        <v>0</v>
      </c>
      <c r="G13" s="257"/>
      <c r="H13" s="257"/>
      <c r="I13" s="257"/>
      <c r="J13" s="257"/>
      <c r="K13" s="257"/>
      <c r="L13" s="257"/>
      <c r="M13" s="258"/>
      <c r="N13" s="113" t="s">
        <v>118</v>
      </c>
      <c r="O13" s="101"/>
    </row>
    <row r="14" spans="1:15" ht="13.4" customHeight="1">
      <c r="A14" s="3">
        <f>'[2]shipper master'!C16</f>
        <v>0</v>
      </c>
      <c r="B14" s="101"/>
      <c r="C14" s="101"/>
      <c r="D14" s="101"/>
      <c r="E14" s="101"/>
      <c r="F14" s="118" t="s">
        <v>24</v>
      </c>
      <c r="G14" s="3"/>
      <c r="H14" s="3"/>
      <c r="I14" s="3"/>
      <c r="J14" s="3"/>
      <c r="K14" s="3"/>
      <c r="L14" s="3"/>
      <c r="M14" s="119"/>
      <c r="N14" s="113"/>
      <c r="O14" s="101"/>
    </row>
    <row r="15" spans="1:15" ht="13.4" customHeight="1">
      <c r="A15" s="3">
        <f>'[2]shipper master'!C17</f>
        <v>0</v>
      </c>
      <c r="B15" s="101"/>
      <c r="C15" s="101"/>
      <c r="D15" s="101"/>
      <c r="E15" s="101"/>
      <c r="F15" s="256">
        <f>'[2]shipper master'!C29</f>
        <v>0</v>
      </c>
      <c r="G15" s="257"/>
      <c r="H15" s="257"/>
      <c r="I15" s="257"/>
      <c r="J15" s="257"/>
      <c r="K15" s="257"/>
      <c r="L15" s="257"/>
      <c r="M15" s="258"/>
      <c r="N15" s="113"/>
      <c r="O15" s="101"/>
    </row>
    <row r="16" spans="1:15" ht="13.4" customHeight="1">
      <c r="A16" s="3">
        <f>'[2]shipper master'!C18</f>
        <v>0</v>
      </c>
      <c r="B16" s="101"/>
      <c r="C16" s="101"/>
      <c r="D16" s="101"/>
      <c r="E16" s="101"/>
      <c r="F16" s="112" t="s">
        <v>119</v>
      </c>
      <c r="G16" s="105"/>
      <c r="H16" s="105"/>
      <c r="I16" s="105"/>
      <c r="J16" s="101"/>
      <c r="K16" s="101"/>
      <c r="L16" s="101"/>
      <c r="M16" s="101"/>
      <c r="N16" s="111"/>
      <c r="O16" s="101"/>
    </row>
    <row r="17" spans="1:15" ht="13.4" customHeight="1">
      <c r="A17" s="110">
        <f>'[2]shipper master'!C19</f>
        <v>0</v>
      </c>
      <c r="B17" s="120"/>
      <c r="C17" s="120"/>
      <c r="D17" s="120"/>
      <c r="E17" s="120"/>
      <c r="F17" s="259"/>
      <c r="G17" s="260"/>
      <c r="H17" s="260"/>
      <c r="I17" s="260"/>
      <c r="J17" s="260"/>
      <c r="K17" s="260"/>
      <c r="L17" s="260"/>
      <c r="M17" s="261"/>
      <c r="N17" s="111"/>
      <c r="O17" s="101"/>
    </row>
    <row r="18" spans="1:15" ht="13.4" customHeight="1">
      <c r="A18" s="105" t="s">
        <v>120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11"/>
      <c r="O18" s="101"/>
    </row>
    <row r="19" spans="1:15" ht="13.4" customHeight="1">
      <c r="A19" s="110" t="str">
        <f>'[2]shipper master'!C21</f>
        <v xml:space="preserve"> NO COMMERCIAL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1"/>
      <c r="O19" s="120"/>
    </row>
    <row r="20" spans="1:15" ht="13.4" customHeight="1">
      <c r="A20" s="105" t="s">
        <v>121</v>
      </c>
      <c r="B20" s="101"/>
      <c r="C20" s="101"/>
      <c r="D20" s="122" t="s">
        <v>122</v>
      </c>
      <c r="E20" s="123"/>
      <c r="F20" s="105" t="s">
        <v>123</v>
      </c>
      <c r="G20" s="105"/>
      <c r="H20" s="105"/>
      <c r="I20" s="105"/>
      <c r="J20" s="124" t="s">
        <v>124</v>
      </c>
      <c r="K20" s="124" t="s">
        <v>124</v>
      </c>
      <c r="L20" s="124" t="s">
        <v>124</v>
      </c>
      <c r="M20" s="125"/>
      <c r="N20" s="105" t="s">
        <v>125</v>
      </c>
      <c r="O20" s="101"/>
    </row>
    <row r="21" spans="1:15" s="1" customFormat="1" ht="13.4" customHeight="1" thickBot="1">
      <c r="A21" s="3" t="str">
        <f>'[2]shipper master'!C24</f>
        <v xml:space="preserve"> AIRCRAFT</v>
      </c>
      <c r="B21" s="103"/>
      <c r="C21" s="3"/>
      <c r="D21" s="126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3"/>
      <c r="K21" s="103"/>
      <c r="L21" s="103"/>
      <c r="M21" s="103"/>
      <c r="N21" s="4"/>
      <c r="O21" s="103"/>
    </row>
    <row r="22" spans="1:15" s="131" customFormat="1" ht="16.399999999999999" customHeight="1">
      <c r="A22" s="127" t="s">
        <v>126</v>
      </c>
      <c r="B22" s="127" t="s">
        <v>127</v>
      </c>
      <c r="C22" s="127"/>
      <c r="D22" s="128" t="s">
        <v>128</v>
      </c>
      <c r="E22" s="127" t="s">
        <v>129</v>
      </c>
      <c r="F22" s="128"/>
      <c r="G22" s="128"/>
      <c r="H22" s="128" t="s">
        <v>130</v>
      </c>
      <c r="I22" s="128"/>
      <c r="J22" s="128"/>
      <c r="K22" s="128"/>
      <c r="L22" s="128"/>
      <c r="M22" s="129" t="s">
        <v>131</v>
      </c>
      <c r="N22" s="127" t="s">
        <v>132</v>
      </c>
      <c r="O22" s="130" t="s">
        <v>133</v>
      </c>
    </row>
    <row r="23" spans="1:15" ht="13.4" customHeight="1">
      <c r="A23" s="132"/>
      <c r="B23" s="133"/>
      <c r="C23" s="133"/>
      <c r="D23" s="101"/>
      <c r="E23" s="133"/>
      <c r="F23" s="101"/>
      <c r="G23" s="101"/>
      <c r="H23" s="101"/>
      <c r="I23" s="101"/>
      <c r="J23" s="101"/>
      <c r="K23" s="101"/>
      <c r="L23" s="101"/>
      <c r="M23" s="134"/>
      <c r="N23" s="101"/>
      <c r="O23" s="111"/>
    </row>
    <row r="24" spans="1:15" s="1" customFormat="1" ht="13.4" customHeight="1">
      <c r="A24" s="135"/>
      <c r="B24" s="136" t="str">
        <f>'[2]shipper master'!C36</f>
        <v>FABRIC &amp; PARTS FOR WEAR &amp; SAMPLE CLOTHES</v>
      </c>
      <c r="C24" s="136"/>
      <c r="D24" s="4"/>
      <c r="E24" s="4"/>
      <c r="F24" s="4"/>
      <c r="G24" s="4"/>
      <c r="H24" s="4"/>
      <c r="I24" s="4"/>
      <c r="J24" s="4"/>
      <c r="K24" s="4"/>
      <c r="L24" s="4"/>
      <c r="M24" s="137"/>
      <c r="N24" s="138" t="str">
        <f>'[2]shipper master'!C48</f>
        <v>F.O.B. TOKYO IN YEN</v>
      </c>
      <c r="O24" s="139"/>
    </row>
    <row r="25" spans="1:15" s="1" customFormat="1" ht="13.4" customHeight="1">
      <c r="A25" s="135"/>
      <c r="B25" s="136"/>
      <c r="C25" s="136"/>
      <c r="D25" s="4"/>
      <c r="E25" s="4"/>
      <c r="F25" s="4"/>
      <c r="G25" s="4"/>
      <c r="H25" s="4"/>
      <c r="I25" s="4"/>
      <c r="J25" s="4"/>
      <c r="K25" s="4"/>
      <c r="L25" s="4"/>
      <c r="M25" s="137"/>
      <c r="N25" s="140"/>
      <c r="O25" s="139"/>
    </row>
    <row r="26" spans="1:15" s="1" customFormat="1" ht="13.4" customHeight="1">
      <c r="A26" s="141"/>
      <c r="B26" s="136">
        <f>'[2]shipper master'!C37</f>
        <v>0</v>
      </c>
      <c r="C26" s="136"/>
      <c r="D26" s="4"/>
      <c r="E26" s="4"/>
      <c r="F26" s="3"/>
      <c r="G26" s="3"/>
      <c r="H26" s="3"/>
      <c r="I26" s="3"/>
      <c r="J26" s="3"/>
      <c r="K26" s="3"/>
      <c r="L26" s="3"/>
      <c r="M26" s="143">
        <f>'NARITA '!E38</f>
        <v>228.39999999999998</v>
      </c>
      <c r="N26" s="144" t="s">
        <v>148</v>
      </c>
      <c r="O26" s="145">
        <f>'NARITA '!H38</f>
        <v>250253</v>
      </c>
    </row>
    <row r="27" spans="1:15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4"/>
      <c r="L27" s="4"/>
      <c r="M27" s="143">
        <f>'NARITA '!E39</f>
        <v>1700</v>
      </c>
      <c r="N27" s="144" t="s">
        <v>145</v>
      </c>
      <c r="O27" s="145">
        <f>'NARITA '!H39</f>
        <v>85000</v>
      </c>
    </row>
    <row r="28" spans="1:15" s="1" customFormat="1" ht="14" customHeight="1">
      <c r="A28" s="5"/>
      <c r="B28" s="4"/>
      <c r="C28" s="4"/>
      <c r="D28" s="3"/>
      <c r="E28" s="4"/>
      <c r="F28" s="4"/>
      <c r="G28" s="4"/>
      <c r="H28" s="4"/>
      <c r="I28" s="4"/>
      <c r="J28" s="4"/>
      <c r="K28" s="4"/>
      <c r="L28" s="4"/>
      <c r="M28" s="143">
        <f>'NARITA '!E40</f>
        <v>0</v>
      </c>
      <c r="N28" s="253"/>
      <c r="O28" s="145">
        <f>'NARITA '!H40</f>
        <v>0</v>
      </c>
    </row>
    <row r="29" spans="1:15" s="1" customFormat="1" ht="13.4" customHeight="1">
      <c r="A29" s="146"/>
      <c r="B29" s="22" t="str">
        <f>'[2]shipper master'!C38</f>
        <v>- DETAILS AS PER ATTACHED SHEET -</v>
      </c>
      <c r="C29" s="22"/>
      <c r="D29" s="3"/>
      <c r="E29" s="4"/>
      <c r="F29" s="3"/>
      <c r="G29" s="3"/>
      <c r="H29" s="3"/>
      <c r="I29" s="3"/>
      <c r="J29" s="3"/>
      <c r="K29" s="3"/>
      <c r="L29" s="3"/>
      <c r="M29" s="147"/>
      <c r="N29" s="144"/>
      <c r="O29" s="148"/>
    </row>
    <row r="30" spans="1:15" s="1" customFormat="1" ht="13.4" customHeight="1">
      <c r="A30" s="146"/>
      <c r="B30" s="22"/>
      <c r="C30" s="22"/>
      <c r="D30" s="3"/>
      <c r="E30" s="4"/>
      <c r="F30" s="3"/>
      <c r="G30" s="3"/>
      <c r="H30" s="3"/>
      <c r="I30" s="3"/>
      <c r="J30" s="3"/>
      <c r="K30" s="3"/>
      <c r="L30" s="3"/>
      <c r="M30" s="147"/>
      <c r="N30" s="144"/>
      <c r="O30" s="148"/>
    </row>
    <row r="31" spans="1:15" s="1" customFormat="1" ht="17.25" customHeight="1" thickBot="1">
      <c r="A31" s="282"/>
      <c r="B31" s="149" t="s">
        <v>144</v>
      </c>
      <c r="C31" s="185"/>
      <c r="D31" s="190"/>
      <c r="E31" s="284">
        <f>'NARITA '!E38</f>
        <v>228.39999999999998</v>
      </c>
      <c r="F31" s="284"/>
      <c r="G31" s="284"/>
      <c r="H31" s="284"/>
      <c r="I31" s="150"/>
      <c r="J31" s="150" t="s">
        <v>147</v>
      </c>
      <c r="K31" s="283">
        <f>K29</f>
        <v>0</v>
      </c>
      <c r="L31" s="186">
        <f>'NARITA '!E39</f>
        <v>1700</v>
      </c>
      <c r="M31" s="151" t="s">
        <v>85</v>
      </c>
      <c r="N31" s="186"/>
      <c r="O31" s="151">
        <f>SUM(O26:O27)</f>
        <v>335253</v>
      </c>
    </row>
    <row r="32" spans="1:15" s="1" customFormat="1" ht="13.4" customHeight="1" thickTop="1">
      <c r="A32" s="152"/>
      <c r="B32" s="153"/>
      <c r="C32" s="153"/>
      <c r="D32" s="3"/>
      <c r="E32" s="154"/>
      <c r="F32" s="3"/>
      <c r="G32" s="154"/>
      <c r="H32" s="3"/>
      <c r="I32" s="3"/>
      <c r="J32" s="3"/>
      <c r="K32" s="3"/>
      <c r="L32" s="3"/>
      <c r="M32" s="146"/>
      <c r="N32" s="155"/>
      <c r="O32" s="152"/>
    </row>
    <row r="33" spans="1:15" s="1" customFormat="1" ht="13.4" customHeight="1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156"/>
      <c r="N33" s="155"/>
      <c r="O33" s="157"/>
    </row>
    <row r="34" spans="1:15" s="1" customFormat="1" ht="13.4" customHeight="1">
      <c r="A34" s="3" t="str">
        <f>'[2]shipper master'!C63</f>
        <v>" THESE GOODS WILL BE RETURN TO JAPAN</v>
      </c>
      <c r="B34" s="158"/>
      <c r="C34" s="158"/>
      <c r="D34" s="158"/>
      <c r="E34" s="158"/>
      <c r="F34" s="158"/>
      <c r="G34" s="3"/>
      <c r="H34" s="3"/>
      <c r="I34" s="3" t="s">
        <v>134</v>
      </c>
      <c r="J34" s="3"/>
      <c r="K34" s="3"/>
      <c r="L34" s="3"/>
      <c r="M34" s="156" t="s">
        <v>135</v>
      </c>
      <c r="N34" s="155"/>
      <c r="O34" s="3"/>
    </row>
    <row r="35" spans="1:15" s="1" customFormat="1" ht="13.4" customHeight="1">
      <c r="A35" s="254" t="str">
        <f>'[2]shipper master'!C64</f>
        <v xml:space="preserve">  AFTER MANUFACTURED AT VIET NAM "</v>
      </c>
      <c r="B35" s="254"/>
      <c r="C35" s="254"/>
      <c r="D35" s="254"/>
      <c r="E35" s="4"/>
      <c r="F35" s="3"/>
      <c r="G35" s="3"/>
      <c r="H35" s="3"/>
      <c r="I35" s="3" t="s">
        <v>136</v>
      </c>
      <c r="J35" s="3"/>
      <c r="K35" s="3"/>
      <c r="L35" s="3"/>
      <c r="M35" s="156" t="s">
        <v>137</v>
      </c>
      <c r="N35" s="155"/>
      <c r="O35" s="157"/>
    </row>
    <row r="36" spans="1:15" s="1" customFormat="1" ht="13.4" customHeight="1">
      <c r="A36" s="3"/>
      <c r="B36" s="4"/>
      <c r="C36" s="4"/>
      <c r="D36" s="4">
        <f>'[2]shipper master'!C58</f>
        <v>0</v>
      </c>
      <c r="E36" s="4"/>
      <c r="F36" s="3"/>
      <c r="G36" s="3"/>
      <c r="H36" s="3"/>
      <c r="I36" s="3"/>
      <c r="J36" s="3"/>
      <c r="K36" s="3"/>
      <c r="L36" s="3"/>
      <c r="M36" s="146"/>
      <c r="N36" s="155"/>
      <c r="O36" s="3"/>
    </row>
    <row r="37" spans="1:15" s="1" customFormat="1" ht="13.4" customHeight="1">
      <c r="A37" s="4" t="str">
        <f>'[2]shipper master'!C60</f>
        <v>COUNTRY OF ORIGIN : JAPAN</v>
      </c>
      <c r="B37" s="4"/>
      <c r="C37" s="4"/>
      <c r="D37" s="4"/>
      <c r="E37" s="4"/>
      <c r="F37" s="3"/>
      <c r="G37" s="3"/>
      <c r="H37" s="3"/>
      <c r="I37" s="3"/>
      <c r="J37" s="3"/>
      <c r="K37" s="3"/>
      <c r="L37" s="3"/>
      <c r="M37" s="146"/>
      <c r="N37" s="155"/>
      <c r="O37" s="3"/>
    </row>
    <row r="38" spans="1:15" s="1" customFormat="1" ht="13.4" customHeight="1">
      <c r="A38" s="4"/>
      <c r="B38" s="4"/>
      <c r="C38" s="4"/>
      <c r="D38" s="4"/>
      <c r="E38" s="4"/>
      <c r="F38" s="3"/>
      <c r="G38" s="3"/>
      <c r="H38" s="3"/>
      <c r="I38" s="3"/>
      <c r="J38" s="3"/>
      <c r="K38" s="3"/>
      <c r="L38" s="3"/>
      <c r="M38" s="146"/>
      <c r="N38" s="155"/>
      <c r="O38" s="3"/>
    </row>
    <row r="39" spans="1:15" s="1" customFormat="1" ht="13.4" customHeight="1">
      <c r="A39" s="159" t="s">
        <v>138</v>
      </c>
      <c r="B39" s="160"/>
      <c r="C39" s="160"/>
      <c r="D39" s="161" t="s">
        <v>205</v>
      </c>
      <c r="E39" s="4"/>
      <c r="F39" s="3"/>
      <c r="G39" s="3"/>
      <c r="H39" s="3"/>
      <c r="I39" s="3"/>
      <c r="J39" s="3"/>
      <c r="K39" s="3"/>
      <c r="L39" s="3"/>
      <c r="M39" s="146"/>
      <c r="N39" s="155"/>
      <c r="O39" s="3"/>
    </row>
    <row r="40" spans="1:15" s="1" customFormat="1" ht="13.4" customHeight="1">
      <c r="A40" s="159" t="s">
        <v>139</v>
      </c>
      <c r="B40" s="160"/>
      <c r="C40" s="160"/>
      <c r="D40" s="162" t="s">
        <v>140</v>
      </c>
      <c r="E40" s="4"/>
      <c r="F40" s="3"/>
      <c r="G40" s="3"/>
      <c r="H40" s="3"/>
      <c r="I40" s="3"/>
      <c r="J40" s="3"/>
      <c r="K40" s="3"/>
      <c r="L40" s="3"/>
      <c r="M40" s="146"/>
      <c r="N40" s="155"/>
      <c r="O40" s="3"/>
    </row>
    <row r="41" spans="1:15" s="1" customFormat="1" ht="13.4" customHeight="1">
      <c r="A41" s="142"/>
      <c r="B41" s="136"/>
      <c r="C41" s="136"/>
      <c r="D41" s="163"/>
      <c r="E41" s="136"/>
      <c r="F41" s="164"/>
      <c r="G41" s="164"/>
      <c r="H41" s="164"/>
      <c r="I41" s="3"/>
      <c r="J41" s="3"/>
      <c r="K41" s="3"/>
      <c r="L41" s="3"/>
      <c r="M41" s="146"/>
      <c r="N41" s="155"/>
      <c r="O41" s="3"/>
    </row>
    <row r="42" spans="1:15" ht="18" customHeight="1">
      <c r="A42" s="142"/>
      <c r="B42" s="101"/>
      <c r="C42" s="101"/>
      <c r="D42" s="101"/>
      <c r="E42" s="101"/>
      <c r="F42" s="101"/>
      <c r="G42" s="101"/>
      <c r="H42" s="133"/>
      <c r="I42" s="101"/>
      <c r="J42" s="101"/>
      <c r="K42" s="101"/>
      <c r="L42" s="101"/>
      <c r="M42" s="133"/>
      <c r="N42" s="165"/>
      <c r="O42" s="101"/>
    </row>
    <row r="43" spans="1:15" ht="13.4" customHeight="1">
      <c r="A43" s="101"/>
      <c r="B43" s="166"/>
      <c r="C43" s="166"/>
      <c r="D43" s="101"/>
      <c r="E43" s="101"/>
      <c r="F43" s="101"/>
      <c r="G43" s="101"/>
      <c r="H43" s="101"/>
      <c r="I43" s="101"/>
      <c r="J43" s="101"/>
      <c r="K43" s="101"/>
      <c r="L43" s="101"/>
      <c r="M43" s="167"/>
      <c r="N43" s="165"/>
      <c r="O43" s="101"/>
    </row>
    <row r="44" spans="1:15" ht="13.4" customHeight="1">
      <c r="A44" s="101"/>
      <c r="B44" s="166"/>
      <c r="C44" s="166"/>
      <c r="D44" s="101"/>
      <c r="E44" s="101"/>
      <c r="F44" s="101"/>
      <c r="G44" s="101"/>
      <c r="H44" s="101"/>
      <c r="I44" s="101"/>
      <c r="J44" s="101"/>
      <c r="K44" s="101"/>
      <c r="L44" s="101"/>
      <c r="M44" s="167"/>
      <c r="N44" s="165"/>
      <c r="O44" s="101"/>
    </row>
    <row r="45" spans="1:15" ht="13.4" customHeight="1">
      <c r="A45" s="101"/>
      <c r="B45" s="101"/>
      <c r="C45" s="101"/>
      <c r="D45" s="101"/>
      <c r="E45" s="101"/>
      <c r="F45" s="101"/>
      <c r="G45" s="101"/>
      <c r="H45" s="120"/>
      <c r="I45" s="120"/>
      <c r="J45" s="120"/>
      <c r="K45" s="120"/>
      <c r="L45" s="120"/>
      <c r="M45" s="168"/>
      <c r="N45" s="169"/>
      <c r="O45" s="120"/>
    </row>
    <row r="46" spans="1:15" ht="13.4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67"/>
      <c r="N46" s="165"/>
      <c r="O46" s="101"/>
    </row>
    <row r="47" spans="1:15" ht="13.4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67"/>
      <c r="N47" s="165"/>
      <c r="O47" s="101"/>
    </row>
    <row r="48" spans="1:15" ht="13.4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67"/>
      <c r="N48" s="165"/>
      <c r="O48" s="101"/>
    </row>
    <row r="49" spans="1:15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67"/>
      <c r="N49" s="165"/>
      <c r="O49" s="101"/>
    </row>
    <row r="50" spans="1:1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67"/>
      <c r="N50" s="170"/>
      <c r="O50" s="101"/>
    </row>
    <row r="51" spans="1:1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67"/>
      <c r="N51" s="170"/>
      <c r="O51" s="101"/>
    </row>
    <row r="52" spans="1:1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67"/>
      <c r="N52" s="170"/>
      <c r="O52" s="101"/>
    </row>
    <row r="53" spans="1:1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67"/>
      <c r="N53" s="170"/>
      <c r="O53" s="101"/>
    </row>
    <row r="54" spans="1:1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67"/>
      <c r="N54" s="170"/>
      <c r="O54" s="101"/>
    </row>
    <row r="55" spans="1: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67"/>
      <c r="N55" s="170"/>
      <c r="O55" s="101"/>
    </row>
    <row r="56" spans="1:1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67"/>
      <c r="N56" s="170"/>
      <c r="O56" s="101"/>
    </row>
    <row r="57" spans="1:1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67"/>
      <c r="N57" s="170"/>
      <c r="O57" s="101"/>
    </row>
    <row r="58" spans="1:1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67"/>
      <c r="N58" s="170"/>
      <c r="O58" s="101"/>
    </row>
    <row r="59" spans="1:1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67"/>
      <c r="N59" s="170"/>
      <c r="O59" s="101"/>
    </row>
    <row r="60" spans="1:1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67"/>
      <c r="N60" s="170"/>
      <c r="O60" s="101"/>
    </row>
    <row r="61" spans="1:1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67"/>
      <c r="N61" s="170"/>
      <c r="O61" s="101"/>
    </row>
    <row r="62" spans="1:1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67"/>
      <c r="N62" s="170"/>
      <c r="O62" s="101"/>
    </row>
    <row r="63" spans="1:1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67"/>
      <c r="N63" s="170"/>
      <c r="O63" s="101"/>
    </row>
    <row r="64" spans="1:1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67"/>
      <c r="N64" s="170"/>
      <c r="O64" s="101"/>
    </row>
    <row r="65" spans="1:1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67"/>
      <c r="N65" s="170"/>
      <c r="O65" s="101"/>
    </row>
    <row r="66" spans="1:1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67"/>
      <c r="N66" s="170"/>
      <c r="O66" s="101"/>
    </row>
    <row r="67" spans="1:1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67"/>
      <c r="N67" s="170"/>
      <c r="O67" s="101"/>
    </row>
    <row r="68" spans="1:1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67"/>
      <c r="N68" s="170"/>
      <c r="O68" s="101"/>
    </row>
    <row r="69" spans="1:1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67"/>
      <c r="N69" s="170"/>
      <c r="O69" s="101"/>
    </row>
    <row r="70" spans="1:1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67"/>
      <c r="N70" s="170"/>
      <c r="O70" s="101"/>
    </row>
    <row r="71" spans="1:1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67"/>
      <c r="N71" s="170"/>
      <c r="O71" s="101"/>
    </row>
    <row r="72" spans="1:1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67"/>
      <c r="N72" s="170"/>
      <c r="O72" s="101"/>
    </row>
    <row r="73" spans="1:15">
      <c r="M73" s="171"/>
      <c r="N73" s="172"/>
    </row>
    <row r="74" spans="1:15">
      <c r="M74" s="171"/>
      <c r="N74" s="172"/>
    </row>
    <row r="75" spans="1:15">
      <c r="N75" s="172"/>
    </row>
    <row r="76" spans="1:15">
      <c r="N76" s="172"/>
    </row>
    <row r="77" spans="1:15">
      <c r="N77" s="172"/>
    </row>
    <row r="78" spans="1:15">
      <c r="N78" s="172"/>
    </row>
    <row r="79" spans="1:15">
      <c r="N79" s="172"/>
    </row>
    <row r="80" spans="1:15">
      <c r="N80" s="172"/>
    </row>
    <row r="81" spans="14:14">
      <c r="N81" s="172"/>
    </row>
    <row r="82" spans="14:14">
      <c r="N82" s="172"/>
    </row>
    <row r="83" spans="14:14">
      <c r="N83" s="172"/>
    </row>
    <row r="84" spans="14:14">
      <c r="N84" s="172"/>
    </row>
    <row r="85" spans="14:14">
      <c r="N85" s="172"/>
    </row>
    <row r="86" spans="14:14">
      <c r="N86" s="172"/>
    </row>
    <row r="87" spans="14:14">
      <c r="N87" s="172"/>
    </row>
    <row r="88" spans="14:14">
      <c r="N88" s="172"/>
    </row>
    <row r="89" spans="14:14">
      <c r="N89" s="172"/>
    </row>
    <row r="90" spans="14:14">
      <c r="N90" s="172"/>
    </row>
    <row r="91" spans="14:14">
      <c r="N91" s="172"/>
    </row>
    <row r="92" spans="14:14">
      <c r="N92" s="172"/>
    </row>
  </sheetData>
  <mergeCells count="7">
    <mergeCell ref="A35:D35"/>
    <mergeCell ref="A1:O1"/>
    <mergeCell ref="F11:M11"/>
    <mergeCell ref="F13:M13"/>
    <mergeCell ref="F15:M15"/>
    <mergeCell ref="F17:M17"/>
    <mergeCell ref="E31:H31"/>
  </mergeCells>
  <phoneticPr fontId="14"/>
  <pageMargins left="0.39370078740157483" right="0.19685039370078741" top="0.59055118110236227" bottom="0.39370078740157483" header="0.51181102362204722" footer="0.51181102362204722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93"/>
  <sheetViews>
    <sheetView view="pageBreakPreview" topLeftCell="A7" zoomScale="70" zoomScaleNormal="90" zoomScaleSheetLayoutView="70" workbookViewId="0">
      <selection activeCell="I44" sqref="I44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267" t="s">
        <v>98</v>
      </c>
      <c r="B2" s="267"/>
      <c r="C2" s="267"/>
      <c r="D2" s="267"/>
      <c r="E2" s="267"/>
      <c r="F2" s="267"/>
      <c r="G2" s="267"/>
      <c r="H2" s="267"/>
      <c r="I2" s="35"/>
      <c r="L2" s="36"/>
      <c r="M2" s="36"/>
      <c r="N2" s="36"/>
    </row>
    <row r="3" spans="1:14" ht="15.5" thickBot="1">
      <c r="A3" s="37"/>
      <c r="B3" s="38"/>
      <c r="C3" s="37"/>
      <c r="D3" s="37"/>
      <c r="E3" s="37"/>
      <c r="F3" s="37"/>
      <c r="G3" s="37"/>
      <c r="H3" s="37"/>
      <c r="I3" s="35"/>
      <c r="L3" s="36"/>
      <c r="M3" s="36"/>
      <c r="N3" s="36"/>
    </row>
    <row r="4" spans="1:14" ht="21.75" customHeight="1" thickBot="1">
      <c r="A4" s="39" t="s">
        <v>36</v>
      </c>
      <c r="B4" s="24" t="s">
        <v>96</v>
      </c>
      <c r="C4" s="39" t="s">
        <v>86</v>
      </c>
      <c r="D4" s="23" t="s">
        <v>87</v>
      </c>
      <c r="E4" s="39" t="s">
        <v>88</v>
      </c>
      <c r="F4" s="268" t="s">
        <v>89</v>
      </c>
      <c r="G4" s="269"/>
      <c r="H4" s="40" t="s">
        <v>90</v>
      </c>
      <c r="I4" s="41" t="s">
        <v>91</v>
      </c>
      <c r="J4" s="42" t="s">
        <v>92</v>
      </c>
      <c r="K4" s="43" t="s">
        <v>93</v>
      </c>
      <c r="L4" s="44" t="s">
        <v>107</v>
      </c>
      <c r="M4" s="44" t="s">
        <v>94</v>
      </c>
      <c r="N4" s="45" t="s">
        <v>95</v>
      </c>
    </row>
    <row r="5" spans="1:14">
      <c r="A5" s="46"/>
      <c r="B5" s="47"/>
      <c r="C5" s="48"/>
      <c r="D5" s="49"/>
      <c r="E5" s="48"/>
      <c r="F5" s="48"/>
      <c r="G5" s="50"/>
      <c r="H5" s="50"/>
      <c r="I5" s="51"/>
      <c r="J5" s="52"/>
      <c r="K5" s="52"/>
      <c r="L5" s="52"/>
      <c r="M5" s="52"/>
      <c r="N5" s="53"/>
    </row>
    <row r="6" spans="1:14">
      <c r="A6" s="54"/>
      <c r="B6" s="55" t="s">
        <v>97</v>
      </c>
      <c r="C6" s="48"/>
      <c r="D6" s="56" t="str">
        <f>[3]invoice!B24</f>
        <v>FABRIC &amp; PARTS FOR WEAR &amp; SAMPLE CLOTHES</v>
      </c>
      <c r="E6" s="50"/>
      <c r="F6" s="50"/>
      <c r="G6" s="57" t="str">
        <f>'[1]shipper master'!C48</f>
        <v>F.O.B. TOKYO IN YEN</v>
      </c>
      <c r="H6" s="50"/>
      <c r="I6" s="58"/>
      <c r="J6" s="59"/>
      <c r="K6" s="59"/>
      <c r="L6" s="59"/>
      <c r="M6" s="59"/>
      <c r="N6" s="60"/>
    </row>
    <row r="7" spans="1:14" ht="15.5" thickBot="1">
      <c r="A7" s="61"/>
      <c r="B7" s="62"/>
      <c r="C7" s="63"/>
      <c r="D7" s="64" t="s">
        <v>108</v>
      </c>
      <c r="E7" s="63"/>
      <c r="F7" s="63"/>
      <c r="G7" s="65"/>
      <c r="H7" s="20"/>
      <c r="I7" s="66"/>
      <c r="J7" s="67"/>
      <c r="K7" s="67"/>
      <c r="L7" s="67"/>
      <c r="M7" s="68"/>
      <c r="N7" s="69"/>
    </row>
    <row r="8" spans="1:14" ht="15.65" customHeight="1">
      <c r="A8" s="262" t="s">
        <v>172</v>
      </c>
      <c r="B8" s="29"/>
      <c r="C8" s="29"/>
      <c r="D8" s="183" t="s">
        <v>166</v>
      </c>
      <c r="E8" s="70"/>
      <c r="F8" s="70"/>
      <c r="G8" s="71"/>
      <c r="H8" s="72"/>
      <c r="I8" s="204"/>
      <c r="J8" s="210"/>
      <c r="K8" s="72"/>
      <c r="L8" s="72"/>
      <c r="M8" s="72"/>
      <c r="N8" s="265">
        <v>4</v>
      </c>
    </row>
    <row r="9" spans="1:14">
      <c r="A9" s="263"/>
      <c r="B9" s="194" t="s">
        <v>163</v>
      </c>
      <c r="C9" s="191" t="s">
        <v>165</v>
      </c>
      <c r="D9" s="21" t="s">
        <v>146</v>
      </c>
      <c r="E9" s="196">
        <v>155</v>
      </c>
      <c r="F9" s="75" t="s">
        <v>147</v>
      </c>
      <c r="G9" s="192">
        <v>1370</v>
      </c>
      <c r="H9" s="193">
        <f>E9*G9</f>
        <v>212350</v>
      </c>
      <c r="I9" s="197"/>
      <c r="J9" s="211"/>
      <c r="K9" s="50"/>
      <c r="L9" s="78"/>
      <c r="M9" s="50"/>
      <c r="N9" s="270"/>
    </row>
    <row r="10" spans="1:14" ht="16.5">
      <c r="A10" s="263"/>
      <c r="B10" s="21" t="s">
        <v>146</v>
      </c>
      <c r="C10" s="73"/>
      <c r="D10" s="206" t="s">
        <v>167</v>
      </c>
      <c r="E10" s="74"/>
      <c r="F10" s="75"/>
      <c r="G10" s="192"/>
      <c r="H10" s="193"/>
      <c r="I10" s="197" t="s">
        <v>169</v>
      </c>
      <c r="J10" s="211" t="s">
        <v>171</v>
      </c>
      <c r="K10" s="50"/>
      <c r="L10" s="50"/>
      <c r="M10" s="50"/>
      <c r="N10" s="270"/>
    </row>
    <row r="11" spans="1:14" ht="16.5">
      <c r="A11" s="263"/>
      <c r="B11" s="32" t="s">
        <v>164</v>
      </c>
      <c r="C11" s="73"/>
      <c r="D11" s="31" t="s">
        <v>168</v>
      </c>
      <c r="E11" s="74"/>
      <c r="F11" s="75"/>
      <c r="G11" s="76"/>
      <c r="H11" s="77"/>
      <c r="I11" s="197" t="s">
        <v>170</v>
      </c>
      <c r="J11" s="211"/>
      <c r="K11" s="50"/>
      <c r="L11" s="50"/>
      <c r="M11" s="50"/>
      <c r="N11" s="270"/>
    </row>
    <row r="12" spans="1:14" ht="15.5" thickBot="1">
      <c r="A12" s="264"/>
      <c r="B12" s="34" t="s">
        <v>151</v>
      </c>
      <c r="C12" s="79"/>
      <c r="D12" s="33"/>
      <c r="E12" s="80"/>
      <c r="F12" s="187"/>
      <c r="G12" s="81"/>
      <c r="H12" s="82"/>
      <c r="I12" s="205"/>
      <c r="J12" s="212"/>
      <c r="K12" s="19"/>
      <c r="L12" s="19"/>
      <c r="M12" s="19"/>
      <c r="N12" s="266"/>
    </row>
    <row r="13" spans="1:14" ht="15.5" thickBot="1">
      <c r="A13" s="209"/>
      <c r="B13" s="194"/>
      <c r="C13" s="191"/>
      <c r="D13" s="195"/>
      <c r="E13" s="224"/>
      <c r="F13" s="207"/>
      <c r="G13" s="83"/>
      <c r="H13" s="84"/>
      <c r="I13" s="197"/>
      <c r="J13" s="211"/>
      <c r="K13" s="16"/>
      <c r="L13" s="16"/>
      <c r="M13" s="16"/>
      <c r="N13" s="198"/>
    </row>
    <row r="14" spans="1:14" ht="15.65" customHeight="1">
      <c r="A14" s="262" t="s">
        <v>182</v>
      </c>
      <c r="B14" s="29"/>
      <c r="C14" s="29"/>
      <c r="D14" s="183" t="s">
        <v>178</v>
      </c>
      <c r="E14" s="70"/>
      <c r="F14" s="70"/>
      <c r="G14" s="71"/>
      <c r="H14" s="72"/>
      <c r="I14" s="204"/>
      <c r="J14" s="210"/>
      <c r="K14" s="72"/>
      <c r="L14" s="72"/>
      <c r="M14" s="72"/>
      <c r="N14" s="265">
        <v>1</v>
      </c>
    </row>
    <row r="15" spans="1:14">
      <c r="A15" s="263"/>
      <c r="B15" s="194" t="s">
        <v>173</v>
      </c>
      <c r="C15" s="191" t="s">
        <v>176</v>
      </c>
      <c r="D15" s="21" t="s">
        <v>100</v>
      </c>
      <c r="E15" s="196">
        <v>29.7</v>
      </c>
      <c r="F15" s="75" t="s">
        <v>147</v>
      </c>
      <c r="G15" s="192">
        <v>395</v>
      </c>
      <c r="H15" s="193">
        <f>E15*G15</f>
        <v>11731.5</v>
      </c>
      <c r="I15" s="197"/>
      <c r="J15" s="211" t="s">
        <v>181</v>
      </c>
      <c r="K15" s="50"/>
      <c r="L15" s="78"/>
      <c r="M15" s="50"/>
      <c r="N15" s="270"/>
    </row>
    <row r="16" spans="1:14" ht="16.5">
      <c r="A16" s="263"/>
      <c r="B16" s="21" t="s">
        <v>100</v>
      </c>
      <c r="C16" s="73" t="s">
        <v>177</v>
      </c>
      <c r="D16" s="206" t="s">
        <v>156</v>
      </c>
      <c r="E16" s="74">
        <v>29.7</v>
      </c>
      <c r="F16" s="75" t="s">
        <v>147</v>
      </c>
      <c r="G16" s="192">
        <v>395</v>
      </c>
      <c r="H16" s="193">
        <f>E16*G16</f>
        <v>11731.5</v>
      </c>
      <c r="I16" s="197" t="s">
        <v>180</v>
      </c>
      <c r="J16" s="211"/>
      <c r="K16" s="50"/>
      <c r="L16" s="50"/>
      <c r="M16" s="50"/>
      <c r="N16" s="270"/>
    </row>
    <row r="17" spans="1:14" ht="16.5">
      <c r="A17" s="263"/>
      <c r="B17" s="32" t="s">
        <v>174</v>
      </c>
      <c r="C17" s="73"/>
      <c r="D17" s="31" t="s">
        <v>179</v>
      </c>
      <c r="E17" s="74"/>
      <c r="F17" s="75"/>
      <c r="G17" s="76"/>
      <c r="H17" s="77"/>
      <c r="I17" s="197"/>
      <c r="J17" s="211"/>
      <c r="K17" s="50"/>
      <c r="L17" s="50"/>
      <c r="M17" s="50"/>
      <c r="N17" s="270"/>
    </row>
    <row r="18" spans="1:14" ht="15.5" thickBot="1">
      <c r="A18" s="264"/>
      <c r="B18" s="34" t="s">
        <v>175</v>
      </c>
      <c r="C18" s="79"/>
      <c r="D18" s="33"/>
      <c r="E18" s="80"/>
      <c r="F18" s="80"/>
      <c r="G18" s="81"/>
      <c r="H18" s="82"/>
      <c r="I18" s="205"/>
      <c r="J18" s="212"/>
      <c r="K18" s="19"/>
      <c r="L18" s="19"/>
      <c r="M18" s="19"/>
      <c r="N18" s="266"/>
    </row>
    <row r="19" spans="1:14" ht="15.5" thickBot="1">
      <c r="A19" s="209"/>
      <c r="B19" s="188"/>
      <c r="C19" s="73"/>
      <c r="D19" s="31"/>
      <c r="E19" s="196"/>
      <c r="F19" s="75"/>
      <c r="G19" s="192"/>
      <c r="H19" s="193"/>
      <c r="I19" s="197"/>
      <c r="J19" s="211"/>
      <c r="K19" s="87"/>
      <c r="L19" s="87"/>
      <c r="M19" s="87"/>
      <c r="N19" s="198"/>
    </row>
    <row r="20" spans="1:14" ht="15.65" customHeight="1">
      <c r="A20" s="271" t="s">
        <v>191</v>
      </c>
      <c r="B20" s="252"/>
      <c r="C20" s="29"/>
      <c r="D20" s="275" t="s">
        <v>187</v>
      </c>
      <c r="E20" s="70"/>
      <c r="F20" s="70"/>
      <c r="G20" s="71"/>
      <c r="H20" s="72"/>
      <c r="I20" s="204"/>
      <c r="J20" s="210"/>
      <c r="K20" s="72"/>
      <c r="L20" s="72"/>
      <c r="M20" s="72"/>
      <c r="N20" s="265">
        <v>1</v>
      </c>
    </row>
    <row r="21" spans="1:14">
      <c r="A21" s="272"/>
      <c r="B21" s="276" t="s">
        <v>183</v>
      </c>
      <c r="C21" s="191" t="s">
        <v>159</v>
      </c>
      <c r="D21" s="21" t="s">
        <v>188</v>
      </c>
      <c r="E21" s="196">
        <v>1700</v>
      </c>
      <c r="F21" s="75" t="s">
        <v>85</v>
      </c>
      <c r="G21" s="192">
        <v>50</v>
      </c>
      <c r="H21" s="77">
        <f>E21*G21</f>
        <v>85000</v>
      </c>
      <c r="I21" s="197"/>
      <c r="J21" s="211"/>
      <c r="K21" s="50"/>
      <c r="L21" s="50"/>
      <c r="M21" s="50"/>
      <c r="N21" s="270"/>
    </row>
    <row r="22" spans="1:14" ht="16.5">
      <c r="A22" s="272"/>
      <c r="B22" s="277" t="s">
        <v>184</v>
      </c>
      <c r="C22" s="73"/>
      <c r="D22" s="206"/>
      <c r="E22" s="74"/>
      <c r="F22" s="75"/>
      <c r="G22" s="192"/>
      <c r="H22" s="77"/>
      <c r="I22" s="197" t="s">
        <v>189</v>
      </c>
      <c r="J22" s="211" t="s">
        <v>190</v>
      </c>
      <c r="K22" s="50"/>
      <c r="L22" s="50"/>
      <c r="M22" s="50"/>
      <c r="N22" s="270"/>
    </row>
    <row r="23" spans="1:14">
      <c r="A23" s="272"/>
      <c r="B23" s="278" t="s">
        <v>185</v>
      </c>
      <c r="C23" s="73"/>
      <c r="D23" s="31"/>
      <c r="E23" s="74"/>
      <c r="F23" s="75"/>
      <c r="G23" s="76"/>
      <c r="H23" s="77"/>
      <c r="I23" s="197"/>
      <c r="J23" s="211"/>
      <c r="K23" s="50"/>
      <c r="L23" s="50"/>
      <c r="M23" s="50"/>
      <c r="N23" s="270"/>
    </row>
    <row r="24" spans="1:14" ht="15.5" thickBot="1">
      <c r="A24" s="273"/>
      <c r="B24" s="279" t="s">
        <v>186</v>
      </c>
      <c r="C24" s="79"/>
      <c r="D24" s="33"/>
      <c r="E24" s="80"/>
      <c r="F24" s="80"/>
      <c r="G24" s="81"/>
      <c r="H24" s="82"/>
      <c r="I24" s="205"/>
      <c r="J24" s="212"/>
      <c r="K24" s="19"/>
      <c r="L24" s="19"/>
      <c r="M24" s="19"/>
      <c r="N24" s="266"/>
    </row>
    <row r="25" spans="1:14" ht="15.5" thickBot="1">
      <c r="A25" s="209"/>
      <c r="B25" s="188"/>
      <c r="C25" s="73"/>
      <c r="D25" s="31"/>
      <c r="E25" s="196"/>
      <c r="F25" s="75"/>
      <c r="G25" s="192"/>
      <c r="H25" s="193"/>
      <c r="I25" s="197"/>
      <c r="J25" s="211"/>
      <c r="K25" s="87"/>
      <c r="L25" s="87"/>
      <c r="M25" s="87"/>
      <c r="N25" s="198"/>
    </row>
    <row r="26" spans="1:14" ht="15.65" customHeight="1">
      <c r="A26" s="262" t="s">
        <v>200</v>
      </c>
      <c r="B26" s="29"/>
      <c r="C26" s="29"/>
      <c r="D26" s="183" t="s">
        <v>154</v>
      </c>
      <c r="E26" s="70"/>
      <c r="F26" s="70"/>
      <c r="G26" s="71"/>
      <c r="H26" s="72"/>
      <c r="I26" s="204"/>
      <c r="J26" s="210"/>
      <c r="K26" s="72"/>
      <c r="L26" s="72"/>
      <c r="M26" s="72"/>
      <c r="N26" s="265">
        <v>1</v>
      </c>
    </row>
    <row r="27" spans="1:14">
      <c r="A27" s="263"/>
      <c r="B27" s="194" t="s">
        <v>201</v>
      </c>
      <c r="C27" s="191" t="s">
        <v>194</v>
      </c>
      <c r="D27" s="21" t="s">
        <v>149</v>
      </c>
      <c r="E27" s="196">
        <v>3</v>
      </c>
      <c r="F27" s="75" t="s">
        <v>148</v>
      </c>
      <c r="G27" s="192">
        <v>1020</v>
      </c>
      <c r="H27" s="77">
        <f>E27*G27</f>
        <v>3060</v>
      </c>
      <c r="I27" s="197"/>
      <c r="J27" s="211"/>
      <c r="K27" s="50"/>
      <c r="L27" s="50"/>
      <c r="M27" s="50"/>
      <c r="N27" s="270"/>
    </row>
    <row r="28" spans="1:14" ht="16.5">
      <c r="A28" s="263"/>
      <c r="B28" s="21" t="s">
        <v>149</v>
      </c>
      <c r="C28" s="73" t="s">
        <v>202</v>
      </c>
      <c r="D28" s="206" t="s">
        <v>156</v>
      </c>
      <c r="E28" s="196">
        <v>3</v>
      </c>
      <c r="F28" s="75" t="s">
        <v>148</v>
      </c>
      <c r="G28" s="192">
        <v>1020</v>
      </c>
      <c r="H28" s="77">
        <f>E28*G28</f>
        <v>3060</v>
      </c>
      <c r="I28" s="197" t="s">
        <v>203</v>
      </c>
      <c r="J28" s="211" t="s">
        <v>190</v>
      </c>
      <c r="K28" s="50"/>
      <c r="L28" s="50"/>
      <c r="M28" s="50"/>
      <c r="N28" s="270"/>
    </row>
    <row r="29" spans="1:14" ht="16.5">
      <c r="A29" s="263"/>
      <c r="B29" s="32" t="s">
        <v>158</v>
      </c>
      <c r="C29" s="73"/>
      <c r="D29" s="31" t="s">
        <v>157</v>
      </c>
      <c r="E29" s="74"/>
      <c r="F29" s="75"/>
      <c r="G29" s="76"/>
      <c r="H29" s="77"/>
      <c r="I29" s="197"/>
      <c r="J29" s="211"/>
      <c r="K29" s="50"/>
      <c r="L29" s="50"/>
      <c r="M29" s="50"/>
      <c r="N29" s="270"/>
    </row>
    <row r="30" spans="1:14" ht="15.5" thickBot="1">
      <c r="A30" s="264"/>
      <c r="B30" s="34" t="s">
        <v>155</v>
      </c>
      <c r="C30" s="79"/>
      <c r="D30" s="33"/>
      <c r="E30" s="80"/>
      <c r="F30" s="80"/>
      <c r="G30" s="81"/>
      <c r="H30" s="82"/>
      <c r="I30" s="205"/>
      <c r="J30" s="212"/>
      <c r="K30" s="19"/>
      <c r="L30" s="19"/>
      <c r="M30" s="19"/>
      <c r="N30" s="266"/>
    </row>
    <row r="31" spans="1:14" ht="15.5" thickBot="1">
      <c r="A31" s="209"/>
      <c r="B31" s="188"/>
      <c r="C31" s="73"/>
      <c r="D31" s="31"/>
      <c r="E31" s="196"/>
      <c r="F31" s="75"/>
      <c r="G31" s="192"/>
      <c r="H31" s="193"/>
      <c r="I31" s="197"/>
      <c r="J31" s="211"/>
      <c r="K31" s="87"/>
      <c r="L31" s="87"/>
      <c r="M31" s="87"/>
      <c r="N31" s="198"/>
    </row>
    <row r="32" spans="1:14" ht="15.65" customHeight="1">
      <c r="A32" s="262" t="s">
        <v>204</v>
      </c>
      <c r="B32" s="29"/>
      <c r="C32" s="29"/>
      <c r="D32" s="183" t="s">
        <v>195</v>
      </c>
      <c r="E32" s="70"/>
      <c r="F32" s="70"/>
      <c r="G32" s="71"/>
      <c r="H32" s="72"/>
      <c r="I32" s="204"/>
      <c r="J32" s="210"/>
      <c r="K32" s="72"/>
      <c r="L32" s="72"/>
      <c r="M32" s="72"/>
      <c r="N32" s="265">
        <v>1</v>
      </c>
    </row>
    <row r="33" spans="1:14">
      <c r="A33" s="263"/>
      <c r="B33" s="194" t="s">
        <v>192</v>
      </c>
      <c r="C33" s="191" t="s">
        <v>194</v>
      </c>
      <c r="D33" s="21" t="s">
        <v>153</v>
      </c>
      <c r="E33" s="196">
        <v>8</v>
      </c>
      <c r="F33" s="75" t="s">
        <v>148</v>
      </c>
      <c r="G33" s="192">
        <v>1040</v>
      </c>
      <c r="H33" s="77">
        <f>E33*G33</f>
        <v>8320</v>
      </c>
      <c r="I33" s="197"/>
      <c r="J33" s="211"/>
      <c r="K33" s="50"/>
      <c r="L33" s="50"/>
      <c r="M33" s="50"/>
      <c r="N33" s="270"/>
    </row>
    <row r="34" spans="1:14" ht="16.5">
      <c r="A34" s="263"/>
      <c r="B34" s="21" t="s">
        <v>149</v>
      </c>
      <c r="C34" s="73"/>
      <c r="D34" s="195" t="s">
        <v>196</v>
      </c>
      <c r="E34" s="74"/>
      <c r="F34" s="75"/>
      <c r="G34" s="192"/>
      <c r="H34" s="77"/>
      <c r="I34" s="197" t="s">
        <v>198</v>
      </c>
      <c r="J34" s="211" t="s">
        <v>199</v>
      </c>
      <c r="K34" s="50"/>
      <c r="L34" s="50"/>
      <c r="M34" s="50"/>
      <c r="N34" s="270"/>
    </row>
    <row r="35" spans="1:14">
      <c r="A35" s="263"/>
      <c r="B35" s="32" t="s">
        <v>193</v>
      </c>
      <c r="C35" s="73"/>
      <c r="D35" s="30" t="s">
        <v>197</v>
      </c>
      <c r="E35" s="74"/>
      <c r="F35" s="75"/>
      <c r="G35" s="76"/>
      <c r="H35" s="77"/>
      <c r="I35" s="197"/>
      <c r="J35" s="211"/>
      <c r="K35" s="50"/>
      <c r="L35" s="50"/>
      <c r="M35" s="50"/>
      <c r="N35" s="270"/>
    </row>
    <row r="36" spans="1:14" ht="15.5" thickBot="1">
      <c r="A36" s="264"/>
      <c r="B36" s="34" t="s">
        <v>155</v>
      </c>
      <c r="C36" s="79"/>
      <c r="D36" s="33"/>
      <c r="E36" s="80"/>
      <c r="F36" s="80"/>
      <c r="G36" s="81"/>
      <c r="H36" s="82"/>
      <c r="I36" s="205"/>
      <c r="J36" s="212"/>
      <c r="K36" s="19"/>
      <c r="L36" s="19"/>
      <c r="M36" s="19"/>
      <c r="N36" s="266"/>
    </row>
    <row r="37" spans="1:14" ht="15.5" thickBot="1">
      <c r="A37" s="209"/>
      <c r="B37" s="248"/>
      <c r="C37" s="244"/>
      <c r="D37" s="249"/>
      <c r="E37" s="245"/>
      <c r="F37" s="246"/>
      <c r="G37" s="239"/>
      <c r="H37" s="240"/>
      <c r="I37" s="241"/>
      <c r="J37" s="243"/>
      <c r="K37" s="242"/>
      <c r="L37" s="242"/>
      <c r="M37" s="242"/>
      <c r="N37" s="247"/>
    </row>
    <row r="38" spans="1:14">
      <c r="A38" s="222"/>
      <c r="B38" s="213"/>
      <c r="C38" s="231"/>
      <c r="D38" s="214"/>
      <c r="E38" s="223">
        <f>SUMIF($F$8:$F$37,"M.",$E$8:$E$37)</f>
        <v>228.39999999999998</v>
      </c>
      <c r="F38" s="184" t="s">
        <v>147</v>
      </c>
      <c r="G38" s="219"/>
      <c r="H38" s="228">
        <f>SUMIF($F$8:$F$37,"M.",$H$8:$H$37)</f>
        <v>250253</v>
      </c>
      <c r="I38" s="219"/>
      <c r="J38" s="280"/>
      <c r="K38" s="72"/>
      <c r="L38" s="72"/>
      <c r="M38" s="72"/>
      <c r="N38" s="281"/>
    </row>
    <row r="39" spans="1:14">
      <c r="A39" s="50"/>
      <c r="B39" s="21"/>
      <c r="C39" s="50"/>
      <c r="D39" s="88"/>
      <c r="E39" s="86">
        <f>SUMIF($F$8:$F$37,"PCS.",$E$8:$E$37)</f>
        <v>1700</v>
      </c>
      <c r="F39" s="85" t="s">
        <v>85</v>
      </c>
      <c r="G39" s="50"/>
      <c r="H39" s="229">
        <f>SUMIF($F$8:$F$37,"PCS.",$H$8:$H$37)</f>
        <v>85000</v>
      </c>
      <c r="I39" s="50"/>
      <c r="J39" s="89"/>
      <c r="K39" s="50"/>
      <c r="L39" s="50"/>
      <c r="M39" s="50"/>
      <c r="N39" s="90"/>
    </row>
    <row r="40" spans="1:14">
      <c r="A40" s="20"/>
      <c r="B40" s="62"/>
      <c r="C40" s="20"/>
      <c r="D40" s="232"/>
      <c r="E40" s="86"/>
      <c r="F40" s="85"/>
      <c r="G40" s="50"/>
      <c r="H40" s="229"/>
      <c r="I40" s="50"/>
      <c r="J40" s="89"/>
      <c r="K40" s="50"/>
      <c r="L40" s="50"/>
      <c r="M40" s="50"/>
      <c r="N40" s="90"/>
    </row>
    <row r="41" spans="1:14" ht="14" customHeight="1" thickBot="1">
      <c r="A41" s="233"/>
      <c r="B41" s="234" t="s">
        <v>144</v>
      </c>
      <c r="C41" s="235" t="s">
        <v>205</v>
      </c>
      <c r="D41" s="236"/>
      <c r="E41" s="234"/>
      <c r="F41" s="237"/>
      <c r="G41" s="19" t="s">
        <v>150</v>
      </c>
      <c r="H41" s="238">
        <f>SUM(H8:H37)</f>
        <v>335253</v>
      </c>
      <c r="I41" s="205"/>
      <c r="J41" s="215"/>
      <c r="K41" s="216"/>
      <c r="L41" s="217"/>
      <c r="M41" s="203"/>
      <c r="N41" s="218"/>
    </row>
    <row r="45" spans="1:14">
      <c r="C45" s="3"/>
    </row>
    <row r="46" spans="1:14">
      <c r="C46" s="3"/>
    </row>
    <row r="93" spans="1:1">
      <c r="A93" s="7" t="s">
        <v>99</v>
      </c>
    </row>
  </sheetData>
  <mergeCells count="12">
    <mergeCell ref="A32:A36"/>
    <mergeCell ref="A26:A30"/>
    <mergeCell ref="N26:N30"/>
    <mergeCell ref="A2:H2"/>
    <mergeCell ref="F4:G4"/>
    <mergeCell ref="A20:A24"/>
    <mergeCell ref="N20:N24"/>
    <mergeCell ref="A8:A12"/>
    <mergeCell ref="N8:N12"/>
    <mergeCell ref="A14:A18"/>
    <mergeCell ref="N14:N18"/>
    <mergeCell ref="N32:N36"/>
  </mergeCells>
  <phoneticPr fontId="14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42"/>
  <sheetViews>
    <sheetView view="pageBreakPreview" topLeftCell="A10" zoomScale="90" zoomScaleNormal="70" zoomScaleSheetLayoutView="90" workbookViewId="0">
      <selection activeCell="G21" sqref="G21"/>
    </sheetView>
  </sheetViews>
  <sheetFormatPr defaultRowHeight="15"/>
  <cols>
    <col min="1" max="1" width="7.90625" customWidth="1"/>
    <col min="2" max="2" width="38.08984375" style="173" customWidth="1"/>
    <col min="3" max="3" width="81.6328125" customWidth="1"/>
    <col min="4" max="4" width="23.6328125" customWidth="1"/>
  </cols>
  <sheetData>
    <row r="1" spans="1:4" ht="17.5" customHeight="1">
      <c r="A1" s="142"/>
    </row>
    <row r="2" spans="1:4" ht="15" customHeight="1">
      <c r="A2" s="274" t="s">
        <v>141</v>
      </c>
      <c r="B2" s="274"/>
      <c r="C2" s="174"/>
    </row>
    <row r="3" spans="1:4" ht="15.65" customHeight="1" thickBot="1">
      <c r="A3" s="175"/>
      <c r="B3" s="176"/>
      <c r="C3" s="175"/>
    </row>
    <row r="4" spans="1:4" ht="21.75" customHeight="1" thickBot="1">
      <c r="A4" s="177" t="s">
        <v>36</v>
      </c>
      <c r="B4" s="24" t="s">
        <v>96</v>
      </c>
      <c r="C4" s="42" t="s">
        <v>87</v>
      </c>
      <c r="D4" s="178" t="s">
        <v>142</v>
      </c>
    </row>
    <row r="5" spans="1:4" ht="16" customHeight="1">
      <c r="A5" s="262" t="s">
        <v>172</v>
      </c>
      <c r="B5" s="29"/>
      <c r="C5" s="183" t="s">
        <v>166</v>
      </c>
      <c r="D5" s="179"/>
    </row>
    <row r="6" spans="1:4" ht="16" customHeight="1">
      <c r="A6" s="263"/>
      <c r="B6" s="194" t="s">
        <v>163</v>
      </c>
      <c r="C6" s="21" t="s">
        <v>146</v>
      </c>
      <c r="D6" s="225" t="s">
        <v>162</v>
      </c>
    </row>
    <row r="7" spans="1:4" ht="16" customHeight="1">
      <c r="A7" s="263"/>
      <c r="B7" s="21" t="s">
        <v>146</v>
      </c>
      <c r="C7" s="206" t="s">
        <v>167</v>
      </c>
      <c r="D7" s="180" t="s">
        <v>65</v>
      </c>
    </row>
    <row r="8" spans="1:4" ht="16" customHeight="1">
      <c r="A8" s="263"/>
      <c r="B8" s="32" t="s">
        <v>164</v>
      </c>
      <c r="C8" s="31" t="s">
        <v>168</v>
      </c>
      <c r="D8" s="225"/>
    </row>
    <row r="9" spans="1:4" ht="16" customHeight="1" thickBot="1">
      <c r="A9" s="264"/>
      <c r="B9" s="34" t="s">
        <v>151</v>
      </c>
      <c r="C9" s="33"/>
      <c r="D9" s="226"/>
    </row>
    <row r="10" spans="1:4" ht="15" customHeight="1" thickBot="1">
      <c r="A10" s="208"/>
      <c r="B10" s="194"/>
      <c r="C10" s="195"/>
      <c r="D10" s="220"/>
    </row>
    <row r="11" spans="1:4" ht="21.75" customHeight="1" thickBot="1">
      <c r="A11" s="177" t="s">
        <v>36</v>
      </c>
      <c r="B11" s="24" t="s">
        <v>96</v>
      </c>
      <c r="C11" s="227" t="s">
        <v>87</v>
      </c>
      <c r="D11" s="178" t="s">
        <v>142</v>
      </c>
    </row>
    <row r="12" spans="1:4" ht="17" customHeight="1">
      <c r="A12" s="262" t="s">
        <v>182</v>
      </c>
      <c r="B12" s="29"/>
      <c r="C12" s="183" t="s">
        <v>178</v>
      </c>
      <c r="D12" s="189"/>
    </row>
    <row r="13" spans="1:4" ht="16.399999999999999" customHeight="1">
      <c r="A13" s="263"/>
      <c r="B13" s="194" t="s">
        <v>173</v>
      </c>
      <c r="C13" s="21" t="s">
        <v>100</v>
      </c>
      <c r="D13" s="180" t="s">
        <v>161</v>
      </c>
    </row>
    <row r="14" spans="1:4" ht="15" customHeight="1">
      <c r="A14" s="263"/>
      <c r="B14" s="21" t="s">
        <v>100</v>
      </c>
      <c r="C14" s="206" t="s">
        <v>156</v>
      </c>
      <c r="D14" s="180" t="s">
        <v>65</v>
      </c>
    </row>
    <row r="15" spans="1:4" ht="15" customHeight="1">
      <c r="A15" s="263"/>
      <c r="B15" s="32" t="s">
        <v>174</v>
      </c>
      <c r="C15" s="31" t="s">
        <v>179</v>
      </c>
      <c r="D15" s="180"/>
    </row>
    <row r="16" spans="1:4" ht="15" customHeight="1" thickBot="1">
      <c r="A16" s="264"/>
      <c r="B16" s="34" t="s">
        <v>175</v>
      </c>
      <c r="C16" s="33"/>
      <c r="D16" s="221"/>
    </row>
    <row r="17" spans="1:4" ht="15" customHeight="1" thickBot="1">
      <c r="A17" s="209"/>
      <c r="B17" s="34"/>
      <c r="C17" s="250"/>
      <c r="D17" s="251"/>
    </row>
    <row r="18" spans="1:4" ht="21.75" customHeight="1" thickBot="1">
      <c r="A18" s="177" t="s">
        <v>36</v>
      </c>
      <c r="B18" s="24" t="s">
        <v>96</v>
      </c>
      <c r="C18" s="227" t="s">
        <v>87</v>
      </c>
      <c r="D18" s="178" t="s">
        <v>142</v>
      </c>
    </row>
    <row r="19" spans="1:4" ht="16.5" customHeight="1">
      <c r="A19" s="271" t="s">
        <v>191</v>
      </c>
      <c r="B19" s="252"/>
      <c r="C19" s="275" t="s">
        <v>187</v>
      </c>
      <c r="D19" s="180"/>
    </row>
    <row r="20" spans="1:4" ht="16.399999999999999" customHeight="1">
      <c r="A20" s="272"/>
      <c r="B20" s="276" t="s">
        <v>183</v>
      </c>
      <c r="C20" s="21" t="s">
        <v>188</v>
      </c>
      <c r="D20" s="180" t="s">
        <v>161</v>
      </c>
    </row>
    <row r="21" spans="1:4" ht="15" customHeight="1">
      <c r="A21" s="272"/>
      <c r="B21" s="277" t="s">
        <v>184</v>
      </c>
      <c r="C21" s="206"/>
      <c r="D21" s="180" t="s">
        <v>160</v>
      </c>
    </row>
    <row r="22" spans="1:4" ht="15" customHeight="1">
      <c r="A22" s="272"/>
      <c r="B22" s="278" t="s">
        <v>185</v>
      </c>
      <c r="C22" s="31"/>
      <c r="D22" s="180"/>
    </row>
    <row r="23" spans="1:4" ht="15" customHeight="1" thickBot="1">
      <c r="A23" s="273"/>
      <c r="B23" s="279" t="s">
        <v>186</v>
      </c>
      <c r="C23" s="33"/>
      <c r="D23" s="182"/>
    </row>
    <row r="24" spans="1:4" ht="15" customHeight="1" thickBot="1">
      <c r="A24" s="209"/>
      <c r="B24" s="34"/>
      <c r="C24" s="250"/>
      <c r="D24" s="251"/>
    </row>
    <row r="25" spans="1:4" ht="21.75" customHeight="1" thickBot="1">
      <c r="A25" s="177" t="s">
        <v>36</v>
      </c>
      <c r="B25" s="24" t="s">
        <v>96</v>
      </c>
      <c r="C25" s="227" t="s">
        <v>87</v>
      </c>
      <c r="D25" s="178" t="s">
        <v>142</v>
      </c>
    </row>
    <row r="26" spans="1:4" ht="16.5" customHeight="1">
      <c r="A26" s="262" t="s">
        <v>200</v>
      </c>
      <c r="B26" s="29"/>
      <c r="C26" s="183" t="s">
        <v>154</v>
      </c>
      <c r="D26" s="180"/>
    </row>
    <row r="27" spans="1:4" ht="16.399999999999999" customHeight="1">
      <c r="A27" s="263"/>
      <c r="B27" s="194" t="s">
        <v>201</v>
      </c>
      <c r="C27" s="21" t="s">
        <v>149</v>
      </c>
      <c r="D27" s="180" t="s">
        <v>161</v>
      </c>
    </row>
    <row r="28" spans="1:4" ht="15" customHeight="1">
      <c r="A28" s="263"/>
      <c r="B28" s="21" t="s">
        <v>149</v>
      </c>
      <c r="C28" s="206" t="s">
        <v>156</v>
      </c>
      <c r="D28" s="180" t="s">
        <v>160</v>
      </c>
    </row>
    <row r="29" spans="1:4" ht="15" customHeight="1">
      <c r="A29" s="263"/>
      <c r="B29" s="32" t="s">
        <v>158</v>
      </c>
      <c r="C29" s="31" t="s">
        <v>157</v>
      </c>
      <c r="D29" s="180"/>
    </row>
    <row r="30" spans="1:4" ht="15" customHeight="1" thickBot="1">
      <c r="A30" s="264"/>
      <c r="B30" s="34" t="s">
        <v>155</v>
      </c>
      <c r="C30" s="33"/>
      <c r="D30" s="182"/>
    </row>
    <row r="31" spans="1:4" ht="15" customHeight="1" thickBot="1">
      <c r="A31" s="209"/>
      <c r="B31" s="34"/>
      <c r="C31" s="250"/>
      <c r="D31" s="251"/>
    </row>
    <row r="32" spans="1:4" ht="21.75" customHeight="1" thickBot="1">
      <c r="A32" s="177" t="s">
        <v>36</v>
      </c>
      <c r="B32" s="24" t="s">
        <v>96</v>
      </c>
      <c r="C32" s="227" t="s">
        <v>87</v>
      </c>
      <c r="D32" s="178" t="s">
        <v>142</v>
      </c>
    </row>
    <row r="33" spans="1:4" ht="16.5" customHeight="1">
      <c r="A33" s="262" t="s">
        <v>204</v>
      </c>
      <c r="B33" s="29"/>
      <c r="C33" s="183" t="s">
        <v>195</v>
      </c>
      <c r="D33" s="180"/>
    </row>
    <row r="34" spans="1:4" ht="16.399999999999999" customHeight="1">
      <c r="A34" s="263"/>
      <c r="B34" s="194" t="s">
        <v>192</v>
      </c>
      <c r="C34" s="21" t="s">
        <v>153</v>
      </c>
      <c r="D34" s="180" t="s">
        <v>161</v>
      </c>
    </row>
    <row r="35" spans="1:4" ht="15" customHeight="1">
      <c r="A35" s="263"/>
      <c r="B35" s="21" t="s">
        <v>149</v>
      </c>
      <c r="C35" s="195" t="s">
        <v>196</v>
      </c>
      <c r="D35" s="180" t="s">
        <v>160</v>
      </c>
    </row>
    <row r="36" spans="1:4" ht="15" customHeight="1">
      <c r="A36" s="263"/>
      <c r="B36" s="32" t="s">
        <v>193</v>
      </c>
      <c r="C36" s="30" t="s">
        <v>197</v>
      </c>
      <c r="D36" s="180"/>
    </row>
    <row r="37" spans="1:4" ht="15" customHeight="1" thickBot="1">
      <c r="A37" s="264"/>
      <c r="B37" s="34" t="s">
        <v>155</v>
      </c>
      <c r="C37" s="33"/>
      <c r="D37" s="182"/>
    </row>
    <row r="38" spans="1:4" ht="15" customHeight="1" thickBot="1">
      <c r="A38" s="209"/>
      <c r="B38" s="34"/>
      <c r="C38" s="33"/>
      <c r="D38" s="181"/>
    </row>
    <row r="39" spans="1:4">
      <c r="A39" s="159"/>
      <c r="B39" s="159"/>
      <c r="C39" s="159"/>
      <c r="D39" s="159"/>
    </row>
    <row r="40" spans="1:4">
      <c r="A40" s="159"/>
      <c r="B40" s="159"/>
      <c r="C40" s="159"/>
      <c r="D40" s="159"/>
    </row>
    <row r="41" spans="1:4">
      <c r="A41" s="159"/>
      <c r="B41" s="159"/>
      <c r="C41" s="159"/>
      <c r="D41" s="159"/>
    </row>
    <row r="42" spans="1:4">
      <c r="A42" s="159"/>
      <c r="B42" s="159"/>
      <c r="C42" s="159"/>
      <c r="D42" s="159"/>
    </row>
  </sheetData>
  <mergeCells count="6">
    <mergeCell ref="A33:A37"/>
    <mergeCell ref="A26:A30"/>
    <mergeCell ref="A2:B2"/>
    <mergeCell ref="A5:A9"/>
    <mergeCell ref="A12:A16"/>
    <mergeCell ref="A19:A23"/>
  </mergeCells>
  <phoneticPr fontId="14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shipper master</vt:lpstr>
      <vt:lpstr>case mark </vt:lpstr>
      <vt:lpstr>invoice</vt:lpstr>
      <vt:lpstr>NARITA </vt:lpstr>
      <vt:lpstr>LABEL</vt:lpstr>
      <vt:lpstr>LABEL!Print_Area</vt:lpstr>
      <vt:lpstr>'NARITA '!Print_Area</vt:lpstr>
      <vt:lpstr>LABEL!Print_Titles</vt:lpstr>
      <vt:lpstr>'NARITA 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2026-01-08T07:27:57Z</dcterms:modified>
</cp:coreProperties>
</file>