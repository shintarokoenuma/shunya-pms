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B300EF1D-5D46-40B9-9E2A-4A877E6BB1E5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NARITA (2)" sheetId="68" r:id="rId5"/>
    <sheet name="サンプル製品カタログ" sheetId="67" r:id="rId6"/>
    <sheet name="LABEL" sheetId="66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pricetable" localSheetId="1">#REF!</definedName>
    <definedName name="pricetable" localSheetId="6">#REF!</definedName>
    <definedName name="pricetable" localSheetId="3">#REF!</definedName>
    <definedName name="pricetable" localSheetId="4">#REF!</definedName>
    <definedName name="pricetable" localSheetId="5">#REF!</definedName>
    <definedName name="pricetable">#REF!</definedName>
    <definedName name="_xlnm.Print_Area" localSheetId="6">LABEL!$A$1:$D$78</definedName>
    <definedName name="_xlnm.Print_Area" localSheetId="3">'NARITA '!$A$1:$N$53</definedName>
    <definedName name="_xlnm.Print_Area" localSheetId="4">'NARITA (2)'!$A$1:$N$38</definedName>
    <definedName name="_xlnm.Print_Area" localSheetId="5">サンプル製品カタログ!$A$2:$I$8</definedName>
    <definedName name="_xlnm.Print_Titles" localSheetId="6">LABEL!$1:$3</definedName>
    <definedName name="_xlnm.Print_Titles" localSheetId="3">'NARITA '!$1:$6</definedName>
    <definedName name="_xlnm.Print_Titles" localSheetId="4">'NARITA (2)'!$1:$6</definedName>
    <definedName name="_xlnm.Print_Titles" localSheetId="5">サンプル製品カタログ!$2:$2</definedName>
  </definedNames>
  <calcPr calcId="191029"/>
</workbook>
</file>

<file path=xl/calcChain.xml><?xml version="1.0" encoding="utf-8"?>
<calcChain xmlns="http://schemas.openxmlformats.org/spreadsheetml/2006/main">
  <c r="E35" i="68" l="1"/>
  <c r="E51" i="60"/>
  <c r="M30" i="65"/>
  <c r="K30" i="65"/>
  <c r="F30" i="65"/>
  <c r="M28" i="65"/>
  <c r="M27" i="65"/>
  <c r="M26" i="65"/>
  <c r="K28" i="65"/>
  <c r="K27" i="65"/>
  <c r="K26" i="65" l="1"/>
  <c r="D30" i="65" s="1"/>
  <c r="H34" i="60"/>
  <c r="H53" i="60" l="1"/>
  <c r="H52" i="60"/>
  <c r="E53" i="60"/>
  <c r="E52" i="60"/>
  <c r="H46" i="60"/>
  <c r="H45" i="60"/>
  <c r="H43" i="60"/>
  <c r="H42" i="60"/>
  <c r="H41" i="60"/>
  <c r="H40" i="60"/>
  <c r="H39" i="60"/>
  <c r="E37" i="68" l="1"/>
  <c r="H36" i="68"/>
  <c r="E36" i="68"/>
  <c r="H35" i="68"/>
  <c r="H37" i="68"/>
  <c r="G6" i="68"/>
  <c r="D6" i="68"/>
  <c r="H38" i="68" l="1"/>
  <c r="H28" i="60" l="1"/>
  <c r="H29" i="60"/>
  <c r="H30" i="60"/>
  <c r="H23" i="60"/>
  <c r="H22" i="60"/>
  <c r="H18" i="60"/>
  <c r="H19" i="60"/>
  <c r="H17" i="60"/>
  <c r="H16" i="60"/>
  <c r="H15" i="60"/>
  <c r="H11" i="60"/>
  <c r="F9" i="65"/>
  <c r="H10" i="60" l="1"/>
  <c r="F11" i="65" l="1"/>
  <c r="F7" i="65"/>
  <c r="L8" i="65" l="1"/>
  <c r="I13" i="64"/>
  <c r="A13" i="64"/>
  <c r="I2" i="64"/>
  <c r="A2" i="64"/>
  <c r="A36" i="65"/>
  <c r="D35" i="65"/>
  <c r="A34" i="65"/>
  <c r="A33" i="65"/>
  <c r="B28" i="65"/>
  <c r="B26" i="65"/>
  <c r="L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L11" i="65"/>
  <c r="A11" i="65"/>
  <c r="L10" i="65"/>
  <c r="A10" i="65"/>
  <c r="L9" i="65"/>
  <c r="A9" i="65"/>
  <c r="A8" i="65"/>
  <c r="A7" i="65"/>
  <c r="L5" i="65"/>
  <c r="A5" i="65"/>
  <c r="L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H9" i="60" l="1"/>
  <c r="H51" i="60" s="1"/>
  <c r="G6" i="60" l="1"/>
  <c r="D6" i="60"/>
  <c r="C45" i="17" l="1"/>
  <c r="A2" i="17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<sst xmlns="http://schemas.openxmlformats.org/spreadsheetml/2006/main" count="556" uniqueCount="291">
  <si>
    <t>SHIPPER NAME</t>
    <phoneticPr fontId="8" type="noConversion"/>
  </si>
  <si>
    <t>S/CODE</t>
    <phoneticPr fontId="8" type="noConversion"/>
  </si>
  <si>
    <t>SHIPPER ADDRESS 2</t>
    <phoneticPr fontId="13"/>
  </si>
  <si>
    <t>SHIPPER ADDRESS 1</t>
    <phoneticPr fontId="13"/>
  </si>
  <si>
    <t>SHIPPER ADDRESS 3</t>
    <phoneticPr fontId="13"/>
  </si>
  <si>
    <t xml:space="preserve">SHIPPER </t>
    <phoneticPr fontId="13"/>
  </si>
  <si>
    <t>TEL</t>
    <phoneticPr fontId="13"/>
  </si>
  <si>
    <t>FAX</t>
    <phoneticPr fontId="13"/>
  </si>
  <si>
    <t>ATTN OR VAT NO.</t>
    <phoneticPr fontId="13"/>
  </si>
  <si>
    <t>TEL/FAX</t>
    <phoneticPr fontId="13"/>
  </si>
  <si>
    <t>ATTN</t>
    <phoneticPr fontId="13"/>
  </si>
  <si>
    <t>CONSIGNEE :</t>
    <phoneticPr fontId="13"/>
  </si>
  <si>
    <t>CONSIGNEE ADDRESS1</t>
    <phoneticPr fontId="13"/>
  </si>
  <si>
    <t>CONSIGNEE ADDRESS2</t>
    <phoneticPr fontId="13"/>
  </si>
  <si>
    <t>CONSIGNEE ADDRESS3</t>
    <phoneticPr fontId="13"/>
  </si>
  <si>
    <t>TEL</t>
    <phoneticPr fontId="13"/>
  </si>
  <si>
    <t>FAX</t>
    <phoneticPr fontId="13"/>
  </si>
  <si>
    <t>PAYMENT 1</t>
    <phoneticPr fontId="13"/>
  </si>
  <si>
    <t>PAYMENT 2</t>
    <phoneticPr fontId="13"/>
  </si>
  <si>
    <t>SHIPPER PER</t>
    <phoneticPr fontId="13"/>
  </si>
  <si>
    <t>INVOICE DATE</t>
    <phoneticPr fontId="13"/>
  </si>
  <si>
    <t>INVOICE NO.</t>
    <phoneticPr fontId="13"/>
  </si>
  <si>
    <t>CONTRACT NO.</t>
    <phoneticPr fontId="13"/>
  </si>
  <si>
    <t>CONTRACT DATE</t>
    <phoneticPr fontId="13"/>
  </si>
  <si>
    <t>ORDER DATE</t>
    <phoneticPr fontId="13"/>
  </si>
  <si>
    <t>ORDER NO.</t>
    <phoneticPr fontId="13"/>
  </si>
  <si>
    <t>L/C DATE</t>
    <phoneticPr fontId="13"/>
  </si>
  <si>
    <t>FROM</t>
    <phoneticPr fontId="13"/>
  </si>
  <si>
    <t xml:space="preserve"> TOKYO, JAPAN</t>
    <phoneticPr fontId="13"/>
  </si>
  <si>
    <t>TO</t>
    <phoneticPr fontId="13"/>
  </si>
  <si>
    <t>VIA</t>
    <phoneticPr fontId="13"/>
  </si>
  <si>
    <t>SHIPPING TERMS</t>
    <phoneticPr fontId="13"/>
  </si>
  <si>
    <t>TITTLE 1</t>
    <phoneticPr fontId="13"/>
  </si>
  <si>
    <t>TITTLE 2</t>
    <phoneticPr fontId="13"/>
  </si>
  <si>
    <t>ATTACHE</t>
    <phoneticPr fontId="13"/>
  </si>
  <si>
    <t>- DETAILS AS PER ATTACHED SHEET -</t>
    <phoneticPr fontId="13"/>
  </si>
  <si>
    <t>C/NO.</t>
    <phoneticPr fontId="13"/>
  </si>
  <si>
    <t>STYLE NO.</t>
    <phoneticPr fontId="13"/>
  </si>
  <si>
    <t>DESCRIPTION</t>
    <phoneticPr fontId="13"/>
  </si>
  <si>
    <t>Q'TY CODE</t>
    <phoneticPr fontId="13"/>
  </si>
  <si>
    <t>QUANTITY</t>
    <phoneticPr fontId="13"/>
  </si>
  <si>
    <t>UNIT PRICE</t>
    <phoneticPr fontId="13"/>
  </si>
  <si>
    <t>AMOUNT</t>
    <phoneticPr fontId="13"/>
  </si>
  <si>
    <t>DISCOUNT</t>
    <phoneticPr fontId="13"/>
  </si>
  <si>
    <t>CASE MARK1</t>
    <phoneticPr fontId="13"/>
  </si>
  <si>
    <t>CASE MARK2</t>
    <phoneticPr fontId="13"/>
  </si>
  <si>
    <t>CASE MARK3</t>
    <phoneticPr fontId="13"/>
  </si>
  <si>
    <t>CASE MARK4</t>
    <phoneticPr fontId="13"/>
  </si>
  <si>
    <t>CASE MARK5</t>
    <phoneticPr fontId="13"/>
  </si>
  <si>
    <t>CASE MARK6</t>
    <phoneticPr fontId="13"/>
  </si>
  <si>
    <t>TOTAL</t>
    <phoneticPr fontId="13"/>
  </si>
  <si>
    <t>MANUFACTURED BY</t>
    <phoneticPr fontId="13"/>
  </si>
  <si>
    <t>ORIGIN</t>
    <phoneticPr fontId="13"/>
  </si>
  <si>
    <t>COUNTRY OF ORIGIN : JAPAN</t>
    <phoneticPr fontId="13"/>
  </si>
  <si>
    <t>OUR BANK</t>
    <phoneticPr fontId="13"/>
  </si>
  <si>
    <t>ETD TYO</t>
    <phoneticPr fontId="13"/>
  </si>
  <si>
    <t>DELIVERY SCHEDULES</t>
    <phoneticPr fontId="13"/>
  </si>
  <si>
    <t>INSURANCE</t>
    <phoneticPr fontId="13"/>
  </si>
  <si>
    <t>REMARK 1</t>
    <phoneticPr fontId="13"/>
  </si>
  <si>
    <t>AIR FREIGHT</t>
    <phoneticPr fontId="13"/>
  </si>
  <si>
    <t>YOUR (OUR) FORWARDER</t>
    <phoneticPr fontId="13"/>
  </si>
  <si>
    <t>CUSTOMS AGENT</t>
    <phoneticPr fontId="13"/>
  </si>
  <si>
    <t>FORWARDER</t>
    <phoneticPr fontId="13"/>
  </si>
  <si>
    <t>C/O ISSUED DATE</t>
    <phoneticPr fontId="13"/>
  </si>
  <si>
    <t>COUNTRY</t>
    <phoneticPr fontId="13"/>
  </si>
  <si>
    <t>F.O.B. TOKYO IN YEN</t>
    <phoneticPr fontId="13"/>
  </si>
  <si>
    <t xml:space="preserve"> SHUNYA CO., LTD.</t>
    <phoneticPr fontId="13"/>
  </si>
  <si>
    <t xml:space="preserve"> KENSHIN BLDG., 1F, 1-22-10 DOUGENZAKA,</t>
    <phoneticPr fontId="13"/>
  </si>
  <si>
    <t xml:space="preserve"> SHIBUYA-KU 150-0043</t>
    <phoneticPr fontId="13"/>
  </si>
  <si>
    <t xml:space="preserve"> TEL : +81(0)3-5459-1177</t>
    <phoneticPr fontId="13"/>
  </si>
  <si>
    <t xml:space="preserve"> - SAME AS BUYER -</t>
    <phoneticPr fontId="13"/>
  </si>
  <si>
    <t xml:space="preserve"> HOCHIMINH-CITY, VIETNAM</t>
    <phoneticPr fontId="13"/>
  </si>
  <si>
    <t>VIETNAM</t>
    <phoneticPr fontId="13"/>
  </si>
  <si>
    <t>PREPAID</t>
    <phoneticPr fontId="13"/>
  </si>
  <si>
    <t>COVERED BY SHIPPER</t>
    <phoneticPr fontId="13"/>
  </si>
  <si>
    <t>MEITETSU WORLD TRANSPORT (MR. NAMIKI)</t>
    <phoneticPr fontId="13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</si>
  <si>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3"/>
  </si>
  <si>
    <t>BUYER</t>
    <phoneticPr fontId="13"/>
  </si>
  <si>
    <t>BUYER ADDRESS1</t>
    <phoneticPr fontId="13"/>
  </si>
  <si>
    <t>BUYER ADDRESS2</t>
    <phoneticPr fontId="13"/>
  </si>
  <si>
    <t>BUYER ADDRESS3</t>
    <phoneticPr fontId="13"/>
  </si>
  <si>
    <t xml:space="preserve"> AIRCRAFT</t>
    <phoneticPr fontId="13"/>
  </si>
  <si>
    <t>持ち帰り条件</t>
    <rPh sb="0" eb="1">
      <t>モ</t>
    </rPh>
    <rPh sb="2" eb="3">
      <t>カエ</t>
    </rPh>
    <rPh sb="4" eb="6">
      <t>ジョウケン</t>
    </rPh>
    <phoneticPr fontId="13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</si>
  <si>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3"/>
  </si>
  <si>
    <t xml:space="preserve">  AFTER MANUFACTURED AT VIET NAM "</t>
    <phoneticPr fontId="13"/>
  </si>
  <si>
    <t xml:space="preserve"> NO COMMERCIAL</t>
    <phoneticPr fontId="12"/>
  </si>
  <si>
    <t>PCS.</t>
    <phoneticPr fontId="13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</si>
  <si>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</si>
  <si>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</si>
  <si>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</si>
  <si>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</si>
  <si>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</si>
  <si>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</si>
  <si>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</si>
  <si>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</si>
  <si>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</si>
  <si>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</si>
  <si>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3"/>
  </si>
  <si>
    <t>(H.S. CODE)</t>
    <phoneticPr fontId="13"/>
  </si>
  <si>
    <t>- ATTACHED SHEET -</t>
    <phoneticPr fontId="13"/>
  </si>
  <si>
    <t xml:space="preserve"> </t>
    <phoneticPr fontId="13"/>
  </si>
  <si>
    <t>WOVEN FABRIC</t>
    <phoneticPr fontId="13"/>
  </si>
  <si>
    <t>VIVAN GARMENTS VIET NAM COMPANY LIMITED</t>
    <phoneticPr fontId="13"/>
  </si>
  <si>
    <t>Hamlet 3 , Long Hau Commune , Can Giuoc District,</t>
    <phoneticPr fontId="13"/>
  </si>
  <si>
    <t xml:space="preserve"> Long An Province , VietNam</t>
    <phoneticPr fontId="13"/>
  </si>
  <si>
    <t xml:space="preserve"> TEL : :   ( 084 ) 097 22 00 798  ATTN : MR. TUAN</t>
    <phoneticPr fontId="13"/>
  </si>
  <si>
    <t>FABRIC &amp; PARTS FOR WEAR &amp; SAMPLE CLOTHES</t>
    <phoneticPr fontId="13"/>
  </si>
  <si>
    <t xml:space="preserve"> TEL : ( 084 ) 097 22 00 798  ATTN : MR. TUAN</t>
    <phoneticPr fontId="13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</si>
  <si>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3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</si>
  <si>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3"/>
  </si>
  <si>
    <t>POLYESTER100%</t>
    <phoneticPr fontId="13"/>
  </si>
  <si>
    <t xml:space="preserve"> C/NO.</t>
    <phoneticPr fontId="13"/>
  </si>
  <si>
    <t>INVOICE</t>
    <phoneticPr fontId="13"/>
  </si>
  <si>
    <t>IMPORTER</t>
    <phoneticPr fontId="12"/>
  </si>
  <si>
    <t>INVOICE NO.</t>
    <phoneticPr fontId="12"/>
  </si>
  <si>
    <t>CASE MARK</t>
    <phoneticPr fontId="12"/>
  </si>
  <si>
    <t>INVOICE DATE</t>
    <phoneticPr fontId="12"/>
  </si>
  <si>
    <t>CONTRACT NO.</t>
    <phoneticPr fontId="12"/>
  </si>
  <si>
    <t>CONSIGNEE</t>
    <phoneticPr fontId="12"/>
  </si>
  <si>
    <t xml:space="preserve">ORDER NO. </t>
    <phoneticPr fontId="12"/>
  </si>
  <si>
    <t>MADE  IN JAPAN</t>
    <phoneticPr fontId="13"/>
  </si>
  <si>
    <t>L/C NO.</t>
    <phoneticPr fontId="12"/>
  </si>
  <si>
    <t>PAYMENT METHOD</t>
    <phoneticPr fontId="12"/>
  </si>
  <si>
    <t>SHIPPED PER</t>
    <phoneticPr fontId="12"/>
  </si>
  <si>
    <t>FROM</t>
    <phoneticPr fontId="12"/>
  </si>
  <si>
    <t>TO</t>
    <phoneticPr fontId="12"/>
  </si>
  <si>
    <t xml:space="preserve"> </t>
    <phoneticPr fontId="12"/>
  </si>
  <si>
    <t>VIA</t>
    <phoneticPr fontId="12"/>
  </si>
  <si>
    <t>C/NO.</t>
    <phoneticPr fontId="12"/>
  </si>
  <si>
    <t>ART NO.</t>
    <phoneticPr fontId="13"/>
  </si>
  <si>
    <t xml:space="preserve">  DESCRIPTION  OF  GOODS</t>
    <phoneticPr fontId="12"/>
  </si>
  <si>
    <t>COLOR</t>
    <phoneticPr fontId="13"/>
  </si>
  <si>
    <t>SIZE</t>
    <phoneticPr fontId="13"/>
  </si>
  <si>
    <t>Q'TY</t>
    <phoneticPr fontId="12"/>
  </si>
  <si>
    <t>U/PRICE</t>
    <phoneticPr fontId="12"/>
  </si>
  <si>
    <t>AMOUNT</t>
    <phoneticPr fontId="12"/>
  </si>
  <si>
    <t>" NO COMMER VALUE</t>
    <phoneticPr fontId="13"/>
  </si>
  <si>
    <t>" NO COMMERCIAL VALUE</t>
    <phoneticPr fontId="13"/>
  </si>
  <si>
    <t xml:space="preserve">  VALUE FOR CUSTOMS PURPOSE ONLY "</t>
    <phoneticPr fontId="13"/>
  </si>
  <si>
    <t xml:space="preserve"> VALUE FOR CUSTOMS PURPOSE ONLY "</t>
    <phoneticPr fontId="13"/>
  </si>
  <si>
    <t>TOTAL CARTONS :</t>
    <phoneticPr fontId="13"/>
  </si>
  <si>
    <t>TOTAL GROSS WEIGHT :</t>
    <phoneticPr fontId="13"/>
  </si>
  <si>
    <t>KGS</t>
    <phoneticPr fontId="13"/>
  </si>
  <si>
    <t>LABEL SHEET -</t>
    <phoneticPr fontId="13"/>
  </si>
  <si>
    <t>原産国</t>
    <rPh sb="0" eb="3">
      <t>ゲンサンコク</t>
    </rPh>
    <phoneticPr fontId="13"/>
  </si>
  <si>
    <t>MADE IN JAPAN</t>
    <phoneticPr fontId="13"/>
  </si>
  <si>
    <t>D17 Street , Sai Gon South Residential Area</t>
    <phoneticPr fontId="13"/>
  </si>
  <si>
    <t>TOTAL :</t>
  </si>
  <si>
    <t>PCS.</t>
  </si>
  <si>
    <t>WOVEN FABRIC</t>
  </si>
  <si>
    <t>M.</t>
    <phoneticPr fontId="13"/>
  </si>
  <si>
    <t>綾織　ツイル　後染め</t>
    <rPh sb="0" eb="2">
      <t>アヤオリ</t>
    </rPh>
    <phoneticPr fontId="13"/>
  </si>
  <si>
    <t>短繊維、プリント加工なし</t>
    <rPh sb="0" eb="1">
      <t>タン</t>
    </rPh>
    <rPh sb="1" eb="3">
      <t>センイ</t>
    </rPh>
    <rPh sb="8" eb="9">
      <t>ナ</t>
    </rPh>
    <phoneticPr fontId="13"/>
  </si>
  <si>
    <t>M.</t>
  </si>
  <si>
    <t>13PACKAGES</t>
    <phoneticPr fontId="13"/>
  </si>
  <si>
    <t>ITEM</t>
    <phoneticPr fontId="13"/>
  </si>
  <si>
    <t>NAME</t>
    <phoneticPr fontId="13"/>
  </si>
  <si>
    <t>color</t>
    <phoneticPr fontId="13"/>
  </si>
  <si>
    <t>lady's or men's</t>
    <phoneticPr fontId="13"/>
  </si>
  <si>
    <t>WOVEN or  KNIT</t>
    <phoneticPr fontId="13"/>
  </si>
  <si>
    <t>picture</t>
    <phoneticPr fontId="13"/>
  </si>
  <si>
    <t>Composition</t>
    <phoneticPr fontId="13"/>
  </si>
  <si>
    <t>packingNo.</t>
    <phoneticPr fontId="13"/>
  </si>
  <si>
    <t>men's</t>
    <phoneticPr fontId="13"/>
  </si>
  <si>
    <t>KNIT FABRIC</t>
    <phoneticPr fontId="13"/>
  </si>
  <si>
    <t>08500020052</t>
    <phoneticPr fontId="13"/>
  </si>
  <si>
    <t xml:space="preserve">STYLE:s25-so-08		</t>
    <phoneticPr fontId="13"/>
  </si>
  <si>
    <t>c/#099 BLACK</t>
    <phoneticPr fontId="13"/>
  </si>
  <si>
    <t>c/#760 BLUE</t>
    <phoneticPr fontId="13"/>
  </si>
  <si>
    <t>c/#610 GRAY</t>
    <phoneticPr fontId="13"/>
  </si>
  <si>
    <r>
      <t>NYLON85%</t>
    </r>
    <r>
      <rPr>
        <b/>
        <sz val="10"/>
        <color theme="1"/>
        <rFont val="Yu Gothic"/>
        <family val="2"/>
        <charset val="128"/>
      </rPr>
      <t>、POLYURETHANE15%</t>
    </r>
    <phoneticPr fontId="13"/>
  </si>
  <si>
    <r>
      <t>WIDTH:140CM (156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</si>
  <si>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入庫NO.22070913</t>
    <rPh sb="0" eb="2">
      <t>ニュウコ</t>
    </rPh>
    <phoneticPr fontId="13"/>
  </si>
  <si>
    <t>1-3</t>
    <phoneticPr fontId="13"/>
  </si>
  <si>
    <t>14-9910</t>
    <phoneticPr fontId="13"/>
  </si>
  <si>
    <t>KNIT FABRIC</t>
  </si>
  <si>
    <t>両面ハニカム 丸編み 後染め</t>
    <rPh sb="0" eb="2">
      <t>リョウメン</t>
    </rPh>
    <rPh sb="7" eb="9">
      <t>マルア</t>
    </rPh>
    <phoneticPr fontId="13"/>
  </si>
  <si>
    <t xml:space="preserve">STYLE:s25-so-06,s25-so-07	</t>
    <phoneticPr fontId="13"/>
  </si>
  <si>
    <t>c/#BK</t>
    <phoneticPr fontId="13"/>
  </si>
  <si>
    <t>c/#3 PINK</t>
    <phoneticPr fontId="13"/>
  </si>
  <si>
    <t>c/#10 OLIVE</t>
    <phoneticPr fontId="13"/>
  </si>
  <si>
    <t>c/#6 YELLOW</t>
    <phoneticPr fontId="13"/>
  </si>
  <si>
    <t>c/#7 GREEN</t>
    <phoneticPr fontId="13"/>
  </si>
  <si>
    <t>POLYESTER100%</t>
  </si>
  <si>
    <r>
      <t>WIDTH:130CM (190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</si>
  <si>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入庫NO.22070928</t>
    <rPh sb="0" eb="2">
      <t>ニュウコ</t>
    </rPh>
    <phoneticPr fontId="13"/>
  </si>
  <si>
    <t>1060341</t>
    <phoneticPr fontId="13"/>
  </si>
  <si>
    <t>平織　後染め</t>
    <rPh sb="0" eb="1">
      <t>ヒラ</t>
    </rPh>
    <rPh sb="1" eb="2">
      <t>オリ</t>
    </rPh>
    <phoneticPr fontId="13"/>
  </si>
  <si>
    <t>c/#09 BLACK</t>
  </si>
  <si>
    <t>c/#09 BLACK</t>
    <phoneticPr fontId="13"/>
  </si>
  <si>
    <t>c/#16 ORANGE</t>
    <phoneticPr fontId="13"/>
  </si>
  <si>
    <t>STYLE:s25-so-00</t>
    <phoneticPr fontId="13"/>
  </si>
  <si>
    <r>
      <t>NYLON90%</t>
    </r>
    <r>
      <rPr>
        <b/>
        <sz val="10"/>
        <color theme="1"/>
        <rFont val="Yu Gothic"/>
        <family val="2"/>
        <charset val="128"/>
      </rPr>
      <t>、POLYURETHANE10%</t>
    </r>
    <phoneticPr fontId="13"/>
  </si>
  <si>
    <r>
      <t>WIDTH:130CM (87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</si>
  <si>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4-12</t>
    <phoneticPr fontId="13"/>
  </si>
  <si>
    <t>1060201</t>
    <phoneticPr fontId="13"/>
  </si>
  <si>
    <t>クールドッツ 後染め</t>
    <rPh sb="7" eb="8">
      <t>アト</t>
    </rPh>
    <phoneticPr fontId="13"/>
  </si>
  <si>
    <t>c/#00 WHITE</t>
  </si>
  <si>
    <t>c/#24 GRAY</t>
  </si>
  <si>
    <t>STYLE:s25-so-05</t>
    <phoneticPr fontId="13"/>
  </si>
  <si>
    <r>
      <t>WIDTH:155CM (108g/</t>
    </r>
    <r>
      <rPr>
        <b/>
        <sz val="10"/>
        <color theme="1"/>
        <rFont val="Microsoft YaHei"/>
        <family val="2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</si>
  <si>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13-15</t>
    <phoneticPr fontId="13"/>
  </si>
  <si>
    <t>入庫NO.22071144</t>
    <rPh sb="0" eb="2">
      <t>ニュウコ</t>
    </rPh>
    <phoneticPr fontId="13"/>
  </si>
  <si>
    <t>1/22</t>
    <phoneticPr fontId="13"/>
  </si>
  <si>
    <t>1/23</t>
    <phoneticPr fontId="13"/>
  </si>
  <si>
    <t>2/5</t>
    <phoneticPr fontId="13"/>
  </si>
  <si>
    <t>15CARTONS</t>
    <phoneticPr fontId="13"/>
  </si>
  <si>
    <t>搬入内容</t>
    <rPh sb="0" eb="2">
      <t>ハンニュウ</t>
    </rPh>
    <phoneticPr fontId="13"/>
  </si>
  <si>
    <r>
      <t>MADE</t>
    </r>
    <r>
      <rPr>
        <b/>
        <u/>
        <sz val="10"/>
        <rFont val="ＭＳ Ｐゴシック"/>
        <family val="3"/>
        <charset val="128"/>
      </rPr>
      <t>　IN　JAPAN</t>
    </r>
    <phoneticPr fontId="13"/>
  </si>
  <si>
    <t>SET.</t>
    <phoneticPr fontId="13"/>
  </si>
  <si>
    <t>TOTAL</t>
    <phoneticPr fontId="70"/>
  </si>
  <si>
    <t>pattern paper</t>
    <phoneticPr fontId="13"/>
  </si>
  <si>
    <t>s25-so-00 pattern paper</t>
    <phoneticPr fontId="13"/>
  </si>
  <si>
    <t>s25-so-05 pattern paper</t>
    <phoneticPr fontId="13"/>
  </si>
  <si>
    <t>s25-so-06 pattern paper</t>
    <phoneticPr fontId="13"/>
  </si>
  <si>
    <t>s25-so-07 pattern paper</t>
    <phoneticPr fontId="13"/>
  </si>
  <si>
    <t>s25-so-08 pattern paper</t>
    <phoneticPr fontId="13"/>
  </si>
  <si>
    <t>men's jacket  SAMPLE CLOTHES</t>
  </si>
  <si>
    <t>men's jacket  SAMPLE CLOTHES</t>
    <phoneticPr fontId="13"/>
  </si>
  <si>
    <t>men's T-shirt SAMPLE CLOTHES</t>
  </si>
  <si>
    <t>men's T-shirt SAMPLE CLOTHES</t>
    <phoneticPr fontId="13"/>
  </si>
  <si>
    <t>men's tank top SAMPLE CLOTHES</t>
  </si>
  <si>
    <t>men's tank top SAMPLE CLOTHES</t>
    <phoneticPr fontId="13"/>
  </si>
  <si>
    <t>men's short pants SAMPLE CLOTHES</t>
  </si>
  <si>
    <t>men's short pants SAMPLE CLOTHES</t>
    <phoneticPr fontId="13"/>
  </si>
  <si>
    <t>16</t>
    <phoneticPr fontId="13"/>
  </si>
  <si>
    <t>S25-SO-06</t>
  </si>
  <si>
    <t>3C　DA4FQ1</t>
  </si>
  <si>
    <t>22cm　＃342-15　＃830-15　＃580-15</t>
  </si>
  <si>
    <t>S25-SO-00</t>
  </si>
  <si>
    <t>PX　EJ24　M</t>
  </si>
  <si>
    <t>SPC</t>
  </si>
  <si>
    <t>PACKING</t>
  </si>
  <si>
    <t>D/G</t>
  </si>
  <si>
    <t>S25-SO-05</t>
  </si>
  <si>
    <t>W7480</t>
  </si>
  <si>
    <t>BK</t>
  </si>
  <si>
    <t>3CF C DFW</t>
  </si>
  <si>
    <t>580</t>
  </si>
  <si>
    <t>SIC199</t>
  </si>
  <si>
    <t>PL-S17</t>
  </si>
  <si>
    <t>C/BK</t>
  </si>
  <si>
    <t>SE300</t>
  </si>
  <si>
    <t>HBK</t>
  </si>
  <si>
    <t>SIC105</t>
  </si>
  <si>
    <t>B21</t>
  </si>
  <si>
    <t>T415</t>
    <phoneticPr fontId="13"/>
  </si>
  <si>
    <r>
      <t xml:space="preserve">KNIT FABRIC POLYESTER100% </t>
    </r>
    <r>
      <rPr>
        <b/>
        <sz val="10"/>
        <rFont val="Yu Gothic"/>
        <family val="2"/>
        <charset val="128"/>
      </rPr>
      <t>メッシュ　後染め　短繊維</t>
    </r>
    <rPh sb="31" eb="33">
      <t>アトゾ</t>
    </rPh>
    <rPh sb="35" eb="36">
      <t>タン</t>
    </rPh>
    <rPh sb="36" eb="38">
      <t>センイ</t>
    </rPh>
    <phoneticPr fontId="13"/>
  </si>
  <si>
    <r>
      <t>BK-2m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15-2m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13-2m</t>
    </r>
    <phoneticPr fontId="13"/>
  </si>
  <si>
    <r>
      <t xml:space="preserve">ZIPPER </t>
    </r>
    <r>
      <rPr>
        <b/>
        <sz val="10"/>
        <rFont val="Yu Gothic"/>
        <family val="2"/>
        <charset val="128"/>
      </rPr>
      <t>材質：ポリエステル</t>
    </r>
    <rPh sb="7" eb="9">
      <t>ザイシツ</t>
    </rPh>
    <phoneticPr fontId="13"/>
  </si>
  <si>
    <r>
      <t>DOT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BUTTONS</t>
    </r>
    <r>
      <rPr>
        <b/>
        <sz val="10"/>
        <rFont val="Yu Gothic"/>
        <family val="2"/>
        <charset val="128"/>
      </rPr>
      <t>　材質：真鍮</t>
    </r>
    <rPh sb="12" eb="14">
      <t>ザイシツ</t>
    </rPh>
    <rPh sb="15" eb="17">
      <t>シンチュウ</t>
    </rPh>
    <phoneticPr fontId="13"/>
  </si>
  <si>
    <r>
      <t>ZIPPER 12CM</t>
    </r>
    <r>
      <rPr>
        <b/>
        <sz val="10"/>
        <rFont val="Yu Gothic"/>
        <family val="2"/>
        <charset val="128"/>
      </rPr>
      <t>　材質：ポリエステル</t>
    </r>
    <rPh sb="12" eb="14">
      <t>ザイシツ</t>
    </rPh>
    <phoneticPr fontId="13"/>
  </si>
  <si>
    <r>
      <t>TAPE 10MM</t>
    </r>
    <r>
      <rPr>
        <b/>
        <sz val="10"/>
        <rFont val="Yu Gothic"/>
        <family val="2"/>
        <charset val="128"/>
      </rPr>
      <t>　材質：ポリエステル100％</t>
    </r>
    <rPh sb="10" eb="12">
      <t>ザイシツ</t>
    </rPh>
    <phoneticPr fontId="13"/>
  </si>
  <si>
    <r>
      <t>DOT BUTTONS</t>
    </r>
    <r>
      <rPr>
        <b/>
        <sz val="10"/>
        <rFont val="Yu Gothic"/>
        <family val="2"/>
        <charset val="128"/>
      </rPr>
      <t>　材質：真鍮</t>
    </r>
    <rPh sb="12" eb="14">
      <t>ザイシツ</t>
    </rPh>
    <rPh sb="15" eb="17">
      <t>シンチュウ</t>
    </rPh>
    <phoneticPr fontId="13"/>
  </si>
  <si>
    <t>パッキン　材質：ポリエステル</t>
    <rPh sb="5" eb="7">
      <t>ザイシツ</t>
    </rPh>
    <phoneticPr fontId="13"/>
  </si>
  <si>
    <r>
      <t>EYELET</t>
    </r>
    <r>
      <rPr>
        <b/>
        <sz val="10"/>
        <rFont val="Yu Gothic"/>
        <family val="2"/>
        <charset val="128"/>
      </rPr>
      <t>　材質：真鍮</t>
    </r>
    <rPh sb="7" eb="9">
      <t>ザイシツ</t>
    </rPh>
    <rPh sb="10" eb="12">
      <t>シンチュウ</t>
    </rPh>
    <phoneticPr fontId="13"/>
  </si>
  <si>
    <r>
      <t>TAPE 20MM</t>
    </r>
    <r>
      <rPr>
        <b/>
        <sz val="10"/>
        <rFont val="Yu Gothic"/>
        <family val="2"/>
        <charset val="128"/>
      </rPr>
      <t>　材質：ポリエステル</t>
    </r>
    <r>
      <rPr>
        <b/>
        <sz val="10"/>
        <rFont val="Century Gothic"/>
        <family val="2"/>
      </rPr>
      <t>100</t>
    </r>
    <r>
      <rPr>
        <b/>
        <sz val="10"/>
        <rFont val="Yu Gothic"/>
        <family val="2"/>
        <charset val="128"/>
      </rPr>
      <t>％</t>
    </r>
    <phoneticPr fontId="13"/>
  </si>
  <si>
    <r>
      <t>ZIPPER 12CM</t>
    </r>
    <r>
      <rPr>
        <b/>
        <sz val="10"/>
        <rFont val="Yu Gothic"/>
        <family val="2"/>
        <charset val="128"/>
      </rPr>
      <t>　材質：ポリエステル</t>
    </r>
    <phoneticPr fontId="13"/>
  </si>
  <si>
    <r>
      <t xml:space="preserve">TAPE  9MM </t>
    </r>
    <r>
      <rPr>
        <b/>
        <sz val="10"/>
        <rFont val="Yu Gothic"/>
        <family val="2"/>
        <charset val="128"/>
      </rPr>
      <t>ニットテープ　材質：ポリエステル</t>
    </r>
    <rPh sb="17" eb="19">
      <t>ザイシツ</t>
    </rPh>
    <phoneticPr fontId="13"/>
  </si>
  <si>
    <r>
      <t>ELASTIC WAIST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 xml:space="preserve">30mm </t>
    </r>
    <r>
      <rPr>
        <b/>
        <sz val="10"/>
        <rFont val="Yu Gothic"/>
        <family val="2"/>
        <charset val="128"/>
      </rPr>
      <t>材質：ナイロン</t>
    </r>
    <rPh sb="19" eb="21">
      <t>ザイシツ</t>
    </rPh>
    <phoneticPr fontId="13"/>
  </si>
  <si>
    <t>入庫NO.22071482</t>
    <phoneticPr fontId="13"/>
  </si>
  <si>
    <t>1CARTONS</t>
    <phoneticPr fontId="13"/>
  </si>
  <si>
    <t>17</t>
    <phoneticPr fontId="13"/>
  </si>
  <si>
    <t>BL1300</t>
    <phoneticPr fontId="13"/>
  </si>
  <si>
    <t>C/#BK</t>
    <phoneticPr fontId="13"/>
  </si>
  <si>
    <t>COTTON100%</t>
    <phoneticPr fontId="13"/>
  </si>
  <si>
    <t>綿メッシュ 丸編み</t>
    <rPh sb="6" eb="8">
      <t>マルア</t>
    </rPh>
    <phoneticPr fontId="13"/>
  </si>
  <si>
    <r>
      <t>WIDTH:85WCM (190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</si>
  <si>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STYLE: cc25ss-26</t>
    <phoneticPr fontId="13"/>
  </si>
  <si>
    <t>入庫NO.22071510</t>
    <rPh sb="0" eb="2">
      <t>ニュウコ</t>
    </rPh>
    <phoneticPr fontId="13"/>
  </si>
  <si>
    <t>2/18</t>
    <phoneticPr fontId="13"/>
  </si>
  <si>
    <t>2/19</t>
    <phoneticPr fontId="13"/>
  </si>
  <si>
    <t>C/#BLACK</t>
    <phoneticPr fontId="13"/>
  </si>
  <si>
    <t>s25-so-00 SAMPLE</t>
  </si>
  <si>
    <t>s25-so-00 SAMPLE</t>
    <phoneticPr fontId="13"/>
  </si>
  <si>
    <t>s25-so-05 SAMPLE</t>
  </si>
  <si>
    <t>s25-so-05 SAMPLE</t>
    <phoneticPr fontId="13"/>
  </si>
  <si>
    <t>s25-so-06 SAMPLE</t>
  </si>
  <si>
    <t>s25-so-06 SAMPLE</t>
    <phoneticPr fontId="13"/>
  </si>
  <si>
    <t>s25-so-07 SAMPLE</t>
  </si>
  <si>
    <t>s25-so-07 SAMPLE</t>
    <phoneticPr fontId="13"/>
  </si>
  <si>
    <t>s25-so-08 SAMPLE</t>
  </si>
  <si>
    <t>s25-so-08 SAMPLE</t>
    <phoneticPr fontId="13"/>
  </si>
  <si>
    <r>
      <t>NYLON90%</t>
    </r>
    <r>
      <rPr>
        <sz val="24"/>
        <rFont val="ＭＳ Ｐゴシック"/>
        <family val="2"/>
        <charset val="128"/>
      </rPr>
      <t>、</t>
    </r>
    <r>
      <rPr>
        <sz val="24"/>
        <rFont val="Century Gothic"/>
        <family val="2"/>
      </rPr>
      <t>POLYURETHANE10%</t>
    </r>
    <phoneticPr fontId="13"/>
  </si>
  <si>
    <r>
      <t>NYLON85%</t>
    </r>
    <r>
      <rPr>
        <sz val="24"/>
        <rFont val="ＭＳ Ｐゴシック"/>
        <family val="3"/>
        <charset val="128"/>
      </rPr>
      <t>、</t>
    </r>
    <r>
      <rPr>
        <sz val="24"/>
        <rFont val="Century Gothic"/>
        <family val="2"/>
      </rPr>
      <t>POLYURETHANE15%</t>
    </r>
  </si>
  <si>
    <t xml:space="preserve"> C/NO. 1-18</t>
    <phoneticPr fontId="13"/>
  </si>
  <si>
    <t>18CARTONS</t>
    <phoneticPr fontId="13"/>
  </si>
  <si>
    <t xml:space="preserve"> SY-6300208-VT-DD-01</t>
    <phoneticPr fontId="13"/>
  </si>
  <si>
    <t>438.4M. 519PCS. 218SET.</t>
    <phoneticPr fontId="13"/>
  </si>
  <si>
    <t>Feb, 09 2025</t>
    <phoneticPr fontId="13"/>
  </si>
  <si>
    <t>入庫NO.22071540</t>
    <rPh sb="0" eb="2">
      <t>ニュウコ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</si>
</sst>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&quot;¥&quot;#,##0_);\(&quot;¥&quot;#,##0\)"/>
    <numFmt numFmtId="178" formatCode="&quot;¥&quot;#,##0_);[Red]\(&quot;¥&quot;#,##0\)"/>
    <numFmt numFmtId="179" formatCode="#,##0.0"/>
    <numFmt numFmtId="180" formatCode="#,##0.0_);\(#,##0.0\)"/>
    <numFmt numFmtId="181" formatCode="_(* #,##0.0_);_(* \(#,##0.0\);_(* &quot;-&quot;_);_(@_)"/>
    <numFmt numFmtId="182" formatCode="[$€-410]\ #,##0.00_);[Red]\([$€-410]\ #,##0.00\)"/>
    <numFmt numFmtId="183" formatCode="[$€-410]\ #,##0.00;\-[$€-410]\ #,##0.00"/>
    <numFmt numFmtId="184" formatCode="m/d;@"/>
  </numFmts>
  <fonts count="80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2"/>
      <color rgb="FFFF0000"/>
      <name val="Century Gothic"/>
      <family val="2"/>
    </font>
    <font>
      <b/>
      <sz val="10"/>
      <name val="Century Gothic"/>
      <family val="2"/>
      <charset val="128"/>
    </font>
    <font>
      <b/>
      <sz val="10"/>
      <color theme="1"/>
      <name val="Yu Gothic"/>
      <family val="2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sz val="24"/>
      <name val="ＭＳ Ｐゴシック"/>
      <family val="2"/>
      <charset val="128"/>
    </font>
    <font>
      <b/>
      <sz val="10"/>
      <name val="Yu Gothic"/>
      <family val="2"/>
      <charset val="128"/>
    </font>
    <font>
      <b/>
      <sz val="10"/>
      <color theme="1"/>
      <name val="ＭＳ Ｐゴシック"/>
      <family val="3"/>
      <charset val="128"/>
    </font>
    <font>
      <b/>
      <sz val="10"/>
      <color theme="1"/>
      <name val="ＭＳ Ｐゴシック"/>
      <family val="2"/>
      <charset val="128"/>
    </font>
    <font>
      <b/>
      <sz val="10"/>
      <color theme="1"/>
      <name val="Microsoft YaHei"/>
      <family val="2"/>
      <charset val="134"/>
    </font>
    <font>
      <sz val="10"/>
      <name val="新細明體"/>
      <family val="1"/>
    </font>
    <font>
      <b/>
      <sz val="11"/>
      <color rgb="FFFF0000"/>
      <name val="Century Gothic"/>
      <family val="2"/>
    </font>
    <font>
      <b/>
      <u/>
      <sz val="12"/>
      <name val="Century Gothic"/>
      <family val="2"/>
    </font>
    <font>
      <sz val="6"/>
      <name val="ＭＳ Ｐゴシック"/>
      <family val="2"/>
      <charset val="128"/>
      <scheme val="minor"/>
    </font>
    <font>
      <b/>
      <sz val="12"/>
      <name val="Century Gothic"/>
      <family val="2"/>
    </font>
    <font>
      <b/>
      <sz val="12"/>
      <color rgb="FFFF0000"/>
      <name val="ＭＳ Ｐゴシック"/>
      <family val="2"/>
      <charset val="128"/>
    </font>
    <font>
      <u/>
      <sz val="10"/>
      <name val="Century Gothic"/>
      <family val="2"/>
    </font>
    <font>
      <b/>
      <sz val="12"/>
      <name val="新細明體"/>
    </font>
    <font>
      <b/>
      <sz val="12"/>
      <name val="新細明體"/>
      <family val="1"/>
    </font>
    <font>
      <sz val="10"/>
      <name val="ＭＳ　ゴシック"/>
      <family val="3"/>
      <charset val="128"/>
    </font>
    <font>
      <sz val="12"/>
      <name val="游ゴシック"/>
      <family val="1"/>
      <charset val="128"/>
    </font>
    <font>
      <b/>
      <sz val="10"/>
      <name val="ＭＳ ゴシック"/>
      <family val="3"/>
      <charset val="128"/>
    </font>
    <font>
      <sz val="24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</fills>
  <borders count="8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4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6" fontId="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53">
    <xf numFmtId="0" fontId="0" fillId="0" borderId="0" xfId="0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vertical="center" shrinkToFi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1" fillId="2" borderId="0" xfId="0" applyFont="1" applyFill="1" applyAlignment="1">
      <alignment horizontal="left" vertical="center"/>
    </xf>
    <xf numFmtId="0" fontId="23" fillId="0" borderId="0" xfId="0" applyFont="1" applyAlignment="1">
      <alignment vertical="center" shrinkToFit="1"/>
    </xf>
    <xf numFmtId="49" fontId="11" fillId="0" borderId="0" xfId="0" applyNumberFormat="1" applyFont="1" applyAlignment="1">
      <alignment vertical="center" shrinkToFit="1"/>
    </xf>
    <xf numFmtId="0" fontId="17" fillId="0" borderId="0" xfId="1" applyNumberFormat="1" applyFont="1" applyFill="1" applyBorder="1" applyAlignment="1" applyProtection="1"/>
    <xf numFmtId="26" fontId="11" fillId="0" borderId="0" xfId="0" applyNumberFormat="1" applyFont="1" applyAlignment="1">
      <alignment horizontal="left" vertical="center" shrinkToFit="1"/>
    </xf>
    <xf numFmtId="178" fontId="11" fillId="0" borderId="0" xfId="0" applyNumberFormat="1" applyFont="1" applyAlignment="1">
      <alignment horizontal="left" vertical="center" shrinkToFit="1"/>
    </xf>
    <xf numFmtId="0" fontId="15" fillId="0" borderId="0" xfId="0" applyFont="1" applyAlignment="1">
      <alignment vertical="center" shrinkToFit="1"/>
    </xf>
    <xf numFmtId="0" fontId="11" fillId="0" borderId="4" xfId="0" applyFont="1" applyBorder="1" applyAlignment="1">
      <alignment horizontal="center" vertical="center"/>
    </xf>
    <xf numFmtId="0" fontId="24" fillId="0" borderId="0" xfId="0" applyFont="1" applyAlignment="1">
      <alignment vertical="center" shrinkToFit="1"/>
    </xf>
    <xf numFmtId="0" fontId="25" fillId="0" borderId="0" xfId="0" applyFont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left" vertical="center"/>
    </xf>
    <xf numFmtId="49" fontId="11" fillId="3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vertical="center" shrinkToFit="1"/>
    </xf>
    <xf numFmtId="177" fontId="20" fillId="3" borderId="0" xfId="0" applyNumberFormat="1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49" fontId="23" fillId="0" borderId="10" xfId="0" applyNumberFormat="1" applyFont="1" applyBorder="1" applyAlignment="1">
      <alignment horizontal="left" vertical="center"/>
    </xf>
    <xf numFmtId="0" fontId="23" fillId="0" borderId="10" xfId="0" applyFont="1" applyBorder="1" applyAlignment="1">
      <alignment vertical="center" wrapText="1"/>
    </xf>
    <xf numFmtId="179" fontId="23" fillId="0" borderId="10" xfId="0" applyNumberFormat="1" applyFont="1" applyBorder="1" applyAlignment="1">
      <alignment vertical="center" shrinkToFit="1"/>
    </xf>
    <xf numFmtId="49" fontId="31" fillId="0" borderId="10" xfId="0" quotePrefix="1" applyNumberFormat="1" applyFont="1" applyBorder="1" applyAlignment="1">
      <alignment horizontal="left" vertical="center"/>
    </xf>
    <xf numFmtId="179" fontId="23" fillId="0" borderId="11" xfId="0" applyNumberFormat="1" applyFont="1" applyBorder="1" applyAlignment="1">
      <alignment vertical="center" shrinkToFit="1"/>
    </xf>
    <xf numFmtId="49" fontId="28" fillId="0" borderId="11" xfId="0" quotePrefix="1" applyNumberFormat="1" applyFont="1" applyBorder="1" applyAlignment="1">
      <alignment horizontal="left" vertical="center"/>
    </xf>
    <xf numFmtId="179" fontId="23" fillId="0" borderId="4" xfId="0" applyNumberFormat="1" applyFont="1" applyBorder="1" applyAlignment="1">
      <alignment vertical="center" shrinkToFit="1"/>
    </xf>
    <xf numFmtId="49" fontId="28" fillId="0" borderId="7" xfId="0" quotePrefix="1" applyNumberFormat="1" applyFont="1" applyBorder="1" applyAlignment="1">
      <alignment horizontal="left" vertical="center"/>
    </xf>
    <xf numFmtId="176" fontId="11" fillId="0" borderId="8" xfId="2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0" fontId="16" fillId="0" borderId="24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49" fontId="15" fillId="0" borderId="10" xfId="0" applyNumberFormat="1" applyFont="1" applyBorder="1" applyAlignment="1">
      <alignment horizontal="left" vertical="center"/>
    </xf>
    <xf numFmtId="0" fontId="15" fillId="0" borderId="10" xfId="0" applyFont="1" applyBorder="1" applyAlignment="1">
      <alignment horizontal="center" vertical="center"/>
    </xf>
    <xf numFmtId="0" fontId="26" fillId="0" borderId="10" xfId="0" applyFont="1" applyBorder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49" fontId="24" fillId="0" borderId="10" xfId="0" applyNumberFormat="1" applyFont="1" applyBorder="1" applyAlignment="1">
      <alignment horizontal="left" vertical="center"/>
    </xf>
    <xf numFmtId="0" fontId="15" fillId="0" borderId="10" xfId="0" applyFont="1" applyBorder="1">
      <alignment vertical="center"/>
    </xf>
    <xf numFmtId="26" fontId="15" fillId="0" borderId="10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49" fontId="11" fillId="0" borderId="6" xfId="0" applyNumberFormat="1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>
      <alignment vertical="center"/>
    </xf>
    <xf numFmtId="26" fontId="15" fillId="0" borderId="6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78" fontId="23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 vertical="center" wrapText="1"/>
    </xf>
    <xf numFmtId="1" fontId="11" fillId="0" borderId="8" xfId="0" applyNumberFormat="1" applyFont="1" applyBorder="1" applyAlignment="1">
      <alignment horizontal="center" vertical="center"/>
    </xf>
    <xf numFmtId="178" fontId="23" fillId="0" borderId="10" xfId="0" applyNumberFormat="1" applyFont="1" applyBorder="1" applyAlignment="1">
      <alignment horizontal="right" vertical="center"/>
    </xf>
    <xf numFmtId="177" fontId="11" fillId="0" borderId="10" xfId="0" applyNumberFormat="1" applyFont="1" applyBorder="1" applyAlignment="1">
      <alignment horizontal="right" vertical="center"/>
    </xf>
    <xf numFmtId="0" fontId="29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179" fontId="23" fillId="0" borderId="11" xfId="0" applyNumberFormat="1" applyFont="1" applyBorder="1" applyAlignment="1">
      <alignment horizontal="center" vertical="center" shrinkToFit="1"/>
    </xf>
    <xf numFmtId="178" fontId="23" fillId="0" borderId="11" xfId="0" applyNumberFormat="1" applyFont="1" applyBorder="1" applyAlignment="1">
      <alignment horizontal="right" vertical="center"/>
    </xf>
    <xf numFmtId="177" fontId="11" fillId="0" borderId="11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179" fontId="23" fillId="0" borderId="4" xfId="0" applyNumberFormat="1" applyFont="1" applyBorder="1" applyAlignment="1">
      <alignment horizontal="center" vertical="center" shrinkToFit="1"/>
    </xf>
    <xf numFmtId="178" fontId="23" fillId="0" borderId="4" xfId="0" applyNumberFormat="1" applyFont="1" applyBorder="1" applyAlignment="1">
      <alignment horizontal="right" vertical="center"/>
    </xf>
    <xf numFmtId="177" fontId="11" fillId="0" borderId="4" xfId="0" applyNumberFormat="1" applyFont="1" applyBorder="1" applyAlignment="1">
      <alignment horizontal="right" vertical="center"/>
    </xf>
    <xf numFmtId="0" fontId="32" fillId="0" borderId="4" xfId="0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77" fontId="11" fillId="0" borderId="10" xfId="0" applyNumberFormat="1" applyFont="1" applyBorder="1" applyAlignment="1">
      <alignment horizontal="center" vertical="center"/>
    </xf>
    <xf numFmtId="180" fontId="11" fillId="0" borderId="8" xfId="2" applyNumberFormat="1" applyFont="1" applyFill="1" applyBorder="1" applyAlignment="1">
      <alignment horizontal="center" vertical="center"/>
    </xf>
    <xf numFmtId="177" fontId="11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10" xfId="0" applyFont="1" applyBorder="1" applyAlignment="1">
      <alignment vertical="center" shrinkToFit="1"/>
    </xf>
    <xf numFmtId="49" fontId="11" fillId="0" borderId="10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0" xfId="0" applyFont="1" applyBorder="1">
      <alignment vertical="center"/>
    </xf>
    <xf numFmtId="0" fontId="34" fillId="0" borderId="0" xfId="0" applyFont="1">
      <alignment vertical="center"/>
    </xf>
    <xf numFmtId="0" fontId="34" fillId="0" borderId="37" xfId="0" applyFont="1" applyBorder="1">
      <alignment vertical="center"/>
    </xf>
    <xf numFmtId="0" fontId="34" fillId="0" borderId="0" xfId="0" applyFont="1" applyAlignment="1">
      <alignment horizontal="left" vertical="center"/>
    </xf>
    <xf numFmtId="0" fontId="34" fillId="0" borderId="38" xfId="0" applyFont="1" applyBorder="1">
      <alignment vertical="center"/>
    </xf>
    <xf numFmtId="0" fontId="34" fillId="0" borderId="39" xfId="0" applyFont="1" applyBorder="1">
      <alignment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11" fillId="0" borderId="1" xfId="0" applyFont="1" applyBorder="1">
      <alignment vertical="center"/>
    </xf>
    <xf numFmtId="0" fontId="40" fillId="0" borderId="1" xfId="0" applyFont="1" applyBorder="1">
      <alignment vertical="center"/>
    </xf>
    <xf numFmtId="0" fontId="43" fillId="0" borderId="0" xfId="0" applyFont="1">
      <alignment vertical="center"/>
    </xf>
    <xf numFmtId="0" fontId="41" fillId="0" borderId="2" xfId="0" applyFont="1" applyBorder="1">
      <alignment vertical="center"/>
    </xf>
    <xf numFmtId="0" fontId="43" fillId="0" borderId="3" xfId="0" applyFont="1" applyBorder="1">
      <alignment vertical="center"/>
    </xf>
    <xf numFmtId="0" fontId="43" fillId="0" borderId="2" xfId="0" applyFont="1" applyBorder="1">
      <alignment vertical="center"/>
    </xf>
    <xf numFmtId="0" fontId="11" fillId="0" borderId="40" xfId="0" applyFont="1" applyBorder="1" applyAlignment="1">
      <alignment horizontal="left" vertical="center"/>
    </xf>
    <xf numFmtId="0" fontId="11" fillId="0" borderId="41" xfId="0" applyFont="1" applyBorder="1">
      <alignment vertical="center"/>
    </xf>
    <xf numFmtId="0" fontId="41" fillId="0" borderId="42" xfId="0" applyFont="1" applyBorder="1">
      <alignment vertical="center"/>
    </xf>
    <xf numFmtId="0" fontId="43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49" fontId="11" fillId="0" borderId="41" xfId="0" applyNumberFormat="1" applyFont="1" applyBorder="1">
      <alignment vertical="center"/>
    </xf>
    <xf numFmtId="49" fontId="11" fillId="0" borderId="43" xfId="0" applyNumberFormat="1" applyFont="1" applyBorder="1">
      <alignment vertical="center"/>
    </xf>
    <xf numFmtId="0" fontId="41" fillId="0" borderId="44" xfId="0" applyFont="1" applyBorder="1">
      <alignment vertical="center"/>
    </xf>
    <xf numFmtId="0" fontId="24" fillId="5" borderId="42" xfId="0" applyFont="1" applyFill="1" applyBorder="1" applyAlignment="1">
      <alignment horizontal="left" vertical="center"/>
    </xf>
    <xf numFmtId="0" fontId="43" fillId="0" borderId="42" xfId="0" applyFont="1" applyBorder="1">
      <alignment vertical="center"/>
    </xf>
    <xf numFmtId="0" fontId="11" fillId="0" borderId="7" xfId="0" applyFont="1" applyBorder="1">
      <alignment vertical="center"/>
    </xf>
    <xf numFmtId="0" fontId="41" fillId="0" borderId="41" xfId="0" applyFont="1" applyBorder="1">
      <alignment vertical="center"/>
    </xf>
    <xf numFmtId="0" fontId="41" fillId="0" borderId="40" xfId="0" applyFont="1" applyBorder="1">
      <alignment vertical="center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44" fillId="0" borderId="0" xfId="0" applyFont="1">
      <alignment vertical="center"/>
    </xf>
    <xf numFmtId="0" fontId="45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46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1" fillId="0" borderId="6" xfId="0" applyFont="1" applyBorder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26" fontId="15" fillId="0" borderId="42" xfId="0" applyNumberFormat="1" applyFont="1" applyBorder="1" applyAlignment="1">
      <alignment horizontal="left" vertical="center"/>
    </xf>
    <xf numFmtId="0" fontId="11" fillId="0" borderId="42" xfId="0" applyFont="1" applyBorder="1">
      <alignment vertical="center"/>
    </xf>
    <xf numFmtId="26" fontId="15" fillId="0" borderId="0" xfId="0" applyNumberFormat="1" applyFont="1" applyAlignment="1">
      <alignment horizontal="left" vertical="center"/>
    </xf>
    <xf numFmtId="0" fontId="44" fillId="0" borderId="0" xfId="0" applyFont="1" applyAlignment="1">
      <alignment horizontal="center"/>
    </xf>
    <xf numFmtId="49" fontId="11" fillId="0" borderId="0" xfId="0" applyNumberFormat="1" applyFont="1">
      <alignment vertical="center"/>
    </xf>
    <xf numFmtId="180" fontId="23" fillId="0" borderId="4" xfId="2" applyNumberFormat="1" applyFont="1" applyFill="1" applyBorder="1" applyAlignment="1">
      <alignment horizontal="right" vertical="center"/>
    </xf>
    <xf numFmtId="1" fontId="23" fillId="0" borderId="4" xfId="2" applyNumberFormat="1" applyFont="1" applyFill="1" applyBorder="1" applyAlignment="1">
      <alignment horizontal="left" vertical="center"/>
    </xf>
    <xf numFmtId="177" fontId="23" fillId="0" borderId="42" xfId="2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/>
    </xf>
    <xf numFmtId="0" fontId="23" fillId="0" borderId="4" xfId="2" applyNumberFormat="1" applyFont="1" applyFill="1" applyBorder="1" applyAlignment="1">
      <alignment horizontal="right" vertical="center"/>
    </xf>
    <xf numFmtId="177" fontId="23" fillId="3" borderId="42" xfId="2" applyNumberFormat="1" applyFont="1" applyFill="1" applyBorder="1" applyAlignment="1">
      <alignment horizontal="right" vertical="center"/>
    </xf>
    <xf numFmtId="0" fontId="11" fillId="0" borderId="47" xfId="0" applyFont="1" applyBorder="1" applyAlignment="1">
      <alignment horizontal="left" vertical="center"/>
    </xf>
    <xf numFmtId="181" fontId="11" fillId="0" borderId="47" xfId="2" applyNumberFormat="1" applyFont="1" applyFill="1" applyBorder="1" applyAlignment="1">
      <alignment horizontal="left" vertical="center" indent="1"/>
    </xf>
    <xf numFmtId="182" fontId="23" fillId="0" borderId="47" xfId="0" applyNumberFormat="1" applyFont="1" applyBorder="1" applyAlignment="1">
      <alignment horizontal="left" vertical="center"/>
    </xf>
    <xf numFmtId="178" fontId="23" fillId="0" borderId="47" xfId="0" applyNumberFormat="1" applyFont="1" applyBorder="1" applyAlignment="1">
      <alignment horizontal="right" vertical="center"/>
    </xf>
    <xf numFmtId="0" fontId="11" fillId="0" borderId="0" xfId="0" quotePrefix="1" applyFont="1">
      <alignment vertical="center"/>
    </xf>
    <xf numFmtId="0" fontId="11" fillId="0" borderId="0" xfId="0" quotePrefix="1" applyFont="1" applyAlignment="1">
      <alignment horizontal="left" vertical="center"/>
    </xf>
    <xf numFmtId="26" fontId="11" fillId="0" borderId="0" xfId="0" applyNumberFormat="1" applyFont="1">
      <alignment vertical="center"/>
    </xf>
    <xf numFmtId="49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183" fontId="11" fillId="0" borderId="0" xfId="0" applyNumberFormat="1" applyFont="1">
      <alignment vertical="center"/>
    </xf>
    <xf numFmtId="0" fontId="45" fillId="0" borderId="0" xfId="0" applyFont="1">
      <alignment vertical="center"/>
    </xf>
    <xf numFmtId="49" fontId="24" fillId="0" borderId="0" xfId="0" applyNumberFormat="1" applyFont="1">
      <alignment vertical="center"/>
    </xf>
    <xf numFmtId="0" fontId="24" fillId="0" borderId="0" xfId="0" applyFont="1" applyAlignment="1">
      <alignment horizontal="left" vertical="center"/>
    </xf>
    <xf numFmtId="49" fontId="24" fillId="5" borderId="0" xfId="0" applyNumberFormat="1" applyFont="1" applyFill="1" applyAlignment="1">
      <alignment horizontal="left" vertical="center"/>
    </xf>
    <xf numFmtId="49" fontId="24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0" fontId="15" fillId="0" borderId="0" xfId="0" applyFont="1">
      <alignment vertical="center"/>
    </xf>
    <xf numFmtId="49" fontId="41" fillId="0" borderId="0" xfId="0" applyNumberFormat="1" applyFont="1" applyAlignment="1">
      <alignment horizontal="right"/>
    </xf>
    <xf numFmtId="0" fontId="47" fillId="0" borderId="0" xfId="0" applyFont="1">
      <alignment vertical="center"/>
    </xf>
    <xf numFmtId="0" fontId="41" fillId="0" borderId="0" xfId="0" applyFont="1" applyAlignment="1">
      <alignment horizontal="center"/>
    </xf>
    <xf numFmtId="0" fontId="47" fillId="0" borderId="41" xfId="0" applyFont="1" applyBorder="1" applyAlignment="1">
      <alignment horizontal="left"/>
    </xf>
    <xf numFmtId="49" fontId="41" fillId="0" borderId="41" xfId="0" applyNumberFormat="1" applyFont="1" applyBorder="1" applyAlignment="1">
      <alignment horizontal="right"/>
    </xf>
    <xf numFmtId="49" fontId="41" fillId="0" borderId="0" xfId="0" applyNumberFormat="1" applyFont="1">
      <alignment vertical="center"/>
    </xf>
    <xf numFmtId="0" fontId="40" fillId="0" borderId="0" xfId="0" applyFont="1" applyAlignment="1">
      <alignment horizontal="center"/>
    </xf>
    <xf numFmtId="49" fontId="40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48" fillId="0" borderId="0" xfId="0" applyNumberFormat="1" applyFont="1">
      <alignment vertical="center"/>
    </xf>
    <xf numFmtId="49" fontId="48" fillId="0" borderId="1" xfId="0" applyNumberFormat="1" applyFont="1" applyBorder="1" applyAlignment="1">
      <alignment horizontal="center" vertical="center"/>
    </xf>
    <xf numFmtId="49" fontId="48" fillId="0" borderId="1" xfId="0" applyNumberFormat="1" applyFont="1" applyBorder="1" applyAlignment="1">
      <alignment horizontal="left" vertical="center"/>
    </xf>
    <xf numFmtId="0" fontId="16" fillId="0" borderId="28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49" fontId="24" fillId="0" borderId="16" xfId="0" applyNumberFormat="1" applyFont="1" applyBorder="1">
      <alignment vertical="center"/>
    </xf>
    <xf numFmtId="0" fontId="0" fillId="0" borderId="50" xfId="0" applyBorder="1">
      <alignment vertical="center"/>
    </xf>
    <xf numFmtId="0" fontId="16" fillId="0" borderId="0" xfId="0" applyFont="1">
      <alignment vertical="center"/>
    </xf>
    <xf numFmtId="0" fontId="0" fillId="0" borderId="41" xfId="0" applyBorder="1">
      <alignment vertical="center"/>
    </xf>
    <xf numFmtId="0" fontId="16" fillId="0" borderId="1" xfId="0" applyFont="1" applyBorder="1">
      <alignment vertical="center"/>
    </xf>
    <xf numFmtId="49" fontId="49" fillId="0" borderId="0" xfId="0" applyNumberFormat="1" applyFont="1">
      <alignment vertical="center"/>
    </xf>
    <xf numFmtId="0" fontId="16" fillId="0" borderId="51" xfId="0" applyFont="1" applyBorder="1">
      <alignment vertical="center"/>
    </xf>
    <xf numFmtId="0" fontId="16" fillId="0" borderId="52" xfId="0" applyFont="1" applyBorder="1">
      <alignment vertical="center"/>
    </xf>
    <xf numFmtId="0" fontId="24" fillId="5" borderId="5" xfId="0" applyFont="1" applyFill="1" applyBorder="1" applyAlignment="1">
      <alignment horizontal="left" vertical="center"/>
    </xf>
    <xf numFmtId="1" fontId="11" fillId="0" borderId="5" xfId="0" applyNumberFormat="1" applyFont="1" applyBorder="1" applyAlignment="1">
      <alignment horizontal="center" vertical="center"/>
    </xf>
    <xf numFmtId="181" fontId="11" fillId="0" borderId="47" xfId="2" applyNumberFormat="1" applyFont="1" applyFill="1" applyBorder="1" applyAlignment="1">
      <alignment vertical="center"/>
    </xf>
    <xf numFmtId="0" fontId="23" fillId="0" borderId="47" xfId="0" applyFont="1" applyBorder="1" applyAlignment="1">
      <alignment horizontal="right" vertical="center"/>
    </xf>
    <xf numFmtId="0" fontId="11" fillId="0" borderId="47" xfId="0" applyFont="1" applyBorder="1">
      <alignment vertical="center"/>
    </xf>
    <xf numFmtId="1" fontId="11" fillId="0" borderId="12" xfId="0" applyNumberFormat="1" applyFont="1" applyBorder="1" applyAlignment="1">
      <alignment horizontal="center" vertical="center"/>
    </xf>
    <xf numFmtId="49" fontId="23" fillId="0" borderId="10" xfId="0" quotePrefix="1" applyNumberFormat="1" applyFont="1" applyBorder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181" fontId="11" fillId="0" borderId="47" xfId="2" applyNumberFormat="1" applyFont="1" applyFill="1" applyBorder="1" applyAlignment="1">
      <alignment horizontal="right" vertical="center"/>
    </xf>
    <xf numFmtId="0" fontId="23" fillId="0" borderId="8" xfId="0" applyFont="1" applyBorder="1" applyAlignment="1">
      <alignment horizontal="left" vertical="center"/>
    </xf>
    <xf numFmtId="178" fontId="23" fillId="0" borderId="8" xfId="0" applyNumberFormat="1" applyFont="1" applyBorder="1" applyAlignment="1">
      <alignment horizontal="right" vertical="center"/>
    </xf>
    <xf numFmtId="177" fontId="11" fillId="0" borderId="8" xfId="0" applyNumberFormat="1" applyFont="1" applyBorder="1" applyAlignment="1">
      <alignment horizontal="right" vertical="center"/>
    </xf>
    <xf numFmtId="49" fontId="23" fillId="0" borderId="8" xfId="0" applyNumberFormat="1" applyFont="1" applyBorder="1" applyAlignment="1">
      <alignment horizontal="left" vertical="center"/>
    </xf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77" fontId="11" fillId="0" borderId="5" xfId="0" applyNumberFormat="1" applyFont="1" applyBorder="1" applyAlignment="1">
      <alignment horizontal="right" vertical="center"/>
    </xf>
    <xf numFmtId="0" fontId="23" fillId="0" borderId="6" xfId="0" applyFont="1" applyBorder="1" applyAlignment="1">
      <alignment horizontal="left" vertical="center"/>
    </xf>
    <xf numFmtId="179" fontId="23" fillId="0" borderId="6" xfId="0" applyNumberFormat="1" applyFont="1" applyBorder="1" applyAlignment="1">
      <alignment vertical="center" shrinkToFit="1"/>
    </xf>
    <xf numFmtId="179" fontId="23" fillId="0" borderId="6" xfId="0" applyNumberFormat="1" applyFont="1" applyBorder="1" applyAlignment="1">
      <alignment horizontal="center" vertical="center" shrinkToFit="1"/>
    </xf>
    <xf numFmtId="178" fontId="23" fillId="0" borderId="6" xfId="0" applyNumberFormat="1" applyFont="1" applyBorder="1" applyAlignment="1">
      <alignment horizontal="right" vertical="center"/>
    </xf>
    <xf numFmtId="177" fontId="11" fillId="0" borderId="6" xfId="0" applyNumberFormat="1" applyFont="1" applyBorder="1" applyAlignment="1">
      <alignment horizontal="right" vertical="center"/>
    </xf>
    <xf numFmtId="1" fontId="11" fillId="0" borderId="6" xfId="0" applyNumberFormat="1" applyFont="1" applyBorder="1" applyAlignment="1">
      <alignment horizontal="center" vertical="center"/>
    </xf>
    <xf numFmtId="0" fontId="14" fillId="0" borderId="4" xfId="0" applyFont="1" applyBorder="1">
      <alignment vertical="center"/>
    </xf>
    <xf numFmtId="49" fontId="24" fillId="3" borderId="28" xfId="0" applyNumberFormat="1" applyFont="1" applyFill="1" applyBorder="1">
      <alignment vertical="center"/>
    </xf>
    <xf numFmtId="0" fontId="11" fillId="0" borderId="30" xfId="0" applyFont="1" applyBorder="1">
      <alignment vertical="center"/>
    </xf>
    <xf numFmtId="0" fontId="41" fillId="0" borderId="23" xfId="0" applyFont="1" applyBorder="1">
      <alignment vertical="center"/>
    </xf>
    <xf numFmtId="0" fontId="11" fillId="0" borderId="43" xfId="0" applyFont="1" applyBorder="1">
      <alignment vertical="center"/>
    </xf>
    <xf numFmtId="0" fontId="41" fillId="0" borderId="7" xfId="0" applyFont="1" applyBorder="1">
      <alignment vertical="center"/>
    </xf>
    <xf numFmtId="49" fontId="50" fillId="3" borderId="40" xfId="0" applyNumberFormat="1" applyFont="1" applyFill="1" applyBorder="1" applyAlignment="1">
      <alignment horizontal="left" vertical="center"/>
    </xf>
    <xf numFmtId="49" fontId="54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5" fillId="0" borderId="0" xfId="0" applyFont="1">
      <alignment vertical="center"/>
    </xf>
    <xf numFmtId="0" fontId="55" fillId="0" borderId="0" xfId="0" applyFont="1" applyAlignment="1">
      <alignment vertical="center" wrapText="1"/>
    </xf>
    <xf numFmtId="0" fontId="57" fillId="0" borderId="0" xfId="0" applyFont="1" applyAlignment="1">
      <alignment horizontal="center" vertical="center"/>
    </xf>
    <xf numFmtId="49" fontId="58" fillId="0" borderId="0" xfId="0" applyNumberFormat="1" applyFont="1" applyAlignment="1">
      <alignment horizontal="center" vertical="center"/>
    </xf>
    <xf numFmtId="49" fontId="58" fillId="0" borderId="6" xfId="0" applyNumberFormat="1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3" borderId="56" xfId="0" applyFont="1" applyFill="1" applyBorder="1" applyAlignment="1">
      <alignment horizontal="center" vertical="center"/>
    </xf>
    <xf numFmtId="49" fontId="61" fillId="0" borderId="5" xfId="0" quotePrefix="1" applyNumberFormat="1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61" fillId="0" borderId="5" xfId="0" quotePrefix="1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59" fillId="0" borderId="5" xfId="0" applyFont="1" applyBorder="1" applyAlignment="1">
      <alignment horizontal="center" vertical="center" wrapText="1"/>
    </xf>
    <xf numFmtId="0" fontId="58" fillId="0" borderId="25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49" fontId="32" fillId="0" borderId="4" xfId="0" applyNumberFormat="1" applyFont="1" applyBorder="1" applyAlignment="1">
      <alignment horizontal="center" vertical="center"/>
    </xf>
    <xf numFmtId="0" fontId="14" fillId="0" borderId="24" xfId="0" applyFont="1" applyBorder="1">
      <alignment vertical="center"/>
    </xf>
    <xf numFmtId="0" fontId="14" fillId="0" borderId="12" xfId="0" applyFont="1" applyBorder="1">
      <alignment vertical="center"/>
    </xf>
    <xf numFmtId="49" fontId="28" fillId="0" borderId="6" xfId="0" quotePrefix="1" applyNumberFormat="1" applyFont="1" applyBorder="1" applyAlignment="1">
      <alignment horizontal="left" vertical="center"/>
    </xf>
    <xf numFmtId="0" fontId="51" fillId="0" borderId="10" xfId="0" applyFont="1" applyBorder="1" applyAlignment="1">
      <alignment vertical="center" wrapText="1"/>
    </xf>
    <xf numFmtId="0" fontId="23" fillId="0" borderId="6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/>
    </xf>
    <xf numFmtId="49" fontId="24" fillId="3" borderId="31" xfId="0" applyNumberFormat="1" applyFont="1" applyFill="1" applyBorder="1">
      <alignment vertical="center"/>
    </xf>
    <xf numFmtId="49" fontId="24" fillId="3" borderId="29" xfId="0" applyNumberFormat="1" applyFont="1" applyFill="1" applyBorder="1">
      <alignment vertical="center"/>
    </xf>
    <xf numFmtId="49" fontId="32" fillId="0" borderId="24" xfId="0" applyNumberFormat="1" applyFont="1" applyBorder="1">
      <alignment vertical="center"/>
    </xf>
    <xf numFmtId="49" fontId="32" fillId="0" borderId="4" xfId="0" applyNumberFormat="1" applyFont="1" applyBorder="1">
      <alignment vertical="center"/>
    </xf>
    <xf numFmtId="49" fontId="32" fillId="0" borderId="12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49" fontId="11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16" fillId="5" borderId="28" xfId="0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/>
    </xf>
    <xf numFmtId="0" fontId="11" fillId="0" borderId="18" xfId="0" applyFont="1" applyBorder="1">
      <alignment vertical="center"/>
    </xf>
    <xf numFmtId="0" fontId="11" fillId="0" borderId="17" xfId="0" applyFont="1" applyBorder="1">
      <alignment vertical="center"/>
    </xf>
    <xf numFmtId="0" fontId="11" fillId="0" borderId="17" xfId="0" applyFont="1" applyBorder="1" applyAlignment="1">
      <alignment horizontal="right" vertical="center"/>
    </xf>
    <xf numFmtId="0" fontId="11" fillId="0" borderId="61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/>
    </xf>
    <xf numFmtId="49" fontId="24" fillId="0" borderId="6" xfId="0" applyNumberFormat="1" applyFont="1" applyBorder="1" applyAlignment="1">
      <alignment horizontal="left" vertical="center"/>
    </xf>
    <xf numFmtId="0" fontId="10" fillId="0" borderId="6" xfId="0" applyFont="1" applyBorder="1">
      <alignment vertical="center"/>
    </xf>
    <xf numFmtId="0" fontId="10" fillId="0" borderId="6" xfId="0" applyFont="1" applyBorder="1" applyAlignment="1">
      <alignment horizontal="center" vertical="center"/>
    </xf>
    <xf numFmtId="26" fontId="15" fillId="0" borderId="6" xfId="0" applyNumberFormat="1" applyFont="1" applyBorder="1">
      <alignment vertical="center"/>
    </xf>
    <xf numFmtId="0" fontId="11" fillId="0" borderId="64" xfId="0" applyFont="1" applyBorder="1">
      <alignment vertical="center"/>
    </xf>
    <xf numFmtId="0" fontId="11" fillId="0" borderId="65" xfId="0" applyFont="1" applyBorder="1" applyAlignment="1">
      <alignment horizontal="center" vertical="center"/>
    </xf>
    <xf numFmtId="0" fontId="11" fillId="0" borderId="13" xfId="0" applyFont="1" applyBorder="1" applyAlignment="1">
      <alignment horizontal="right" vertical="center"/>
    </xf>
    <xf numFmtId="0" fontId="11" fillId="0" borderId="66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4" fillId="0" borderId="6" xfId="0" applyFont="1" applyBorder="1">
      <alignment vertical="center"/>
    </xf>
    <xf numFmtId="0" fontId="11" fillId="0" borderId="68" xfId="0" applyFont="1" applyBorder="1" applyAlignment="1">
      <alignment horizontal="center" vertical="center"/>
    </xf>
    <xf numFmtId="0" fontId="11" fillId="0" borderId="69" xfId="0" applyFont="1" applyBorder="1" applyAlignment="1">
      <alignment horizontal="right" vertical="center"/>
    </xf>
    <xf numFmtId="0" fontId="11" fillId="0" borderId="70" xfId="0" applyFont="1" applyBorder="1" applyAlignment="1">
      <alignment horizontal="center" vertical="center"/>
    </xf>
    <xf numFmtId="0" fontId="24" fillId="3" borderId="29" xfId="0" applyFont="1" applyFill="1" applyBorder="1" applyAlignment="1">
      <alignment horizontal="center"/>
    </xf>
    <xf numFmtId="0" fontId="11" fillId="0" borderId="4" xfId="0" applyFont="1" applyBorder="1" applyAlignment="1">
      <alignment horizontal="left" vertical="center"/>
    </xf>
    <xf numFmtId="179" fontId="11" fillId="0" borderId="4" xfId="0" applyNumberFormat="1" applyFont="1" applyBorder="1" applyAlignment="1">
      <alignment vertical="center" shrinkToFit="1"/>
    </xf>
    <xf numFmtId="179" fontId="11" fillId="0" borderId="4" xfId="0" applyNumberFormat="1" applyFont="1" applyBorder="1" applyAlignment="1">
      <alignment horizontal="center" vertical="center" shrinkToFit="1"/>
    </xf>
    <xf numFmtId="177" fontId="11" fillId="0" borderId="4" xfId="0" applyNumberFormat="1" applyFont="1" applyBorder="1">
      <alignment vertical="center"/>
    </xf>
    <xf numFmtId="0" fontId="67" fillId="0" borderId="6" xfId="0" applyFont="1" applyBorder="1">
      <alignment vertical="center"/>
    </xf>
    <xf numFmtId="0" fontId="0" fillId="0" borderId="6" xfId="0" applyBorder="1">
      <alignment vertical="center"/>
    </xf>
    <xf numFmtId="0" fontId="0" fillId="0" borderId="71" xfId="0" applyBorder="1">
      <alignment vertical="center"/>
    </xf>
    <xf numFmtId="0" fontId="11" fillId="0" borderId="71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69" fillId="0" borderId="57" xfId="0" applyFont="1" applyBorder="1" applyAlignment="1">
      <alignment horizontal="center" vertical="center"/>
    </xf>
    <xf numFmtId="49" fontId="69" fillId="0" borderId="20" xfId="0" applyNumberFormat="1" applyFont="1" applyBorder="1" applyAlignment="1">
      <alignment horizontal="center" vertical="center"/>
    </xf>
    <xf numFmtId="0" fontId="11" fillId="5" borderId="20" xfId="0" applyFont="1" applyFill="1" applyBorder="1" applyAlignment="1">
      <alignment horizontal="left" vertical="center"/>
    </xf>
    <xf numFmtId="3" fontId="71" fillId="0" borderId="20" xfId="0" applyNumberFormat="1" applyFont="1" applyBorder="1" applyAlignment="1">
      <alignment horizontal="left" vertical="center"/>
    </xf>
    <xf numFmtId="0" fontId="71" fillId="0" borderId="20" xfId="0" applyFont="1" applyBorder="1" applyAlignment="1">
      <alignment horizontal="left" vertical="center"/>
    </xf>
    <xf numFmtId="177" fontId="71" fillId="0" borderId="20" xfId="0" applyNumberFormat="1" applyFont="1" applyBorder="1" applyAlignment="1">
      <alignment horizontal="left" vertical="center" shrinkToFit="1"/>
    </xf>
    <xf numFmtId="177" fontId="71" fillId="0" borderId="58" xfId="0" applyNumberFormat="1" applyFont="1" applyBorder="1" applyAlignment="1">
      <alignment horizontal="left" vertical="center"/>
    </xf>
    <xf numFmtId="49" fontId="72" fillId="0" borderId="24" xfId="0" applyNumberFormat="1" applyFont="1" applyBorder="1">
      <alignment vertical="center"/>
    </xf>
    <xf numFmtId="49" fontId="49" fillId="0" borderId="24" xfId="0" applyNumberFormat="1" applyFont="1" applyBorder="1">
      <alignment vertical="center"/>
    </xf>
    <xf numFmtId="0" fontId="11" fillId="0" borderId="25" xfId="0" applyFont="1" applyBorder="1">
      <alignment vertical="center"/>
    </xf>
    <xf numFmtId="0" fontId="11" fillId="0" borderId="75" xfId="0" applyFont="1" applyBorder="1" applyAlignment="1">
      <alignment horizontal="center" vertical="center"/>
    </xf>
    <xf numFmtId="0" fontId="11" fillId="3" borderId="8" xfId="0" applyFont="1" applyFill="1" applyBorder="1" applyAlignment="1">
      <alignment horizontal="left" vertical="center"/>
    </xf>
    <xf numFmtId="3" fontId="11" fillId="0" borderId="8" xfId="0" applyNumberFormat="1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177" fontId="11" fillId="0" borderId="8" xfId="0" applyNumberFormat="1" applyFont="1" applyBorder="1" applyAlignment="1">
      <alignment horizontal="right" vertical="center" shrinkToFit="1"/>
    </xf>
    <xf numFmtId="177" fontId="11" fillId="3" borderId="36" xfId="0" applyNumberFormat="1" applyFont="1" applyFill="1" applyBorder="1" applyAlignment="1">
      <alignment horizontal="right" vertical="center"/>
    </xf>
    <xf numFmtId="49" fontId="72" fillId="0" borderId="4" xfId="0" applyNumberFormat="1" applyFont="1" applyBorder="1">
      <alignment vertical="center"/>
    </xf>
    <xf numFmtId="49" fontId="49" fillId="0" borderId="4" xfId="0" applyNumberFormat="1" applyFont="1" applyBorder="1">
      <alignment vertical="center"/>
    </xf>
    <xf numFmtId="0" fontId="11" fillId="0" borderId="16" xfId="0" applyFont="1" applyBorder="1">
      <alignment vertical="center"/>
    </xf>
    <xf numFmtId="0" fontId="11" fillId="0" borderId="60" xfId="0" applyFont="1" applyBorder="1" applyAlignment="1">
      <alignment horizontal="center" vertical="center"/>
    </xf>
    <xf numFmtId="3" fontId="11" fillId="0" borderId="10" xfId="0" applyNumberFormat="1" applyFont="1" applyBorder="1" applyAlignment="1">
      <alignment horizontal="right" vertical="center"/>
    </xf>
    <xf numFmtId="0" fontId="11" fillId="0" borderId="10" xfId="0" applyFont="1" applyBorder="1" applyAlignment="1">
      <alignment horizontal="right" vertical="center"/>
    </xf>
    <xf numFmtId="177" fontId="11" fillId="0" borderId="10" xfId="0" applyNumberFormat="1" applyFont="1" applyBorder="1" applyAlignment="1">
      <alignment horizontal="right" vertical="center" shrinkToFit="1"/>
    </xf>
    <xf numFmtId="0" fontId="11" fillId="0" borderId="76" xfId="0" applyFont="1" applyBorder="1">
      <alignment vertical="center"/>
    </xf>
    <xf numFmtId="49" fontId="24" fillId="0" borderId="30" xfId="0" applyNumberFormat="1" applyFont="1" applyBorder="1">
      <alignment vertical="center"/>
    </xf>
    <xf numFmtId="177" fontId="11" fillId="3" borderId="16" xfId="0" applyNumberFormat="1" applyFont="1" applyFill="1" applyBorder="1" applyAlignment="1">
      <alignment horizontal="right" vertical="center"/>
    </xf>
    <xf numFmtId="49" fontId="72" fillId="0" borderId="4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63" xfId="0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3" fontId="11" fillId="0" borderId="6" xfId="0" applyNumberFormat="1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177" fontId="11" fillId="0" borderId="6" xfId="0" applyNumberFormat="1" applyFont="1" applyBorder="1" applyAlignment="1">
      <alignment horizontal="left" vertical="center" shrinkToFit="1"/>
    </xf>
    <xf numFmtId="177" fontId="11" fillId="0" borderId="78" xfId="0" applyNumberFormat="1" applyFont="1" applyBorder="1" applyAlignment="1">
      <alignment horizontal="left" vertical="center"/>
    </xf>
    <xf numFmtId="3" fontId="11" fillId="0" borderId="6" xfId="0" applyNumberFormat="1" applyFont="1" applyBorder="1" applyAlignment="1">
      <alignment horizontal="right" vertical="center"/>
    </xf>
    <xf numFmtId="177" fontId="11" fillId="0" borderId="6" xfId="0" applyNumberFormat="1" applyFont="1" applyBorder="1" applyAlignment="1">
      <alignment horizontal="right" vertical="center" shrinkToFit="1"/>
    </xf>
    <xf numFmtId="0" fontId="11" fillId="0" borderId="6" xfId="0" applyFont="1" applyBorder="1" applyAlignment="1">
      <alignment horizontal="right" vertical="center"/>
    </xf>
    <xf numFmtId="177" fontId="11" fillId="0" borderId="78" xfId="0" applyNumberFormat="1" applyFont="1" applyBorder="1" applyAlignment="1">
      <alignment horizontal="right" vertical="center"/>
    </xf>
    <xf numFmtId="0" fontId="11" fillId="0" borderId="77" xfId="0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/>
    </xf>
    <xf numFmtId="177" fontId="11" fillId="0" borderId="11" xfId="0" applyNumberFormat="1" applyFont="1" applyBorder="1" applyAlignment="1">
      <alignment horizontal="right" vertical="center" shrinkToFit="1"/>
    </xf>
    <xf numFmtId="177" fontId="11" fillId="3" borderId="76" xfId="0" applyNumberFormat="1" applyFont="1" applyFill="1" applyBorder="1" applyAlignment="1">
      <alignment horizontal="right" vertical="center"/>
    </xf>
    <xf numFmtId="49" fontId="72" fillId="0" borderId="12" xfId="0" applyNumberFormat="1" applyFont="1" applyBorder="1" applyAlignment="1">
      <alignment horizontal="center" vertical="center"/>
    </xf>
    <xf numFmtId="49" fontId="49" fillId="0" borderId="12" xfId="0" applyNumberFormat="1" applyFont="1" applyBorder="1">
      <alignment vertical="center"/>
    </xf>
    <xf numFmtId="177" fontId="11" fillId="3" borderId="8" xfId="0" applyNumberFormat="1" applyFont="1" applyFill="1" applyBorder="1" applyAlignment="1">
      <alignment horizontal="right" vertical="center"/>
    </xf>
    <xf numFmtId="49" fontId="72" fillId="0" borderId="7" xfId="0" applyNumberFormat="1" applyFont="1" applyBorder="1" applyAlignment="1">
      <alignment horizontal="center" vertical="center"/>
    </xf>
    <xf numFmtId="49" fontId="49" fillId="0" borderId="7" xfId="0" applyNumberFormat="1" applyFont="1" applyBorder="1">
      <alignment vertical="center"/>
    </xf>
    <xf numFmtId="0" fontId="68" fillId="0" borderId="80" xfId="0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3" fontId="11" fillId="0" borderId="4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right" vertical="center"/>
    </xf>
    <xf numFmtId="6" fontId="11" fillId="0" borderId="4" xfId="12" applyFont="1" applyBorder="1" applyAlignment="1">
      <alignment horizontal="right" vertical="center" shrinkToFit="1"/>
    </xf>
    <xf numFmtId="49" fontId="65" fillId="0" borderId="0" xfId="0" applyNumberFormat="1" applyFont="1" applyAlignment="1">
      <alignment horizontal="center" vertical="center"/>
    </xf>
    <xf numFmtId="49" fontId="24" fillId="0" borderId="7" xfId="0" applyNumberFormat="1" applyFont="1" applyBorder="1">
      <alignment vertical="center"/>
    </xf>
    <xf numFmtId="0" fontId="11" fillId="0" borderId="81" xfId="0" applyFont="1" applyBorder="1">
      <alignment vertical="center"/>
    </xf>
    <xf numFmtId="0" fontId="11" fillId="0" borderId="56" xfId="0" applyFont="1" applyBorder="1" applyAlignment="1"/>
    <xf numFmtId="49" fontId="11" fillId="0" borderId="5" xfId="0" applyNumberFormat="1" applyFont="1" applyBorder="1" applyAlignment="1">
      <alignment horizontal="left" vertical="center"/>
    </xf>
    <xf numFmtId="0" fontId="11" fillId="0" borderId="5" xfId="0" applyFont="1" applyBorder="1">
      <alignment vertical="center"/>
    </xf>
    <xf numFmtId="180" fontId="11" fillId="0" borderId="5" xfId="2" applyNumberFormat="1" applyFont="1" applyFill="1" applyBorder="1" applyAlignment="1">
      <alignment horizontal="right" vertical="center"/>
    </xf>
    <xf numFmtId="177" fontId="11" fillId="0" borderId="5" xfId="0" applyNumberFormat="1" applyFont="1" applyBorder="1">
      <alignment vertical="center"/>
    </xf>
    <xf numFmtId="178" fontId="11" fillId="0" borderId="5" xfId="2" applyNumberFormat="1" applyFont="1" applyFill="1" applyBorder="1" applyAlignment="1">
      <alignment horizontal="right" vertical="center"/>
    </xf>
    <xf numFmtId="49" fontId="11" fillId="0" borderId="25" xfId="0" applyNumberFormat="1" applyFont="1" applyBorder="1">
      <alignment vertical="center"/>
    </xf>
    <xf numFmtId="0" fontId="11" fillId="0" borderId="53" xfId="0" applyFont="1" applyBorder="1" applyAlignment="1">
      <alignment horizontal="center" vertical="center"/>
    </xf>
    <xf numFmtId="0" fontId="11" fillId="0" borderId="5" xfId="0" applyFont="1" applyBorder="1" applyAlignment="1">
      <alignment horizontal="right" vertical="center"/>
    </xf>
    <xf numFmtId="0" fontId="0" fillId="0" borderId="49" xfId="0" applyBorder="1" applyAlignment="1">
      <alignment horizontal="center" vertical="center"/>
    </xf>
    <xf numFmtId="0" fontId="11" fillId="0" borderId="60" xfId="0" applyFont="1" applyBorder="1">
      <alignment vertical="center"/>
    </xf>
    <xf numFmtId="176" fontId="11" fillId="0" borderId="10" xfId="2" applyFont="1" applyFill="1" applyBorder="1" applyAlignment="1">
      <alignment horizontal="right" vertical="center"/>
    </xf>
    <xf numFmtId="177" fontId="11" fillId="0" borderId="10" xfId="0" applyNumberFormat="1" applyFont="1" applyBorder="1">
      <alignment vertical="center"/>
    </xf>
    <xf numFmtId="178" fontId="11" fillId="0" borderId="10" xfId="2" applyNumberFormat="1" applyFont="1" applyFill="1" applyBorder="1" applyAlignment="1">
      <alignment horizontal="right" vertical="center"/>
    </xf>
    <xf numFmtId="49" fontId="11" fillId="0" borderId="16" xfId="0" applyNumberFormat="1" applyFont="1" applyBorder="1">
      <alignment vertical="center"/>
    </xf>
    <xf numFmtId="0" fontId="11" fillId="0" borderId="54" xfId="0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11" fillId="0" borderId="77" xfId="0" applyFont="1" applyBorder="1">
      <alignment vertical="center"/>
    </xf>
    <xf numFmtId="49" fontId="11" fillId="0" borderId="11" xfId="0" applyNumberFormat="1" applyFont="1" applyBorder="1" applyAlignment="1">
      <alignment horizontal="left" vertical="center"/>
    </xf>
    <xf numFmtId="0" fontId="11" fillId="0" borderId="11" xfId="0" applyFont="1" applyBorder="1" applyAlignment="1">
      <alignment vertical="center" shrinkToFit="1"/>
    </xf>
    <xf numFmtId="176" fontId="11" fillId="0" borderId="11" xfId="2" applyFont="1" applyFill="1" applyBorder="1" applyAlignment="1">
      <alignment horizontal="right" vertical="center"/>
    </xf>
    <xf numFmtId="1" fontId="11" fillId="0" borderId="11" xfId="0" applyNumberFormat="1" applyFont="1" applyBorder="1" applyAlignment="1">
      <alignment horizontal="center" vertical="center"/>
    </xf>
    <xf numFmtId="177" fontId="11" fillId="0" borderId="11" xfId="0" applyNumberFormat="1" applyFont="1" applyBorder="1">
      <alignment vertical="center"/>
    </xf>
    <xf numFmtId="178" fontId="11" fillId="0" borderId="11" xfId="2" applyNumberFormat="1" applyFont="1" applyFill="1" applyBorder="1" applyAlignment="1">
      <alignment horizontal="right" vertical="center"/>
    </xf>
    <xf numFmtId="0" fontId="11" fillId="0" borderId="11" xfId="0" applyFont="1" applyBorder="1">
      <alignment vertical="center"/>
    </xf>
    <xf numFmtId="49" fontId="11" fillId="0" borderId="76" xfId="0" applyNumberFormat="1" applyFont="1" applyBorder="1">
      <alignment vertical="center"/>
    </xf>
    <xf numFmtId="0" fontId="11" fillId="0" borderId="55" xfId="0" applyFont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11" fillId="0" borderId="31" xfId="0" applyFont="1" applyBorder="1">
      <alignment vertical="center"/>
    </xf>
    <xf numFmtId="176" fontId="11" fillId="0" borderId="1" xfId="0" applyNumberFormat="1" applyFont="1" applyBorder="1" applyAlignment="1">
      <alignment horizontal="right" vertical="center"/>
    </xf>
    <xf numFmtId="177" fontId="11" fillId="0" borderId="1" xfId="0" applyNumberFormat="1" applyFont="1" applyBorder="1" applyAlignment="1">
      <alignment horizontal="right" vertical="center"/>
    </xf>
    <xf numFmtId="56" fontId="14" fillId="0" borderId="32" xfId="0" applyNumberFormat="1" applyFont="1" applyBorder="1" applyAlignment="1">
      <alignment horizontal="center" vertical="center"/>
    </xf>
    <xf numFmtId="0" fontId="0" fillId="0" borderId="43" xfId="0" applyBorder="1">
      <alignment vertical="center"/>
    </xf>
    <xf numFmtId="0" fontId="0" fillId="0" borderId="8" xfId="0" applyBorder="1">
      <alignment vertical="center"/>
    </xf>
    <xf numFmtId="0" fontId="11" fillId="0" borderId="50" xfId="0" applyFont="1" applyBorder="1" applyAlignment="1">
      <alignment horizontal="center" vertical="center"/>
    </xf>
    <xf numFmtId="0" fontId="24" fillId="3" borderId="0" xfId="0" applyFont="1" applyFill="1" applyAlignment="1">
      <alignment horizontal="center"/>
    </xf>
    <xf numFmtId="0" fontId="45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 shrinkToFit="1"/>
    </xf>
    <xf numFmtId="1" fontId="11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right" vertical="center" shrinkToFit="1"/>
    </xf>
    <xf numFmtId="177" fontId="11" fillId="0" borderId="0" xfId="0" applyNumberFormat="1" applyFont="1">
      <alignment vertical="center"/>
    </xf>
    <xf numFmtId="49" fontId="23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77" fontId="11" fillId="0" borderId="0" xfId="0" applyNumberFormat="1" applyFont="1" applyAlignment="1">
      <alignment horizontal="right" vertical="center"/>
    </xf>
    <xf numFmtId="0" fontId="67" fillId="0" borderId="0" xfId="0" applyFont="1">
      <alignment vertical="center"/>
    </xf>
    <xf numFmtId="0" fontId="25" fillId="3" borderId="0" xfId="0" applyFont="1" applyFill="1" applyAlignment="1">
      <alignment horizontal="center"/>
    </xf>
    <xf numFmtId="0" fontId="73" fillId="0" borderId="0" xfId="0" applyFont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1" fillId="3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56" fontId="11" fillId="0" borderId="0" xfId="0" applyNumberFormat="1" applyFont="1" applyAlignment="1">
      <alignment horizontal="center" vertical="center"/>
    </xf>
    <xf numFmtId="49" fontId="64" fillId="0" borderId="0" xfId="0" applyNumberFormat="1" applyFont="1" applyAlignment="1">
      <alignment horizontal="center" vertical="center"/>
    </xf>
    <xf numFmtId="0" fontId="11" fillId="0" borderId="0" xfId="13" applyFont="1" applyAlignment="1">
      <alignment horizontal="center"/>
    </xf>
    <xf numFmtId="49" fontId="64" fillId="0" borderId="0" xfId="13" applyNumberFormat="1" applyFont="1" applyAlignment="1">
      <alignment horizontal="center" vertical="center"/>
    </xf>
    <xf numFmtId="0" fontId="45" fillId="0" borderId="0" xfId="13" applyFont="1" applyAlignment="1">
      <alignment horizontal="center" vertical="center"/>
    </xf>
    <xf numFmtId="0" fontId="29" fillId="0" borderId="0" xfId="13" applyFont="1">
      <alignment vertical="center"/>
    </xf>
    <xf numFmtId="3" fontId="11" fillId="0" borderId="0" xfId="13" applyNumberFormat="1" applyFont="1" applyAlignment="1">
      <alignment horizontal="center" vertical="center"/>
    </xf>
    <xf numFmtId="0" fontId="11" fillId="0" borderId="0" xfId="13" applyFont="1" applyAlignment="1">
      <alignment horizontal="center" vertical="center"/>
    </xf>
    <xf numFmtId="177" fontId="11" fillId="0" borderId="0" xfId="13" applyNumberFormat="1" applyFont="1" applyAlignment="1">
      <alignment horizontal="right" vertical="center"/>
    </xf>
    <xf numFmtId="177" fontId="11" fillId="0" borderId="0" xfId="13" applyNumberFormat="1" applyFont="1">
      <alignment vertical="center"/>
    </xf>
    <xf numFmtId="0" fontId="10" fillId="3" borderId="0" xfId="0" applyFont="1" applyFill="1" applyAlignment="1">
      <alignment horizontal="center" vertical="center"/>
    </xf>
    <xf numFmtId="0" fontId="73" fillId="3" borderId="0" xfId="0" applyFont="1" applyFill="1" applyAlignment="1">
      <alignment horizontal="left" vertical="center"/>
    </xf>
    <xf numFmtId="0" fontId="10" fillId="3" borderId="0" xfId="0" applyFont="1" applyFill="1">
      <alignment vertical="center"/>
    </xf>
    <xf numFmtId="0" fontId="11" fillId="3" borderId="0" xfId="0" applyFont="1" applyFill="1">
      <alignment vertical="center"/>
    </xf>
    <xf numFmtId="3" fontId="11" fillId="3" borderId="0" xfId="0" applyNumberFormat="1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177" fontId="11" fillId="3" borderId="0" xfId="0" applyNumberFormat="1" applyFont="1" applyFill="1" applyAlignment="1">
      <alignment horizontal="right" vertical="center"/>
    </xf>
    <xf numFmtId="177" fontId="11" fillId="3" borderId="0" xfId="0" applyNumberFormat="1" applyFont="1" applyFill="1">
      <alignment vertical="center"/>
    </xf>
    <xf numFmtId="3" fontId="11" fillId="3" borderId="0" xfId="0" applyNumberFormat="1" applyFont="1" applyFill="1" applyAlignment="1">
      <alignment horizontal="center" vertical="center" shrinkToFit="1"/>
    </xf>
    <xf numFmtId="1" fontId="11" fillId="3" borderId="0" xfId="0" applyNumberFormat="1" applyFont="1" applyFill="1" applyAlignment="1">
      <alignment horizontal="center" vertical="center"/>
    </xf>
    <xf numFmtId="177" fontId="11" fillId="3" borderId="0" xfId="0" applyNumberFormat="1" applyFont="1" applyFill="1" applyAlignment="1">
      <alignment horizontal="right" vertical="center" shrinkToFit="1"/>
    </xf>
    <xf numFmtId="0" fontId="11" fillId="3" borderId="0" xfId="0" applyFont="1" applyFill="1" applyAlignment="1">
      <alignment horizontal="center" vertical="center"/>
    </xf>
    <xf numFmtId="3" fontId="10" fillId="3" borderId="0" xfId="0" applyNumberFormat="1" applyFont="1" applyFill="1" applyAlignment="1">
      <alignment horizontal="center" vertical="center"/>
    </xf>
    <xf numFmtId="0" fontId="24" fillId="0" borderId="0" xfId="0" quotePrefix="1" applyFont="1" applyAlignment="1">
      <alignment horizontal="center"/>
    </xf>
    <xf numFmtId="0" fontId="2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3" fillId="3" borderId="0" xfId="0" applyFont="1" applyFill="1">
      <alignment vertical="center"/>
    </xf>
    <xf numFmtId="0" fontId="74" fillId="0" borderId="0" xfId="0" applyFont="1">
      <alignment vertical="center"/>
    </xf>
    <xf numFmtId="0" fontId="75" fillId="0" borderId="0" xfId="0" applyFont="1" applyAlignment="1">
      <alignment horizontal="center" vertical="center"/>
    </xf>
    <xf numFmtId="0" fontId="11" fillId="0" borderId="0" xfId="0" applyFont="1" applyAlignment="1"/>
    <xf numFmtId="176" fontId="11" fillId="3" borderId="0" xfId="2" applyFont="1" applyFill="1" applyBorder="1" applyAlignment="1">
      <alignment horizontal="right" vertical="center"/>
    </xf>
    <xf numFmtId="49" fontId="11" fillId="0" borderId="41" xfId="0" applyNumberFormat="1" applyFont="1" applyBorder="1" applyAlignment="1">
      <alignment horizontal="left" vertical="center"/>
    </xf>
    <xf numFmtId="0" fontId="11" fillId="6" borderId="41" xfId="0" applyFont="1" applyFill="1" applyBorder="1">
      <alignment vertical="center"/>
    </xf>
    <xf numFmtId="0" fontId="11" fillId="3" borderId="41" xfId="0" applyFont="1" applyFill="1" applyBorder="1" applyAlignment="1">
      <alignment horizontal="left" vertical="center"/>
    </xf>
    <xf numFmtId="1" fontId="11" fillId="3" borderId="41" xfId="0" applyNumberFormat="1" applyFont="1" applyFill="1" applyBorder="1" applyAlignment="1">
      <alignment horizontal="center" vertical="center"/>
    </xf>
    <xf numFmtId="177" fontId="11" fillId="3" borderId="41" xfId="0" applyNumberFormat="1" applyFont="1" applyFill="1" applyBorder="1">
      <alignment vertical="center"/>
    </xf>
    <xf numFmtId="177" fontId="11" fillId="3" borderId="41" xfId="0" applyNumberFormat="1" applyFont="1" applyFill="1" applyBorder="1" applyAlignment="1">
      <alignment horizontal="right" vertical="center"/>
    </xf>
    <xf numFmtId="0" fontId="11" fillId="0" borderId="41" xfId="0" applyFont="1" applyBorder="1" applyAlignment="1">
      <alignment horizontal="right" vertical="center"/>
    </xf>
    <xf numFmtId="0" fontId="0" fillId="0" borderId="41" xfId="0" applyBorder="1" applyAlignment="1">
      <alignment horizontal="center" vertical="center"/>
    </xf>
    <xf numFmtId="0" fontId="76" fillId="0" borderId="0" xfId="0" applyFont="1">
      <alignment vertical="center"/>
    </xf>
    <xf numFmtId="0" fontId="7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7" fillId="0" borderId="0" xfId="0" applyFont="1">
      <alignment vertical="center"/>
    </xf>
    <xf numFmtId="0" fontId="11" fillId="0" borderId="5" xfId="0" applyFont="1" applyBorder="1" applyAlignment="1">
      <alignment horizontal="left" vertical="center"/>
    </xf>
    <xf numFmtId="179" fontId="11" fillId="0" borderId="5" xfId="0" applyNumberFormat="1" applyFont="1" applyBorder="1" applyAlignment="1">
      <alignment vertical="center" shrinkToFit="1"/>
    </xf>
    <xf numFmtId="179" fontId="11" fillId="0" borderId="5" xfId="0" applyNumberFormat="1" applyFont="1" applyBorder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/>
    </xf>
    <xf numFmtId="49" fontId="24" fillId="0" borderId="54" xfId="0" quotePrefix="1" applyNumberFormat="1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179" fontId="11" fillId="0" borderId="10" xfId="0" applyNumberFormat="1" applyFont="1" applyBorder="1" applyAlignment="1">
      <alignment vertical="center" shrinkToFit="1"/>
    </xf>
    <xf numFmtId="179" fontId="11" fillId="0" borderId="10" xfId="0" applyNumberFormat="1" applyFont="1" applyBorder="1" applyAlignment="1">
      <alignment horizontal="center" vertical="center"/>
    </xf>
    <xf numFmtId="1" fontId="11" fillId="0" borderId="54" xfId="0" applyNumberFormat="1" applyFont="1" applyBorder="1" applyAlignment="1">
      <alignment horizontal="center" vertical="center"/>
    </xf>
    <xf numFmtId="184" fontId="32" fillId="0" borderId="4" xfId="0" applyNumberFormat="1" applyFont="1" applyBorder="1" applyAlignment="1">
      <alignment horizontal="center" vertical="center"/>
    </xf>
    <xf numFmtId="179" fontId="11" fillId="0" borderId="11" xfId="0" applyNumberFormat="1" applyFont="1" applyBorder="1" applyAlignment="1">
      <alignment vertical="center" shrinkToFit="1"/>
    </xf>
    <xf numFmtId="179" fontId="11" fillId="0" borderId="11" xfId="0" applyNumberFormat="1" applyFont="1" applyBorder="1" applyAlignment="1">
      <alignment horizontal="center" vertical="center"/>
    </xf>
    <xf numFmtId="1" fontId="11" fillId="0" borderId="55" xfId="0" applyNumberFormat="1" applyFont="1" applyBorder="1" applyAlignment="1">
      <alignment horizontal="center" vertical="center"/>
    </xf>
    <xf numFmtId="49" fontId="24" fillId="0" borderId="7" xfId="0" quotePrefix="1" applyNumberFormat="1" applyFont="1" applyBorder="1" applyAlignment="1">
      <alignment horizontal="left" vertical="center"/>
    </xf>
    <xf numFmtId="179" fontId="11" fillId="0" borderId="4" xfId="0" applyNumberFormat="1" applyFont="1" applyBorder="1" applyAlignment="1">
      <alignment horizontal="center" vertical="center"/>
    </xf>
    <xf numFmtId="49" fontId="24" fillId="0" borderId="53" xfId="0" quotePrefix="1" applyNumberFormat="1" applyFont="1" applyBorder="1" applyAlignment="1">
      <alignment horizontal="left" vertical="center" wrapText="1"/>
    </xf>
    <xf numFmtId="49" fontId="24" fillId="0" borderId="54" xfId="0" quotePrefix="1" applyNumberFormat="1" applyFont="1" applyBorder="1" applyAlignment="1">
      <alignment horizontal="left" vertical="center" wrapText="1"/>
    </xf>
    <xf numFmtId="0" fontId="32" fillId="0" borderId="12" xfId="0" applyFont="1" applyBorder="1" applyAlignment="1">
      <alignment horizontal="center" vertical="center"/>
    </xf>
    <xf numFmtId="49" fontId="24" fillId="0" borderId="43" xfId="0" quotePrefix="1" applyNumberFormat="1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179" fontId="11" fillId="0" borderId="8" xfId="0" applyNumberFormat="1" applyFont="1" applyBorder="1" applyAlignment="1">
      <alignment vertical="center" shrinkToFit="1"/>
    </xf>
    <xf numFmtId="179" fontId="11" fillId="0" borderId="8" xfId="0" applyNumberFormat="1" applyFont="1" applyBorder="1" applyAlignment="1">
      <alignment horizontal="center" vertical="center"/>
    </xf>
    <xf numFmtId="1" fontId="11" fillId="0" borderId="43" xfId="0" applyNumberFormat="1" applyFont="1" applyBorder="1" applyAlignment="1">
      <alignment horizontal="center" vertical="center"/>
    </xf>
    <xf numFmtId="49" fontId="24" fillId="3" borderId="57" xfId="0" applyNumberFormat="1" applyFont="1" applyFill="1" applyBorder="1">
      <alignment vertical="center"/>
    </xf>
    <xf numFmtId="49" fontId="23" fillId="0" borderId="20" xfId="0" quotePrefix="1" applyNumberFormat="1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179" fontId="23" fillId="0" borderId="20" xfId="0" applyNumberFormat="1" applyFont="1" applyBorder="1" applyAlignment="1">
      <alignment vertical="center" shrinkToFit="1"/>
    </xf>
    <xf numFmtId="0" fontId="23" fillId="0" borderId="20" xfId="0" applyFont="1" applyBorder="1" applyAlignment="1">
      <alignment horizontal="center" vertical="center" wrapText="1"/>
    </xf>
    <xf numFmtId="1" fontId="11" fillId="0" borderId="20" xfId="0" applyNumberFormat="1" applyFont="1" applyBorder="1" applyAlignment="1">
      <alignment horizontal="center" vertical="center"/>
    </xf>
    <xf numFmtId="178" fontId="23" fillId="0" borderId="20" xfId="0" applyNumberFormat="1" applyFont="1" applyBorder="1" applyAlignment="1">
      <alignment horizontal="right" vertical="center"/>
    </xf>
    <xf numFmtId="177" fontId="11" fillId="0" borderId="20" xfId="0" applyNumberFormat="1" applyFont="1" applyBorder="1" applyAlignment="1">
      <alignment horizontal="right" vertical="center"/>
    </xf>
    <xf numFmtId="0" fontId="14" fillId="0" borderId="20" xfId="0" applyFont="1" applyBorder="1">
      <alignment vertical="center"/>
    </xf>
    <xf numFmtId="0" fontId="48" fillId="0" borderId="4" xfId="0" applyFont="1" applyBorder="1">
      <alignment vertical="center"/>
    </xf>
    <xf numFmtId="0" fontId="48" fillId="0" borderId="12" xfId="0" applyFont="1" applyBorder="1">
      <alignment vertical="center"/>
    </xf>
    <xf numFmtId="49" fontId="24" fillId="0" borderId="11" xfId="0" quotePrefix="1" applyNumberFormat="1" applyFont="1" applyBorder="1" applyAlignment="1">
      <alignment horizontal="left" vertical="center"/>
    </xf>
    <xf numFmtId="49" fontId="24" fillId="0" borderId="10" xfId="0" quotePrefix="1" applyNumberFormat="1" applyFont="1" applyBorder="1" applyAlignment="1">
      <alignment horizontal="left" vertical="center"/>
    </xf>
    <xf numFmtId="49" fontId="32" fillId="0" borderId="4" xfId="0" applyNumberFormat="1" applyFont="1" applyBorder="1" applyAlignment="1">
      <alignment horizontal="left" vertical="center"/>
    </xf>
    <xf numFmtId="0" fontId="48" fillId="0" borderId="24" xfId="0" applyFont="1" applyBorder="1">
      <alignment vertical="center"/>
    </xf>
    <xf numFmtId="0" fontId="11" fillId="0" borderId="29" xfId="0" applyFont="1" applyBorder="1" applyAlignment="1">
      <alignment horizontal="center" vertical="center"/>
    </xf>
    <xf numFmtId="177" fontId="11" fillId="0" borderId="4" xfId="0" applyNumberFormat="1" applyFont="1" applyBorder="1" applyAlignment="1">
      <alignment horizontal="right" vertical="center" shrinkToFit="1"/>
    </xf>
    <xf numFmtId="177" fontId="11" fillId="0" borderId="30" xfId="0" applyNumberFormat="1" applyFont="1" applyBorder="1" applyAlignment="1">
      <alignment horizontal="right" vertical="center"/>
    </xf>
    <xf numFmtId="0" fontId="11" fillId="0" borderId="57" xfId="0" applyFont="1" applyBorder="1" applyAlignment="1">
      <alignment horizontal="center" vertical="center"/>
    </xf>
    <xf numFmtId="49" fontId="11" fillId="0" borderId="20" xfId="0" applyNumberFormat="1" applyFont="1" applyBorder="1" applyAlignment="1">
      <alignment horizontal="center" vertical="center"/>
    </xf>
    <xf numFmtId="3" fontId="11" fillId="0" borderId="20" xfId="0" applyNumberFormat="1" applyFont="1" applyBorder="1" applyAlignment="1">
      <alignment horizontal="right" vertical="center"/>
    </xf>
    <xf numFmtId="0" fontId="11" fillId="0" borderId="20" xfId="0" applyFont="1" applyBorder="1" applyAlignment="1">
      <alignment horizontal="right" vertical="center"/>
    </xf>
    <xf numFmtId="177" fontId="11" fillId="0" borderId="20" xfId="0" applyNumberFormat="1" applyFont="1" applyBorder="1" applyAlignment="1">
      <alignment horizontal="right" vertical="center" shrinkToFit="1"/>
    </xf>
    <xf numFmtId="177" fontId="11" fillId="3" borderId="58" xfId="0" applyNumberFormat="1" applyFont="1" applyFill="1" applyBorder="1" applyAlignment="1">
      <alignment horizontal="right" vertical="center"/>
    </xf>
    <xf numFmtId="177" fontId="11" fillId="3" borderId="30" xfId="0" applyNumberFormat="1" applyFont="1" applyFill="1" applyBorder="1" applyAlignment="1">
      <alignment horizontal="right" vertical="center"/>
    </xf>
    <xf numFmtId="177" fontId="11" fillId="0" borderId="76" xfId="0" applyNumberFormat="1" applyFont="1" applyBorder="1" applyAlignment="1">
      <alignment horizontal="right" vertical="center"/>
    </xf>
    <xf numFmtId="0" fontId="63" fillId="3" borderId="11" xfId="0" applyFont="1" applyFill="1" applyBorder="1" applyAlignment="1">
      <alignment horizontal="left" vertical="center"/>
    </xf>
    <xf numFmtId="0" fontId="63" fillId="3" borderId="6" xfId="0" applyFont="1" applyFill="1" applyBorder="1" applyAlignment="1">
      <alignment horizontal="left" vertical="center"/>
    </xf>
    <xf numFmtId="0" fontId="16" fillId="0" borderId="57" xfId="0" applyFont="1" applyBorder="1" applyAlignment="1">
      <alignment horizontal="center" vertical="center"/>
    </xf>
    <xf numFmtId="49" fontId="16" fillId="0" borderId="20" xfId="0" applyNumberFormat="1" applyFont="1" applyBorder="1" applyAlignment="1">
      <alignment horizontal="left" vertical="center"/>
    </xf>
    <xf numFmtId="0" fontId="16" fillId="0" borderId="40" xfId="0" applyFont="1" applyBorder="1">
      <alignment vertical="center"/>
    </xf>
    <xf numFmtId="49" fontId="24" fillId="0" borderId="76" xfId="0" applyNumberFormat="1" applyFont="1" applyBorder="1">
      <alignment vertical="center"/>
    </xf>
    <xf numFmtId="0" fontId="21" fillId="0" borderId="25" xfId="0" applyFont="1" applyBorder="1" applyAlignment="1">
      <alignment horizontal="center" vertical="center"/>
    </xf>
    <xf numFmtId="0" fontId="16" fillId="0" borderId="84" xfId="0" applyFont="1" applyBorder="1">
      <alignment vertical="center"/>
    </xf>
    <xf numFmtId="0" fontId="0" fillId="0" borderId="76" xfId="0" applyBorder="1">
      <alignment vertical="center"/>
    </xf>
    <xf numFmtId="0" fontId="0" fillId="0" borderId="78" xfId="0" applyBorder="1">
      <alignment vertical="center"/>
    </xf>
    <xf numFmtId="0" fontId="16" fillId="0" borderId="46" xfId="0" applyFont="1" applyBorder="1">
      <alignment vertical="center"/>
    </xf>
    <xf numFmtId="0" fontId="11" fillId="0" borderId="5" xfId="0" applyFont="1" applyBorder="1" applyAlignment="1">
      <alignment horizontal="center"/>
    </xf>
    <xf numFmtId="180" fontId="11" fillId="0" borderId="5" xfId="2" applyNumberFormat="1" applyFont="1" applyFill="1" applyBorder="1" applyAlignment="1">
      <alignment horizontal="center" vertical="center"/>
    </xf>
    <xf numFmtId="176" fontId="11" fillId="0" borderId="5" xfId="2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11" fillId="0" borderId="40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181" fontId="23" fillId="0" borderId="47" xfId="2" applyNumberFormat="1" applyFont="1" applyFill="1" applyBorder="1" applyAlignment="1">
      <alignment horizontal="center" vertical="center"/>
    </xf>
    <xf numFmtId="49" fontId="24" fillId="3" borderId="28" xfId="0" applyNumberFormat="1" applyFont="1" applyFill="1" applyBorder="1" applyAlignment="1">
      <alignment horizontal="center" vertical="center"/>
    </xf>
    <xf numFmtId="49" fontId="24" fillId="3" borderId="29" xfId="0" applyNumberFormat="1" applyFont="1" applyFill="1" applyBorder="1" applyAlignment="1">
      <alignment horizontal="center" vertical="center"/>
    </xf>
    <xf numFmtId="49" fontId="24" fillId="3" borderId="31" xfId="0" applyNumberFormat="1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49" fontId="48" fillId="0" borderId="0" xfId="0" applyNumberFormat="1" applyFont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68" fillId="0" borderId="73" xfId="0" applyFont="1" applyBorder="1" applyAlignment="1">
      <alignment horizontal="center" vertical="center"/>
    </xf>
    <xf numFmtId="0" fontId="68" fillId="0" borderId="74" xfId="0" applyFont="1" applyBorder="1" applyAlignment="1">
      <alignment horizontal="center" vertical="center"/>
    </xf>
    <xf numFmtId="0" fontId="68" fillId="0" borderId="79" xfId="0" applyFont="1" applyBorder="1" applyAlignment="1">
      <alignment horizontal="center" vertical="center"/>
    </xf>
    <xf numFmtId="49" fontId="65" fillId="0" borderId="28" xfId="0" applyNumberFormat="1" applyFont="1" applyBorder="1" applyAlignment="1">
      <alignment horizontal="center" vertical="center"/>
    </xf>
    <xf numFmtId="49" fontId="65" fillId="0" borderId="29" xfId="0" applyNumberFormat="1" applyFont="1" applyBorder="1" applyAlignment="1">
      <alignment horizontal="center" vertical="center"/>
    </xf>
    <xf numFmtId="49" fontId="65" fillId="0" borderId="31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</cellXfs>
  <cellStyles count="14">
    <cellStyle name="ハイパーリンク" xfId="1" builtinId="8"/>
    <cellStyle name="桁区切り" xfId="2" builtinId="6"/>
    <cellStyle name="桁区切り 2" xfId="3" xr:uid="{00000000-0005-0000-0000-000003000000}"/>
    <cellStyle name="通貨" xfId="12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4 2 2 2 2 2" xfId="13" xr:uid="{3602255E-FDAE-4EBA-BE0C-A4E749982C91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</xdr:colOff>
      <xdr:row>36</xdr:row>
      <xdr:rowOff>112395</xdr:rowOff>
    </xdr:from>
    <xdr:to>
      <xdr:col>12</xdr:col>
      <xdr:colOff>645795</xdr:colOff>
      <xdr:row>44</xdr:row>
      <xdr:rowOff>150495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54120" y="6652895"/>
          <a:ext cx="3190875" cy="142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158750</xdr:colOff>
      <xdr:row>2</xdr:row>
      <xdr:rowOff>285750</xdr:rowOff>
    </xdr:from>
    <xdr:to>
      <xdr:col>6</xdr:col>
      <xdr:colOff>3382195</xdr:colOff>
      <xdr:row>2</xdr:row>
      <xdr:rowOff>2270125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3A5389A-C677-99CB-2645-B94AF7576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42000" y="1793875"/>
          <a:ext cx="3223445" cy="1984375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127000</xdr:colOff>
      <xdr:row>4</xdr:row>
      <xdr:rowOff>587375</xdr:rowOff>
    </xdr:from>
    <xdr:to>
      <xdr:col>6</xdr:col>
      <xdr:colOff>3454078</xdr:colOff>
      <xdr:row>4</xdr:row>
      <xdr:rowOff>2079625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5621E9C-F875-CBA4-4AA9-613BF0B78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10250" y="7048500"/>
          <a:ext cx="3327078" cy="1492250"/>
        </a:xfrm>
        <a:prstGeom prst="rect">
          <a:avLst/>
        </a:prstGeom>
      </xdr:spPr>
    </xdr:pic>
    <xdr:clientData/>
  </xdr:twoCellAnchor>
  <xdr:twoCellAnchor editAs="oneCell">
    <xdr:from>
      <xdr:col>6</xdr:col>
      <xdr:colOff>635001</xdr:colOff>
      <xdr:row>3</xdr:row>
      <xdr:rowOff>142875</xdr:rowOff>
    </xdr:from>
    <xdr:to>
      <xdr:col>6</xdr:col>
      <xdr:colOff>2841625</xdr:colOff>
      <xdr:row>3</xdr:row>
      <xdr:rowOff>2440452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FE24B37-0963-4C08-F807-5DCDAA222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18251" y="4127500"/>
          <a:ext cx="2206624" cy="2297577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254000</xdr:colOff>
      <xdr:row>5</xdr:row>
      <xdr:rowOff>301625</xdr:rowOff>
    </xdr:from>
    <xdr:to>
      <xdr:col>6</xdr:col>
      <xdr:colOff>3220550</xdr:colOff>
      <xdr:row>5</xdr:row>
      <xdr:rowOff>2238374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D7C501A-852B-B5BF-CE14-7B685C36B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37250" y="9239250"/>
          <a:ext cx="2966550" cy="1936749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6</xdr:row>
      <xdr:rowOff>396875</xdr:rowOff>
    </xdr:from>
    <xdr:to>
      <xdr:col>6</xdr:col>
      <xdr:colOff>3421026</xdr:colOff>
      <xdr:row>6</xdr:row>
      <xdr:rowOff>2063750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2C76EAD-ADDB-71A7-5C7C-F5458F38D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573750" y="11811000"/>
          <a:ext cx="3230526" cy="1666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500522-VT-DD-01%20.xlsx" TargetMode="External"/><Relationship Id="rId1" Type="http://schemas.openxmlformats.org/officeDocument/2006/relationships/externalLinkPath" Target="SY-5500522-VT-DD-01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NARITA (2)"/>
      <sheetName val="サンプル製品カタログ"/>
      <sheetName val="LABEL"/>
    </sheetNames>
    <sheetDataSet>
      <sheetData sheetId="0" refreshError="1"/>
      <sheetData sheetId="1" refreshError="1"/>
      <sheetData sheetId="2" refreshError="1"/>
      <sheetData sheetId="3">
        <row r="6">
          <cell r="D6" t="str">
            <v>FABRIC &amp; PARTS FOR WEAR &amp; SAMPLE CLOTHES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abSelected="1" topLeftCell="A34" workbookViewId="0">
      <selection activeCell="C75" sqref="C75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66</v>
      </c>
    </row>
    <row r="3" spans="1:3">
      <c r="A3" s="7">
        <f>A2+1</f>
        <v>3</v>
      </c>
      <c r="B3" s="4" t="s">
        <v>3</v>
      </c>
      <c r="C3" s="2" t="s">
        <v>67</v>
      </c>
    </row>
    <row r="4" spans="1:3">
      <c r="A4" s="7">
        <f t="shared" ref="A4:A68" si="0">A3+1</f>
        <v>4</v>
      </c>
      <c r="B4" s="4" t="s">
        <v>2</v>
      </c>
      <c r="C4" s="2" t="s">
        <v>68</v>
      </c>
    </row>
    <row r="5" spans="1:3" s="8" customFormat="1">
      <c r="A5" s="7">
        <f t="shared" si="0"/>
        <v>5</v>
      </c>
      <c r="B5" s="4" t="s">
        <v>4</v>
      </c>
      <c r="C5" s="4" t="s">
        <v>69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77</v>
      </c>
      <c r="C9" s="4" t="s">
        <v>102</v>
      </c>
    </row>
    <row r="10" spans="1:3" s="8" customFormat="1">
      <c r="A10" s="7">
        <f t="shared" si="0"/>
        <v>10</v>
      </c>
      <c r="B10" s="9" t="s">
        <v>78</v>
      </c>
      <c r="C10" s="4" t="s">
        <v>146</v>
      </c>
    </row>
    <row r="11" spans="1:3" s="8" customFormat="1">
      <c r="A11" s="7">
        <f t="shared" si="0"/>
        <v>11</v>
      </c>
      <c r="B11" s="9" t="s">
        <v>79</v>
      </c>
      <c r="C11" s="2" t="s">
        <v>103</v>
      </c>
    </row>
    <row r="12" spans="1:3" s="8" customFormat="1">
      <c r="A12" s="7">
        <f t="shared" si="0"/>
        <v>12</v>
      </c>
      <c r="B12" s="9" t="s">
        <v>80</v>
      </c>
      <c r="C12" s="2" t="s">
        <v>104</v>
      </c>
    </row>
    <row r="13" spans="1:3" s="8" customFormat="1">
      <c r="A13" s="7">
        <f t="shared" si="0"/>
        <v>13</v>
      </c>
      <c r="B13" s="9" t="s">
        <v>9</v>
      </c>
      <c r="C13" s="3" t="s">
        <v>107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70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85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81</v>
      </c>
    </row>
    <row r="25" spans="1:3" s="8" customFormat="1">
      <c r="A25" s="7">
        <f t="shared" si="0"/>
        <v>25</v>
      </c>
      <c r="B25" s="9" t="s">
        <v>20</v>
      </c>
      <c r="C25" s="25" t="s">
        <v>289</v>
      </c>
    </row>
    <row r="26" spans="1:3">
      <c r="A26" s="7">
        <f t="shared" si="0"/>
        <v>26</v>
      </c>
      <c r="B26" s="9" t="s">
        <v>21</v>
      </c>
      <c r="C26" s="26" t="s">
        <v>287</v>
      </c>
    </row>
    <row r="27" spans="1:3">
      <c r="A27" s="7">
        <f t="shared" si="0"/>
        <v>27</v>
      </c>
      <c r="B27" s="9" t="s">
        <v>22</v>
      </c>
      <c r="C27" s="26" t="str">
        <f>C26</f>
        <v xml:space="preserve"> SY-6300208-VT-DD-01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71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65</v>
      </c>
    </row>
    <row r="36" spans="1:3">
      <c r="A36" s="7">
        <f t="shared" si="0"/>
        <v>36</v>
      </c>
      <c r="B36" s="9" t="s">
        <v>32</v>
      </c>
      <c r="C36" s="15" t="s">
        <v>106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2" t="s">
        <v>288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27">
        <f>invoice!M30</f>
        <v>503609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65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SY-6300208-VT-DD-01</v>
      </c>
    </row>
    <row r="50" spans="1:3">
      <c r="A50" s="7">
        <f t="shared" si="0"/>
        <v>50</v>
      </c>
      <c r="B50" s="9" t="s">
        <v>45</v>
      </c>
      <c r="C50" s="4" t="s">
        <v>102</v>
      </c>
    </row>
    <row r="51" spans="1:3">
      <c r="A51" s="7">
        <f t="shared" si="0"/>
        <v>51</v>
      </c>
      <c r="B51" s="9" t="s">
        <v>46</v>
      </c>
      <c r="C51" s="4" t="s">
        <v>146</v>
      </c>
    </row>
    <row r="52" spans="1:3">
      <c r="A52" s="7">
        <f t="shared" si="0"/>
        <v>52</v>
      </c>
      <c r="B52" s="9" t="s">
        <v>47</v>
      </c>
      <c r="C52" s="2" t="s">
        <v>103</v>
      </c>
    </row>
    <row r="53" spans="1:3">
      <c r="A53" s="7">
        <f t="shared" si="0"/>
        <v>53</v>
      </c>
      <c r="B53" s="9" t="s">
        <v>48</v>
      </c>
      <c r="C53" s="2" t="s">
        <v>104</v>
      </c>
    </row>
    <row r="54" spans="1:3">
      <c r="A54" s="7">
        <f t="shared" si="0"/>
        <v>54</v>
      </c>
      <c r="B54" s="9" t="s">
        <v>49</v>
      </c>
      <c r="C54" s="3" t="s">
        <v>105</v>
      </c>
    </row>
    <row r="55" spans="1:3">
      <c r="A55" s="7">
        <f t="shared" si="0"/>
        <v>55</v>
      </c>
      <c r="B55" s="28" t="s">
        <v>50</v>
      </c>
      <c r="C55" s="26" t="s">
        <v>154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2" t="s">
        <v>53</v>
      </c>
    </row>
    <row r="61" spans="1:3">
      <c r="A61" s="7">
        <f t="shared" si="0"/>
        <v>61</v>
      </c>
      <c r="B61" s="4" t="s">
        <v>54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82</v>
      </c>
      <c r="C63" s="17" t="s">
        <v>83</v>
      </c>
    </row>
    <row r="64" spans="1:3">
      <c r="A64" s="7">
        <f t="shared" si="0"/>
        <v>64</v>
      </c>
      <c r="B64" s="4"/>
      <c r="C64" s="17" t="s">
        <v>84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55</v>
      </c>
      <c r="C67" s="6"/>
    </row>
    <row r="68" spans="1:3">
      <c r="A68" s="7">
        <f t="shared" si="0"/>
        <v>68</v>
      </c>
      <c r="B68" s="9" t="s">
        <v>56</v>
      </c>
      <c r="C68" s="2" t="s">
        <v>76</v>
      </c>
    </row>
    <row r="69" spans="1:3">
      <c r="A69" s="7">
        <f t="shared" ref="A69:A86" si="1">A68+1</f>
        <v>69</v>
      </c>
      <c r="B69" s="4" t="s">
        <v>57</v>
      </c>
      <c r="C69" s="2" t="s">
        <v>74</v>
      </c>
    </row>
    <row r="70" spans="1:3">
      <c r="A70" s="7">
        <f t="shared" si="1"/>
        <v>70</v>
      </c>
      <c r="B70" s="4" t="s">
        <v>58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59</v>
      </c>
      <c r="C75" s="2" t="s">
        <v>73</v>
      </c>
    </row>
    <row r="76" spans="1:3">
      <c r="A76" s="7">
        <f t="shared" si="1"/>
        <v>76</v>
      </c>
      <c r="B76" s="4" t="s">
        <v>60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61</v>
      </c>
      <c r="C78" s="2" t="s">
        <v>75</v>
      </c>
    </row>
    <row r="79" spans="1:3">
      <c r="A79" s="7">
        <f t="shared" si="1"/>
        <v>79</v>
      </c>
      <c r="B79" s="4" t="s">
        <v>62</v>
      </c>
      <c r="C79" s="2" t="s">
        <v>75</v>
      </c>
    </row>
    <row r="80" spans="1:3">
      <c r="A80" s="7">
        <f t="shared" si="1"/>
        <v>80</v>
      </c>
      <c r="B80" s="4"/>
    </row>
    <row r="81" spans="1:3">
      <c r="A81" s="7">
        <f t="shared" si="1"/>
        <v>81</v>
      </c>
      <c r="B81" s="4" t="s">
        <v>63</v>
      </c>
      <c r="C81" s="25" t="s">
        <v>289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64</v>
      </c>
      <c r="C83" s="2" t="s">
        <v>72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3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O26" sqref="O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107" customFormat="1" ht="32.25" customHeight="1">
      <c r="H1" s="108"/>
    </row>
    <row r="2" spans="1:15" s="107" customFormat="1" ht="32.5">
      <c r="A2" s="107" t="str">
        <f>'shipper master'!C26</f>
        <v xml:space="preserve"> SY-6300208-VT-DD-01</v>
      </c>
      <c r="H2" s="108"/>
      <c r="I2" s="107" t="str">
        <f>'shipper master'!C26</f>
        <v xml:space="preserve"> SY-6300208-VT-DD-01</v>
      </c>
    </row>
    <row r="3" spans="1:15" s="107" customFormat="1" ht="32.5">
      <c r="A3" s="107" t="str">
        <f>'[1]shipper master'!C50</f>
        <v xml:space="preserve">VIVAN GARMENTS VIET NAM </v>
      </c>
      <c r="H3" s="108"/>
      <c r="I3" s="107" t="str">
        <f>'[1]shipper master'!C50</f>
        <v xml:space="preserve">VIVAN GARMENTS VIET NAM </v>
      </c>
    </row>
    <row r="4" spans="1:15" s="107" customFormat="1" ht="32.5">
      <c r="A4" s="107" t="str">
        <f>'[1]shipper master'!C51</f>
        <v xml:space="preserve"> COMPANY LIMITED</v>
      </c>
      <c r="H4" s="108"/>
      <c r="I4" s="107" t="str">
        <f>'[1]shipper master'!C51</f>
        <v xml:space="preserve"> COMPANY LIMITED</v>
      </c>
    </row>
    <row r="5" spans="1:15" s="107" customFormat="1" ht="32.5">
      <c r="A5" s="107" t="str">
        <f>'[1]shipper master'!C52</f>
        <v xml:space="preserve"> HOCHIMINH-CITY, VIETNAM</v>
      </c>
      <c r="H5" s="108"/>
      <c r="I5" s="107" t="str">
        <f>'[1]shipper master'!C52</f>
        <v xml:space="preserve"> HOCHIMINH-CITY, VIETNAM</v>
      </c>
    </row>
    <row r="6" spans="1:15" s="107" customFormat="1" ht="32.5">
      <c r="A6" s="107" t="s">
        <v>111</v>
      </c>
      <c r="C6" s="107">
        <v>1</v>
      </c>
      <c r="D6" s="109"/>
      <c r="H6" s="108"/>
      <c r="I6" s="107" t="s">
        <v>111</v>
      </c>
      <c r="K6" s="107">
        <v>2</v>
      </c>
    </row>
    <row r="7" spans="1:15" s="107" customFormat="1" ht="32.25" customHeight="1">
      <c r="A7" s="107" t="str">
        <f>'[1]shipper master'!C54</f>
        <v xml:space="preserve"> MADE IN JAPAN</v>
      </c>
      <c r="H7" s="108"/>
      <c r="I7" s="107" t="str">
        <f>'[1]shipper master'!C54</f>
        <v xml:space="preserve"> MADE IN JAPAN</v>
      </c>
    </row>
    <row r="8" spans="1:15" s="107" customFormat="1" ht="19.5" customHeight="1">
      <c r="H8" s="108"/>
    </row>
    <row r="9" spans="1:15" s="107" customFormat="1" ht="19.5" customHeight="1">
      <c r="H9" s="108"/>
    </row>
    <row r="10" spans="1:15" s="107" customFormat="1" ht="19.5" customHeight="1">
      <c r="A10" s="110"/>
      <c r="B10" s="110"/>
      <c r="C10" s="110"/>
      <c r="D10" s="110"/>
      <c r="E10" s="110"/>
      <c r="F10" s="110"/>
      <c r="G10" s="110"/>
      <c r="H10" s="111"/>
      <c r="I10" s="110"/>
      <c r="J10" s="110"/>
      <c r="K10" s="110"/>
      <c r="L10" s="110"/>
      <c r="M10" s="110"/>
      <c r="N10" s="110"/>
      <c r="O10" s="110"/>
    </row>
    <row r="11" spans="1:15" s="107" customFormat="1" ht="19.5" customHeight="1">
      <c r="H11" s="108"/>
    </row>
    <row r="12" spans="1:15" s="107" customFormat="1" ht="19.5" customHeight="1">
      <c r="H12" s="108"/>
    </row>
    <row r="13" spans="1:15" s="107" customFormat="1" ht="32.5">
      <c r="A13" s="107" t="str">
        <f>'shipper master'!C26</f>
        <v xml:space="preserve"> SY-6300208-VT-DD-01</v>
      </c>
      <c r="H13" s="108"/>
      <c r="I13" s="107" t="str">
        <f>'shipper master'!C26</f>
        <v xml:space="preserve"> SY-6300208-VT-DD-01</v>
      </c>
    </row>
    <row r="14" spans="1:15" s="107" customFormat="1" ht="32.5">
      <c r="A14" s="107" t="str">
        <f>'[1]shipper master'!C50</f>
        <v xml:space="preserve">VIVAN GARMENTS VIET NAM </v>
      </c>
      <c r="H14" s="108"/>
      <c r="I14" s="107" t="str">
        <f>'[1]shipper master'!C50</f>
        <v xml:space="preserve">VIVAN GARMENTS VIET NAM </v>
      </c>
    </row>
    <row r="15" spans="1:15" s="107" customFormat="1" ht="32.5">
      <c r="A15" s="107" t="str">
        <f>'[1]shipper master'!C51</f>
        <v xml:space="preserve"> COMPANY LIMITED</v>
      </c>
      <c r="H15" s="108"/>
      <c r="I15" s="107" t="str">
        <f>'[1]shipper master'!C51</f>
        <v xml:space="preserve"> COMPANY LIMITED</v>
      </c>
    </row>
    <row r="16" spans="1:15" s="107" customFormat="1" ht="32.5">
      <c r="A16" s="107" t="str">
        <f>'[1]shipper master'!C52</f>
        <v xml:space="preserve"> HOCHIMINH-CITY, VIETNAM</v>
      </c>
      <c r="H16" s="108"/>
      <c r="I16" s="107" t="str">
        <f>'[1]shipper master'!C52</f>
        <v xml:space="preserve"> HOCHIMINH-CITY, VIETNAM</v>
      </c>
    </row>
    <row r="17" spans="1:11" s="107" customFormat="1" ht="32.5">
      <c r="A17" s="107" t="s">
        <v>111</v>
      </c>
      <c r="C17" s="107">
        <v>3</v>
      </c>
      <c r="H17" s="108"/>
      <c r="I17" s="107" t="s">
        <v>111</v>
      </c>
      <c r="K17" s="107">
        <v>4</v>
      </c>
    </row>
    <row r="18" spans="1:11" s="107" customFormat="1" ht="32.5">
      <c r="A18" s="107" t="str">
        <f>'[1]shipper master'!C54</f>
        <v xml:space="preserve"> MADE IN JAPAN</v>
      </c>
      <c r="H18" s="108"/>
      <c r="I18" s="107" t="str">
        <f>'[1]shipper master'!C54</f>
        <v xml:space="preserve"> MADE IN JAPAN</v>
      </c>
    </row>
    <row r="19" spans="1:11" s="112" customFormat="1" ht="34">
      <c r="A19" s="107"/>
    </row>
    <row r="20" spans="1:11" s="112" customFormat="1" ht="34"/>
    <row r="21" spans="1:11" s="112" customFormat="1" ht="34"/>
    <row r="22" spans="1:11" s="112" customFormat="1" ht="34"/>
    <row r="23" spans="1:11" s="112" customFormat="1" ht="34"/>
    <row r="24" spans="1:11" s="112" customFormat="1" ht="34"/>
    <row r="25" spans="1:11" s="112" customFormat="1" ht="34"/>
    <row r="26" spans="1:11" s="107" customFormat="1" ht="32.5"/>
    <row r="27" spans="1:11" s="107" customFormat="1" ht="32.5"/>
    <row r="28" spans="1:11" s="107" customFormat="1" ht="32.5"/>
    <row r="29" spans="1:11" s="107" customFormat="1" ht="32.5"/>
    <row r="30" spans="1:11" s="107" customFormat="1" ht="32.5"/>
    <row r="31" spans="1:11" s="107" customFormat="1" ht="32.5"/>
    <row r="32" spans="1:11" s="107" customFormat="1" ht="32.5"/>
    <row r="33" s="107" customFormat="1" ht="32.5"/>
    <row r="34" s="107" customFormat="1" ht="32.5"/>
  </sheetData>
  <phoneticPr fontId="13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M91"/>
  <sheetViews>
    <sheetView showZeros="0" view="pageBreakPreview" topLeftCell="A10" zoomScale="110" zoomScaleNormal="115" zoomScaleSheetLayoutView="110" workbookViewId="0">
      <selection activeCell="O24" sqref="O24"/>
    </sheetView>
  </sheetViews>
  <sheetFormatPr defaultColWidth="9" defaultRowHeight="16"/>
  <cols>
    <col min="1" max="1" width="8.6328125" style="116" customWidth="1"/>
    <col min="2" max="2" width="11.6328125" style="116" customWidth="1"/>
    <col min="3" max="3" width="4.81640625" style="116" customWidth="1"/>
    <col min="4" max="4" width="23.36328125" style="116" customWidth="1"/>
    <col min="5" max="5" width="6.08984375" style="116" customWidth="1"/>
    <col min="6" max="7" width="3.08984375" style="116" customWidth="1"/>
    <col min="8" max="8" width="2.90625" style="116" customWidth="1"/>
    <col min="9" max="9" width="3.08984375" style="116" hidden="1" customWidth="1"/>
    <col min="10" max="10" width="8.453125" style="116" customWidth="1"/>
    <col min="11" max="11" width="9.90625" style="116" customWidth="1"/>
    <col min="12" max="12" width="13" style="116" customWidth="1"/>
    <col min="13" max="13" width="13.90625" style="116" customWidth="1"/>
    <col min="14" max="16384" width="9" style="116"/>
  </cols>
  <sheetData>
    <row r="1" spans="1:13" s="113" customFormat="1" ht="32.25" customHeight="1">
      <c r="A1" s="521" t="s">
        <v>112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</row>
    <row r="2" spans="1:13" ht="23.25" customHeight="1">
      <c r="A2" s="114" t="str">
        <f>'[2]shipper master'!C2</f>
        <v xml:space="preserve"> SHUNYA CO., LTD.</v>
      </c>
      <c r="B2" s="115"/>
      <c r="C2" s="115"/>
      <c r="D2" s="115"/>
      <c r="E2" s="115"/>
      <c r="L2" s="117"/>
    </row>
    <row r="3" spans="1:13" ht="15.75" customHeight="1">
      <c r="A3" s="3" t="str">
        <f>'[2]shipper master'!C3</f>
        <v xml:space="preserve"> KENSHIN BLDG., 1F, 1-22-10 DOUGENZAKA,</v>
      </c>
      <c r="B3" s="115"/>
      <c r="C3" s="115"/>
      <c r="D3" s="115"/>
      <c r="E3" s="115"/>
      <c r="L3" s="117"/>
    </row>
    <row r="4" spans="1:13" ht="18" customHeight="1">
      <c r="A4" s="3" t="str">
        <f>'[2]shipper master'!C4</f>
        <v xml:space="preserve"> SHIBUYA-KU 150-0043</v>
      </c>
      <c r="B4" s="115"/>
      <c r="C4" s="115"/>
      <c r="D4" s="115"/>
      <c r="E4" s="115"/>
      <c r="F4" s="118"/>
      <c r="G4" s="118"/>
      <c r="H4" s="118"/>
      <c r="I4" s="118"/>
      <c r="J4" s="118"/>
      <c r="L4" s="3">
        <f>'[2]shipper master'!C6</f>
        <v>0</v>
      </c>
    </row>
    <row r="5" spans="1:13" ht="16.5" thickBot="1">
      <c r="A5" s="119" t="str">
        <f>'[2]shipper master'!C5</f>
        <v xml:space="preserve"> TEL : +81(0)3-5459-1177</v>
      </c>
      <c r="B5" s="115"/>
      <c r="C5" s="115"/>
      <c r="D5" s="115"/>
      <c r="L5" s="3">
        <f>'[2]shipper master'!C7</f>
        <v>0</v>
      </c>
      <c r="M5" s="120"/>
    </row>
    <row r="6" spans="1:13" ht="13.4" customHeight="1">
      <c r="A6" s="121" t="s">
        <v>113</v>
      </c>
      <c r="B6" s="122"/>
      <c r="C6" s="122"/>
      <c r="D6" s="122"/>
      <c r="E6" s="122"/>
      <c r="F6" s="123" t="s">
        <v>114</v>
      </c>
      <c r="G6" s="124"/>
      <c r="H6" s="124"/>
      <c r="I6" s="124"/>
      <c r="J6" s="122"/>
      <c r="K6" s="231"/>
      <c r="L6" s="123" t="s">
        <v>115</v>
      </c>
      <c r="M6" s="117"/>
    </row>
    <row r="7" spans="1:13" ht="13.4" customHeight="1">
      <c r="A7" s="3" t="str">
        <f>'[2]shipper master'!C9</f>
        <v>VIVAN GARMENTS VIET NAM COMPANY LIMITED</v>
      </c>
      <c r="B7" s="117"/>
      <c r="C7" s="117"/>
      <c r="D7" s="117"/>
      <c r="E7" s="117"/>
      <c r="F7" s="125" t="str">
        <f>'shipper master'!C26</f>
        <v xml:space="preserve"> SY-6300208-VT-DD-01</v>
      </c>
      <c r="G7" s="126"/>
      <c r="H7" s="126"/>
      <c r="I7" s="126"/>
      <c r="J7" s="126"/>
      <c r="K7" s="232"/>
      <c r="L7" s="127"/>
      <c r="M7" s="117"/>
    </row>
    <row r="8" spans="1:13" ht="13.4" customHeight="1">
      <c r="A8" s="3" t="str">
        <f>'[2]shipper master'!C10</f>
        <v>D17 Street , Sai Gon South Residential Area</v>
      </c>
      <c r="B8" s="117"/>
      <c r="C8" s="117"/>
      <c r="D8" s="117"/>
      <c r="E8" s="117"/>
      <c r="F8" s="128" t="s">
        <v>116</v>
      </c>
      <c r="G8" s="121"/>
      <c r="H8" s="121"/>
      <c r="I8" s="121"/>
      <c r="J8" s="117"/>
      <c r="K8" s="233"/>
      <c r="L8" s="129" t="str">
        <f>'shipper master'!C26</f>
        <v xml:space="preserve"> SY-6300208-VT-DD-01</v>
      </c>
      <c r="M8" s="117"/>
    </row>
    <row r="9" spans="1:13" ht="13.4" customHeight="1">
      <c r="A9" s="3" t="str">
        <f>'[2]shipper master'!C11</f>
        <v>Hamlet 3 , Long Hau Commune , Can Giuoc District,</v>
      </c>
      <c r="B9" s="117"/>
      <c r="C9" s="117"/>
      <c r="D9" s="117"/>
      <c r="E9" s="117"/>
      <c r="F9" s="234" t="str">
        <f>'shipper master'!C25</f>
        <v>Feb, 09 2025</v>
      </c>
      <c r="G9" s="130"/>
      <c r="H9" s="130"/>
      <c r="I9" s="130"/>
      <c r="J9" s="130"/>
      <c r="K9" s="131"/>
      <c r="L9" s="129" t="str">
        <f>'[1]shipper master'!C50</f>
        <v xml:space="preserve">VIVAN GARMENTS VIET NAM </v>
      </c>
      <c r="M9" s="117"/>
    </row>
    <row r="10" spans="1:13" ht="13.4" customHeight="1">
      <c r="A10" s="3" t="str">
        <f>'[2]shipper master'!C12</f>
        <v xml:space="preserve"> Long An Province , VietNam</v>
      </c>
      <c r="B10" s="117"/>
      <c r="C10" s="117"/>
      <c r="D10" s="117"/>
      <c r="E10" s="117"/>
      <c r="F10" s="128" t="s">
        <v>117</v>
      </c>
      <c r="G10" s="121"/>
      <c r="H10" s="121"/>
      <c r="I10" s="121"/>
      <c r="J10" s="117"/>
      <c r="K10" s="233"/>
      <c r="L10" s="129" t="str">
        <f>'[1]shipper master'!C51</f>
        <v xml:space="preserve"> COMPANY LIMITED</v>
      </c>
      <c r="M10" s="117"/>
    </row>
    <row r="11" spans="1:13" ht="13.4" customHeight="1">
      <c r="A11" s="126" t="str">
        <f>'[2]shipper master'!C13</f>
        <v xml:space="preserve"> TEL : ( 084 ) 097 22 00 798  ATTN : MR. TUAN</v>
      </c>
      <c r="B11" s="117"/>
      <c r="C11" s="117"/>
      <c r="D11" s="117"/>
      <c r="E11" s="136"/>
      <c r="F11" s="522" t="str">
        <f>'shipper master'!C26</f>
        <v xml:space="preserve"> SY-6300208-VT-DD-01</v>
      </c>
      <c r="G11" s="523"/>
      <c r="H11" s="523"/>
      <c r="I11" s="523"/>
      <c r="J11" s="523"/>
      <c r="K11" s="524"/>
      <c r="L11" s="129" t="str">
        <f>'[1]shipper master'!C52</f>
        <v xml:space="preserve"> HOCHIMINH-CITY, VIETNAM</v>
      </c>
      <c r="M11" s="117"/>
    </row>
    <row r="12" spans="1:13" ht="13.4" customHeight="1">
      <c r="A12" s="121" t="s">
        <v>118</v>
      </c>
      <c r="B12" s="132"/>
      <c r="C12" s="132"/>
      <c r="D12" s="132"/>
      <c r="E12" s="117"/>
      <c r="F12" s="128" t="s">
        <v>119</v>
      </c>
      <c r="G12" s="121"/>
      <c r="H12" s="121"/>
      <c r="I12" s="121"/>
      <c r="J12" s="117"/>
      <c r="K12" s="117"/>
      <c r="L12" s="133" t="s">
        <v>285</v>
      </c>
      <c r="M12" s="117"/>
    </row>
    <row r="13" spans="1:13" ht="13.4" customHeight="1">
      <c r="A13" s="3" t="str">
        <f>'[2]shipper master'!C15</f>
        <v xml:space="preserve"> - SAME AS BUYER -</v>
      </c>
      <c r="B13" s="117"/>
      <c r="C13" s="117"/>
      <c r="D13" s="117"/>
      <c r="E13" s="117"/>
      <c r="F13" s="522">
        <f>'[2]shipper master'!C30</f>
        <v>0</v>
      </c>
      <c r="G13" s="523"/>
      <c r="H13" s="523"/>
      <c r="I13" s="523"/>
      <c r="J13" s="523"/>
      <c r="K13" s="524"/>
      <c r="L13" s="129" t="s">
        <v>120</v>
      </c>
      <c r="M13" s="117"/>
    </row>
    <row r="14" spans="1:13" ht="13.4" customHeight="1">
      <c r="A14" s="3">
        <f>'[2]shipper master'!C16</f>
        <v>0</v>
      </c>
      <c r="B14" s="117"/>
      <c r="C14" s="117"/>
      <c r="D14" s="117"/>
      <c r="E14" s="117"/>
      <c r="F14" s="134" t="s">
        <v>24</v>
      </c>
      <c r="G14" s="3"/>
      <c r="H14" s="3"/>
      <c r="I14" s="3"/>
      <c r="J14" s="3"/>
      <c r="K14" s="135"/>
      <c r="L14" s="129"/>
      <c r="M14" s="117"/>
    </row>
    <row r="15" spans="1:13" ht="13.4" customHeight="1">
      <c r="A15" s="3">
        <f>'[2]shipper master'!C17</f>
        <v>0</v>
      </c>
      <c r="B15" s="117"/>
      <c r="C15" s="117"/>
      <c r="D15" s="117"/>
      <c r="E15" s="117"/>
      <c r="F15" s="522">
        <f>'[2]shipper master'!C29</f>
        <v>0</v>
      </c>
      <c r="G15" s="523"/>
      <c r="H15" s="523"/>
      <c r="I15" s="523"/>
      <c r="J15" s="523"/>
      <c r="K15" s="524"/>
      <c r="L15" s="127"/>
      <c r="M15" s="117"/>
    </row>
    <row r="16" spans="1:13" ht="13.4" customHeight="1">
      <c r="A16" s="3">
        <f>'[2]shipper master'!C18</f>
        <v>0</v>
      </c>
      <c r="B16" s="117"/>
      <c r="C16" s="117"/>
      <c r="D16" s="117"/>
      <c r="E16" s="117"/>
      <c r="F16" s="128" t="s">
        <v>121</v>
      </c>
      <c r="G16" s="121"/>
      <c r="H16" s="121"/>
      <c r="I16" s="121"/>
      <c r="J16" s="117"/>
      <c r="K16" s="117"/>
      <c r="L16" s="127"/>
      <c r="M16" s="117"/>
    </row>
    <row r="17" spans="1:13" ht="13.4" customHeight="1">
      <c r="A17" s="126">
        <f>'[2]shipper master'!C19</f>
        <v>0</v>
      </c>
      <c r="B17" s="136"/>
      <c r="C17" s="136"/>
      <c r="D17" s="136"/>
      <c r="E17" s="136"/>
      <c r="F17" s="525"/>
      <c r="G17" s="526"/>
      <c r="H17" s="526"/>
      <c r="I17" s="526"/>
      <c r="J17" s="526"/>
      <c r="K17" s="527"/>
      <c r="L17" s="127"/>
      <c r="M17" s="117"/>
    </row>
    <row r="18" spans="1:13" ht="13.4" customHeight="1">
      <c r="A18" s="121" t="s">
        <v>122</v>
      </c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27"/>
      <c r="M18" s="117"/>
    </row>
    <row r="19" spans="1:13" ht="13.4" customHeight="1">
      <c r="A19" s="126" t="str">
        <f>'[2]shipper master'!C21</f>
        <v xml:space="preserve"> NO COMMERCIAL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7"/>
      <c r="M19" s="136"/>
    </row>
    <row r="20" spans="1:13" ht="13.4" customHeight="1">
      <c r="A20" s="121" t="s">
        <v>123</v>
      </c>
      <c r="B20" s="117"/>
      <c r="C20" s="117"/>
      <c r="D20" s="138" t="s">
        <v>124</v>
      </c>
      <c r="E20" s="139"/>
      <c r="F20" s="121" t="s">
        <v>125</v>
      </c>
      <c r="G20" s="121"/>
      <c r="H20" s="121"/>
      <c r="I20" s="121"/>
      <c r="J20" s="140" t="s">
        <v>126</v>
      </c>
      <c r="K20" s="141"/>
      <c r="L20" s="121" t="s">
        <v>127</v>
      </c>
      <c r="M20" s="117"/>
    </row>
    <row r="21" spans="1:13" s="1" customFormat="1" ht="13.4" customHeight="1" thickBot="1">
      <c r="A21" s="3" t="str">
        <f>'[2]shipper master'!C24</f>
        <v xml:space="preserve"> AIRCRAFT</v>
      </c>
      <c r="B21" s="119"/>
      <c r="C21" s="3"/>
      <c r="D21" s="142" t="str">
        <f>'[2]shipper master'!C32</f>
        <v xml:space="preserve"> TOKYO, JAPAN</v>
      </c>
      <c r="E21" s="4"/>
      <c r="F21" s="4"/>
      <c r="G21" s="4" t="str">
        <f>'[2]shipper master'!C33</f>
        <v xml:space="preserve"> HOCHIMINH-CITY, VIETNAM</v>
      </c>
      <c r="H21" s="3"/>
      <c r="I21" s="3"/>
      <c r="J21" s="119"/>
      <c r="K21" s="119"/>
      <c r="L21" s="4"/>
      <c r="M21" s="119"/>
    </row>
    <row r="22" spans="1:13" s="147" customFormat="1" ht="16.399999999999999" customHeight="1">
      <c r="A22" s="143" t="s">
        <v>128</v>
      </c>
      <c r="B22" s="143" t="s">
        <v>129</v>
      </c>
      <c r="C22" s="143"/>
      <c r="D22" s="144" t="s">
        <v>130</v>
      </c>
      <c r="E22" s="143" t="s">
        <v>131</v>
      </c>
      <c r="F22" s="144"/>
      <c r="G22" s="144"/>
      <c r="H22" s="144" t="s">
        <v>132</v>
      </c>
      <c r="I22" s="144"/>
      <c r="J22" s="144"/>
      <c r="K22" s="145" t="s">
        <v>133</v>
      </c>
      <c r="L22" s="143" t="s">
        <v>134</v>
      </c>
      <c r="M22" s="146" t="s">
        <v>135</v>
      </c>
    </row>
    <row r="23" spans="1:13" ht="13.4" customHeight="1">
      <c r="A23" s="148"/>
      <c r="B23" s="149"/>
      <c r="C23" s="149"/>
      <c r="D23" s="117"/>
      <c r="E23" s="149"/>
      <c r="F23" s="117"/>
      <c r="G23" s="117"/>
      <c r="H23" s="117"/>
      <c r="I23" s="117"/>
      <c r="J23" s="117"/>
      <c r="K23" s="150"/>
      <c r="L23" s="117"/>
      <c r="M23" s="127"/>
    </row>
    <row r="24" spans="1:13" s="1" customFormat="1" ht="13.4" customHeight="1">
      <c r="A24" s="151"/>
      <c r="B24" s="152" t="str">
        <f>'[2]shipper master'!C36</f>
        <v>FABRIC &amp; PARTS FOR WEAR &amp; SAMPLE CLOTHES</v>
      </c>
      <c r="C24" s="152"/>
      <c r="D24" s="4"/>
      <c r="E24" s="4"/>
      <c r="F24" s="4"/>
      <c r="G24" s="4"/>
      <c r="H24" s="4"/>
      <c r="I24" s="4"/>
      <c r="J24" s="4"/>
      <c r="K24" s="153"/>
      <c r="L24" s="154" t="str">
        <f>'[2]shipper master'!C48</f>
        <v>F.O.B. TOKYO IN YEN</v>
      </c>
      <c r="M24" s="155"/>
    </row>
    <row r="25" spans="1:13" s="1" customFormat="1" ht="13.4" customHeight="1">
      <c r="A25" s="151"/>
      <c r="B25" s="152"/>
      <c r="C25" s="152"/>
      <c r="D25" s="4"/>
      <c r="E25" s="4"/>
      <c r="F25" s="4"/>
      <c r="G25" s="4"/>
      <c r="H25" s="4"/>
      <c r="I25" s="4"/>
      <c r="J25" s="4"/>
      <c r="K25" s="153"/>
      <c r="L25" s="156"/>
      <c r="M25" s="155"/>
    </row>
    <row r="26" spans="1:13" s="1" customFormat="1" ht="13.4" customHeight="1">
      <c r="A26" s="157"/>
      <c r="B26" s="152">
        <f>'[2]shipper master'!C37</f>
        <v>0</v>
      </c>
      <c r="C26" s="152"/>
      <c r="D26" s="4"/>
      <c r="E26" s="4"/>
      <c r="F26" s="3"/>
      <c r="G26" s="3"/>
      <c r="H26" s="3"/>
      <c r="I26" s="3"/>
      <c r="J26" s="3"/>
      <c r="K26" s="159">
        <f>'NARITA '!E51+'NARITA (2)'!E35</f>
        <v>438.40000000000003</v>
      </c>
      <c r="L26" s="160" t="s">
        <v>153</v>
      </c>
      <c r="M26" s="161">
        <f>'NARITA '!H51+'NARITA (2)'!H35</f>
        <v>468459</v>
      </c>
    </row>
    <row r="27" spans="1:13" s="1" customFormat="1" ht="13.4" customHeight="1">
      <c r="A27" s="5"/>
      <c r="B27" s="4"/>
      <c r="C27" s="4"/>
      <c r="D27" s="3"/>
      <c r="E27" s="4"/>
      <c r="F27" s="4"/>
      <c r="G27" s="4"/>
      <c r="H27" s="4"/>
      <c r="I27" s="4"/>
      <c r="J27" s="4"/>
      <c r="K27" s="159">
        <f>'NARITA '!E52+'NARITA (2)'!E36</f>
        <v>519</v>
      </c>
      <c r="L27" s="160" t="s">
        <v>148</v>
      </c>
      <c r="M27" s="161">
        <f>'NARITA '!H52+'NARITA (2)'!H36</f>
        <v>30150</v>
      </c>
    </row>
    <row r="28" spans="1:13" s="1" customFormat="1" ht="13.4" customHeight="1">
      <c r="A28" s="162"/>
      <c r="B28" s="22" t="str">
        <f>'[2]shipper master'!C38</f>
        <v>- DETAILS AS PER ATTACHED SHEET -</v>
      </c>
      <c r="C28" s="22"/>
      <c r="D28" s="3"/>
      <c r="E28" s="4"/>
      <c r="F28" s="3"/>
      <c r="G28" s="3"/>
      <c r="H28" s="3"/>
      <c r="I28" s="3"/>
      <c r="J28" s="3"/>
      <c r="K28" s="163">
        <f>'NARITA '!E53+'NARITA (2)'!E37</f>
        <v>218</v>
      </c>
      <c r="L28" s="160" t="s">
        <v>209</v>
      </c>
      <c r="M28" s="164">
        <f>'NARITA '!H53+'NARITA (2)'!H37</f>
        <v>5000</v>
      </c>
    </row>
    <row r="29" spans="1:13" s="1" customFormat="1" ht="13.4" customHeight="1">
      <c r="A29" s="162"/>
      <c r="B29" s="22"/>
      <c r="C29" s="22"/>
      <c r="D29" s="3"/>
      <c r="E29" s="4"/>
      <c r="F29" s="3"/>
      <c r="G29" s="3"/>
      <c r="H29" s="3"/>
      <c r="I29" s="3"/>
      <c r="J29" s="3"/>
      <c r="K29" s="163"/>
      <c r="L29" s="160"/>
      <c r="M29" s="164"/>
    </row>
    <row r="30" spans="1:13" s="1" customFormat="1" ht="17.25" customHeight="1" thickBot="1">
      <c r="A30" s="165"/>
      <c r="B30" s="166" t="s">
        <v>147</v>
      </c>
      <c r="C30" s="208"/>
      <c r="D30" s="214">
        <f>K26</f>
        <v>438.40000000000003</v>
      </c>
      <c r="E30" s="208" t="s">
        <v>150</v>
      </c>
      <c r="F30" s="528">
        <f>K27</f>
        <v>519</v>
      </c>
      <c r="G30" s="528"/>
      <c r="H30" s="528"/>
      <c r="I30" s="167" t="s">
        <v>86</v>
      </c>
      <c r="J30" s="167" t="s">
        <v>86</v>
      </c>
      <c r="K30" s="209">
        <f>K28</f>
        <v>218</v>
      </c>
      <c r="L30" s="210" t="s">
        <v>209</v>
      </c>
      <c r="M30" s="168">
        <f>SUM(M26:M29)</f>
        <v>503609</v>
      </c>
    </row>
    <row r="31" spans="1:13" s="1" customFormat="1" ht="13.4" customHeight="1" thickTop="1">
      <c r="A31" s="169"/>
      <c r="B31" s="170"/>
      <c r="C31" s="170"/>
      <c r="D31" s="3"/>
      <c r="E31" s="171"/>
      <c r="F31" s="3"/>
      <c r="G31" s="171"/>
      <c r="H31" s="3"/>
      <c r="I31" s="3"/>
      <c r="J31" s="3"/>
      <c r="K31" s="162"/>
      <c r="L31" s="172"/>
      <c r="M31" s="169"/>
    </row>
    <row r="32" spans="1:13" s="1" customFormat="1" ht="13.4" customHeight="1">
      <c r="A32" s="3"/>
      <c r="B32" s="4"/>
      <c r="C32" s="4"/>
      <c r="D32" s="3"/>
      <c r="E32" s="3"/>
      <c r="F32" s="3"/>
      <c r="G32" s="3"/>
      <c r="H32" s="3"/>
      <c r="I32" s="3"/>
      <c r="J32" s="3"/>
      <c r="K32" s="173"/>
      <c r="L32" s="172"/>
      <c r="M32" s="174"/>
    </row>
    <row r="33" spans="1:13" s="1" customFormat="1" ht="13.4" customHeight="1">
      <c r="A33" s="3" t="str">
        <f>'[2]shipper master'!C63</f>
        <v>" THESE GOODS WILL BE RETURN TO JAPAN</v>
      </c>
      <c r="B33" s="175"/>
      <c r="C33" s="175"/>
      <c r="D33" s="175"/>
      <c r="E33" s="175"/>
      <c r="F33" s="175"/>
      <c r="G33" s="3"/>
      <c r="H33" s="3"/>
      <c r="I33" s="3" t="s">
        <v>136</v>
      </c>
      <c r="J33" s="3"/>
      <c r="K33" s="173" t="s">
        <v>137</v>
      </c>
      <c r="L33" s="172"/>
      <c r="M33" s="3"/>
    </row>
    <row r="34" spans="1:13" s="1" customFormat="1" ht="13.4" customHeight="1">
      <c r="A34" s="520" t="str">
        <f>'[2]shipper master'!C64</f>
        <v xml:space="preserve">  AFTER MANUFACTURED AT VIET NAM "</v>
      </c>
      <c r="B34" s="520"/>
      <c r="C34" s="520"/>
      <c r="D34" s="520"/>
      <c r="E34" s="4"/>
      <c r="F34" s="3"/>
      <c r="G34" s="3"/>
      <c r="H34" s="3"/>
      <c r="I34" s="3" t="s">
        <v>138</v>
      </c>
      <c r="J34" s="3"/>
      <c r="K34" s="173" t="s">
        <v>139</v>
      </c>
      <c r="L34" s="172"/>
      <c r="M34" s="174"/>
    </row>
    <row r="35" spans="1:13" s="1" customFormat="1" ht="13.4" customHeight="1">
      <c r="A35" s="3"/>
      <c r="B35" s="4"/>
      <c r="C35" s="4"/>
      <c r="D35" s="4">
        <f>'[2]shipper master'!C58</f>
        <v>0</v>
      </c>
      <c r="E35" s="4"/>
      <c r="F35" s="3"/>
      <c r="G35" s="3"/>
      <c r="H35" s="3"/>
      <c r="I35" s="3"/>
      <c r="J35" s="3"/>
      <c r="K35" s="162"/>
      <c r="L35" s="172"/>
      <c r="M35" s="3"/>
    </row>
    <row r="36" spans="1:13" s="1" customFormat="1" ht="13.4" customHeight="1">
      <c r="A36" s="4" t="str">
        <f>'[2]shipper master'!C60</f>
        <v>COUNTRY OF ORIGIN : JAPAN</v>
      </c>
      <c r="B36" s="4"/>
      <c r="C36" s="4"/>
      <c r="D36" s="4"/>
      <c r="E36" s="4"/>
      <c r="F36" s="3"/>
      <c r="G36" s="3"/>
      <c r="H36" s="3"/>
      <c r="I36" s="3"/>
      <c r="J36" s="3"/>
      <c r="K36" s="162"/>
      <c r="L36" s="172"/>
      <c r="M36" s="3"/>
    </row>
    <row r="37" spans="1:13" s="1" customFormat="1" ht="13.4" customHeight="1">
      <c r="A37" s="4"/>
      <c r="B37" s="4"/>
      <c r="C37" s="4"/>
      <c r="D37" s="4"/>
      <c r="E37" s="4"/>
      <c r="F37" s="3"/>
      <c r="G37" s="3"/>
      <c r="H37" s="3"/>
      <c r="I37" s="3"/>
      <c r="J37" s="3"/>
      <c r="K37" s="162"/>
      <c r="L37" s="172"/>
      <c r="M37" s="3"/>
    </row>
    <row r="38" spans="1:13" s="1" customFormat="1" ht="13.4" customHeight="1">
      <c r="A38" s="176" t="s">
        <v>140</v>
      </c>
      <c r="B38" s="177"/>
      <c r="C38" s="177"/>
      <c r="D38" s="178" t="s">
        <v>286</v>
      </c>
      <c r="E38" s="4"/>
      <c r="F38" s="3"/>
      <c r="G38" s="3"/>
      <c r="H38" s="3"/>
      <c r="I38" s="3"/>
      <c r="J38" s="3"/>
      <c r="K38" s="162"/>
      <c r="L38" s="172"/>
      <c r="M38" s="3"/>
    </row>
    <row r="39" spans="1:13" s="1" customFormat="1" ht="13.4" customHeight="1">
      <c r="A39" s="176" t="s">
        <v>141</v>
      </c>
      <c r="B39" s="177"/>
      <c r="C39" s="177"/>
      <c r="D39" s="179" t="s">
        <v>142</v>
      </c>
      <c r="E39" s="4"/>
      <c r="F39" s="3"/>
      <c r="G39" s="3"/>
      <c r="H39" s="3"/>
      <c r="I39" s="3"/>
      <c r="J39" s="3"/>
      <c r="K39" s="162"/>
      <c r="L39" s="172"/>
      <c r="M39" s="3"/>
    </row>
    <row r="40" spans="1:13" s="1" customFormat="1" ht="13.4" customHeight="1">
      <c r="A40" s="158"/>
      <c r="B40" s="152"/>
      <c r="C40" s="152"/>
      <c r="D40" s="180"/>
      <c r="E40" s="152"/>
      <c r="F40" s="181"/>
      <c r="G40" s="181"/>
      <c r="H40" s="181"/>
      <c r="I40" s="3"/>
      <c r="J40" s="3"/>
      <c r="K40" s="162"/>
      <c r="L40" s="172"/>
      <c r="M40" s="3"/>
    </row>
    <row r="41" spans="1:13" ht="18" customHeight="1">
      <c r="A41" s="158"/>
      <c r="B41" s="117"/>
      <c r="C41" s="117"/>
      <c r="D41" s="117"/>
      <c r="E41" s="117"/>
      <c r="F41" s="117"/>
      <c r="G41" s="117"/>
      <c r="H41" s="149"/>
      <c r="I41" s="117"/>
      <c r="J41" s="117"/>
      <c r="K41" s="149"/>
      <c r="L41" s="182"/>
      <c r="M41" s="117"/>
    </row>
    <row r="42" spans="1:13" ht="13.4" customHeight="1">
      <c r="A42" s="117"/>
      <c r="B42" s="183"/>
      <c r="C42" s="183"/>
      <c r="D42" s="117"/>
      <c r="E42" s="117"/>
      <c r="F42" s="117"/>
      <c r="G42" s="117"/>
      <c r="H42" s="117"/>
      <c r="I42" s="117"/>
      <c r="J42" s="117"/>
      <c r="K42" s="184"/>
      <c r="L42" s="182"/>
      <c r="M42" s="117"/>
    </row>
    <row r="43" spans="1:13" ht="13.4" customHeight="1">
      <c r="A43" s="117"/>
      <c r="B43" s="183"/>
      <c r="C43" s="183"/>
      <c r="D43" s="117"/>
      <c r="E43" s="117"/>
      <c r="F43" s="117"/>
      <c r="G43" s="117"/>
      <c r="H43" s="117"/>
      <c r="I43" s="117"/>
      <c r="J43" s="117"/>
      <c r="K43" s="184"/>
      <c r="L43" s="182"/>
      <c r="M43" s="117"/>
    </row>
    <row r="44" spans="1:13" ht="13.4" customHeight="1">
      <c r="A44" s="117"/>
      <c r="B44" s="117"/>
      <c r="C44" s="117"/>
      <c r="D44" s="117"/>
      <c r="E44" s="117"/>
      <c r="F44" s="117"/>
      <c r="G44" s="117"/>
      <c r="H44" s="136"/>
      <c r="I44" s="136"/>
      <c r="J44" s="136"/>
      <c r="K44" s="185"/>
      <c r="L44" s="186"/>
      <c r="M44" s="136"/>
    </row>
    <row r="45" spans="1:13" ht="13.4" customHeight="1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84"/>
      <c r="L45" s="182"/>
      <c r="M45" s="117"/>
    </row>
    <row r="46" spans="1:13" ht="13.4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84"/>
      <c r="L46" s="182"/>
      <c r="M46" s="117"/>
    </row>
    <row r="47" spans="1:13" ht="13.4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84"/>
      <c r="L47" s="182"/>
      <c r="M47" s="117"/>
    </row>
    <row r="48" spans="1:13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84"/>
      <c r="L48" s="182"/>
      <c r="M48" s="117"/>
    </row>
    <row r="49" spans="1:13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84"/>
      <c r="L49" s="187"/>
      <c r="M49" s="117"/>
    </row>
    <row r="50" spans="1:13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84"/>
      <c r="L50" s="187"/>
      <c r="M50" s="117"/>
    </row>
    <row r="51" spans="1:13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84"/>
      <c r="L51" s="187"/>
      <c r="M51" s="117"/>
    </row>
    <row r="52" spans="1:13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84"/>
      <c r="L52" s="187"/>
      <c r="M52" s="117"/>
    </row>
    <row r="53" spans="1:13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84"/>
      <c r="L53" s="187"/>
      <c r="M53" s="117"/>
    </row>
    <row r="54" spans="1:13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84"/>
      <c r="L54" s="187"/>
      <c r="M54" s="117"/>
    </row>
    <row r="55" spans="1:13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84"/>
      <c r="L55" s="187"/>
      <c r="M55" s="117"/>
    </row>
    <row r="56" spans="1:13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84"/>
      <c r="L56" s="187"/>
      <c r="M56" s="117"/>
    </row>
    <row r="57" spans="1:13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84"/>
      <c r="L57" s="187"/>
      <c r="M57" s="117"/>
    </row>
    <row r="58" spans="1:13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84"/>
      <c r="L58" s="187"/>
      <c r="M58" s="117"/>
    </row>
    <row r="59" spans="1:13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84"/>
      <c r="L59" s="187"/>
      <c r="M59" s="117"/>
    </row>
    <row r="60" spans="1:13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84"/>
      <c r="L60" s="187"/>
      <c r="M60" s="117"/>
    </row>
    <row r="61" spans="1:13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84"/>
      <c r="L61" s="187"/>
      <c r="M61" s="117"/>
    </row>
    <row r="62" spans="1:13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84"/>
      <c r="L62" s="187"/>
      <c r="M62" s="117"/>
    </row>
    <row r="63" spans="1:13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84"/>
      <c r="L63" s="187"/>
      <c r="M63" s="117"/>
    </row>
    <row r="64" spans="1:13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84"/>
      <c r="L64" s="187"/>
      <c r="M64" s="117"/>
    </row>
    <row r="65" spans="1:13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84"/>
      <c r="L65" s="187"/>
      <c r="M65" s="117"/>
    </row>
    <row r="66" spans="1:13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84"/>
      <c r="L66" s="187"/>
      <c r="M66" s="117"/>
    </row>
    <row r="67" spans="1:13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84"/>
      <c r="L67" s="187"/>
      <c r="M67" s="117"/>
    </row>
    <row r="68" spans="1:13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84"/>
      <c r="L68" s="187"/>
      <c r="M68" s="117"/>
    </row>
    <row r="69" spans="1:13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84"/>
      <c r="L69" s="187"/>
      <c r="M69" s="117"/>
    </row>
    <row r="70" spans="1:13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84"/>
      <c r="L70" s="187"/>
      <c r="M70" s="117"/>
    </row>
    <row r="71" spans="1:13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84"/>
      <c r="L71" s="187"/>
      <c r="M71" s="117"/>
    </row>
    <row r="72" spans="1:13">
      <c r="K72" s="188"/>
      <c r="L72" s="189"/>
    </row>
    <row r="73" spans="1:13">
      <c r="K73" s="188"/>
      <c r="L73" s="189"/>
    </row>
    <row r="74" spans="1:13">
      <c r="L74" s="189"/>
    </row>
    <row r="75" spans="1:13">
      <c r="L75" s="189"/>
    </row>
    <row r="76" spans="1:13">
      <c r="L76" s="189"/>
    </row>
    <row r="77" spans="1:13">
      <c r="L77" s="189"/>
    </row>
    <row r="78" spans="1:13">
      <c r="L78" s="189"/>
    </row>
    <row r="79" spans="1:13">
      <c r="L79" s="189"/>
    </row>
    <row r="80" spans="1:13">
      <c r="L80" s="189"/>
    </row>
    <row r="81" spans="12:12">
      <c r="L81" s="189"/>
    </row>
    <row r="82" spans="12:12">
      <c r="L82" s="189"/>
    </row>
    <row r="83" spans="12:12">
      <c r="L83" s="189"/>
    </row>
    <row r="84" spans="12:12">
      <c r="L84" s="189"/>
    </row>
    <row r="85" spans="12:12">
      <c r="L85" s="189"/>
    </row>
    <row r="86" spans="12:12">
      <c r="L86" s="189"/>
    </row>
    <row r="87" spans="12:12">
      <c r="L87" s="189"/>
    </row>
    <row r="88" spans="12:12">
      <c r="L88" s="189"/>
    </row>
    <row r="89" spans="12:12">
      <c r="L89" s="189"/>
    </row>
    <row r="90" spans="12:12">
      <c r="L90" s="189"/>
    </row>
    <row r="91" spans="12:12">
      <c r="L91" s="189"/>
    </row>
  </sheetData>
  <mergeCells count="7">
    <mergeCell ref="A34:D34"/>
    <mergeCell ref="A1:M1"/>
    <mergeCell ref="F11:K11"/>
    <mergeCell ref="F13:K13"/>
    <mergeCell ref="F15:K15"/>
    <mergeCell ref="F17:K17"/>
    <mergeCell ref="F30:H30"/>
  </mergeCells>
  <phoneticPr fontId="13"/>
  <pageMargins left="0.39370078740157483" right="0.19685039370078741" top="0.59055118110236227" bottom="0.39370078740157483" header="0.51181102362204722" footer="0.51181102362204722"/>
  <pageSetup paperSize="9" scale="8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105"/>
  <sheetViews>
    <sheetView view="pageBreakPreview" topLeftCell="A13" zoomScale="80" zoomScaleNormal="90" zoomScaleSheetLayoutView="80" workbookViewId="0">
      <selection activeCell="E58" sqref="E58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60.3632812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535" t="s">
        <v>99</v>
      </c>
      <c r="B2" s="535"/>
      <c r="C2" s="535"/>
      <c r="D2" s="535"/>
      <c r="E2" s="535"/>
      <c r="F2" s="535"/>
      <c r="G2" s="535"/>
      <c r="H2" s="535"/>
      <c r="I2" s="41"/>
      <c r="L2" s="42"/>
      <c r="M2" s="42"/>
      <c r="N2" s="42"/>
    </row>
    <row r="3" spans="1:14" ht="15.5" thickBot="1">
      <c r="A3" s="43"/>
      <c r="B3" s="44"/>
      <c r="C3" s="43"/>
      <c r="D3" s="43"/>
      <c r="E3" s="43"/>
      <c r="F3" s="43"/>
      <c r="G3" s="43"/>
      <c r="H3" s="43"/>
      <c r="I3" s="41"/>
      <c r="L3" s="42"/>
      <c r="M3" s="42"/>
      <c r="N3" s="42"/>
    </row>
    <row r="4" spans="1:14" ht="21.75" customHeight="1" thickBot="1">
      <c r="A4" s="45" t="s">
        <v>36</v>
      </c>
      <c r="B4" s="24" t="s">
        <v>97</v>
      </c>
      <c r="C4" s="45" t="s">
        <v>87</v>
      </c>
      <c r="D4" s="23" t="s">
        <v>88</v>
      </c>
      <c r="E4" s="45" t="s">
        <v>89</v>
      </c>
      <c r="F4" s="536" t="s">
        <v>90</v>
      </c>
      <c r="G4" s="537"/>
      <c r="H4" s="46" t="s">
        <v>91</v>
      </c>
      <c r="I4" s="47" t="s">
        <v>92</v>
      </c>
      <c r="J4" s="48" t="s">
        <v>93</v>
      </c>
      <c r="K4" s="49" t="s">
        <v>94</v>
      </c>
      <c r="L4" s="50" t="s">
        <v>108</v>
      </c>
      <c r="M4" s="50" t="s">
        <v>95</v>
      </c>
      <c r="N4" s="51" t="s">
        <v>96</v>
      </c>
    </row>
    <row r="5" spans="1:14">
      <c r="A5" s="52"/>
      <c r="B5" s="53"/>
      <c r="C5" s="54"/>
      <c r="D5" s="55"/>
      <c r="E5" s="54"/>
      <c r="F5" s="54"/>
      <c r="G5" s="56"/>
      <c r="H5" s="56"/>
      <c r="I5" s="57"/>
      <c r="J5" s="58"/>
      <c r="K5" s="58"/>
      <c r="L5" s="58"/>
      <c r="M5" s="58"/>
      <c r="N5" s="59"/>
    </row>
    <row r="6" spans="1:14">
      <c r="A6" s="60"/>
      <c r="B6" s="61" t="s">
        <v>98</v>
      </c>
      <c r="C6" s="54"/>
      <c r="D6" s="62" t="str">
        <f>[3]invoice!B24</f>
        <v>FABRIC &amp; PARTS FOR WEAR &amp; SAMPLE CLOTHES</v>
      </c>
      <c r="E6" s="56"/>
      <c r="F6" s="56"/>
      <c r="G6" s="63" t="str">
        <f>'[1]shipper master'!C48</f>
        <v>F.O.B. TOKYO IN YEN</v>
      </c>
      <c r="H6" s="56"/>
      <c r="I6" s="64"/>
      <c r="J6" s="65"/>
      <c r="K6" s="65"/>
      <c r="L6" s="65"/>
      <c r="M6" s="65"/>
      <c r="N6" s="66"/>
    </row>
    <row r="7" spans="1:14" ht="15.5" thickBot="1">
      <c r="A7" s="67"/>
      <c r="B7" s="68"/>
      <c r="C7" s="69"/>
      <c r="D7" s="70" t="s">
        <v>109</v>
      </c>
      <c r="E7" s="69"/>
      <c r="F7" s="69"/>
      <c r="G7" s="71"/>
      <c r="H7" s="20"/>
      <c r="I7" s="72"/>
      <c r="J7" s="73"/>
      <c r="K7" s="73"/>
      <c r="L7" s="73"/>
      <c r="M7" s="74"/>
      <c r="N7" s="75"/>
    </row>
    <row r="8" spans="1:14" ht="15.65" customHeight="1">
      <c r="A8" s="529" t="s">
        <v>173</v>
      </c>
      <c r="B8" s="29"/>
      <c r="C8" s="29"/>
      <c r="D8" s="206" t="s">
        <v>166</v>
      </c>
      <c r="E8" s="76"/>
      <c r="F8" s="76"/>
      <c r="G8" s="77"/>
      <c r="H8" s="78"/>
      <c r="I8" s="256"/>
      <c r="J8" s="264"/>
      <c r="K8" s="78"/>
      <c r="L8" s="78"/>
      <c r="M8" s="78"/>
      <c r="N8" s="532">
        <v>3</v>
      </c>
    </row>
    <row r="9" spans="1:14">
      <c r="A9" s="530"/>
      <c r="B9" s="218" t="s">
        <v>165</v>
      </c>
      <c r="C9" s="215" t="s">
        <v>167</v>
      </c>
      <c r="D9" s="219" t="s">
        <v>101</v>
      </c>
      <c r="E9" s="220">
        <v>12</v>
      </c>
      <c r="F9" s="82" t="s">
        <v>150</v>
      </c>
      <c r="G9" s="216">
        <v>1460</v>
      </c>
      <c r="H9" s="217">
        <f>E9*G9</f>
        <v>17520</v>
      </c>
      <c r="I9" s="228"/>
      <c r="J9" s="265"/>
      <c r="K9" s="56"/>
      <c r="L9" s="85"/>
      <c r="M9" s="56"/>
      <c r="N9" s="533"/>
    </row>
    <row r="10" spans="1:14" ht="16.5">
      <c r="A10" s="530"/>
      <c r="B10" s="21" t="s">
        <v>149</v>
      </c>
      <c r="C10" s="80" t="s">
        <v>168</v>
      </c>
      <c r="D10" s="31" t="s">
        <v>170</v>
      </c>
      <c r="E10" s="81">
        <v>12</v>
      </c>
      <c r="F10" s="82" t="s">
        <v>150</v>
      </c>
      <c r="G10" s="83">
        <v>1460</v>
      </c>
      <c r="H10" s="84">
        <f t="shared" ref="H10" si="0">E10*G10</f>
        <v>17520</v>
      </c>
      <c r="I10" s="228" t="s">
        <v>172</v>
      </c>
      <c r="J10" s="265" t="s">
        <v>203</v>
      </c>
      <c r="K10" s="56"/>
      <c r="L10" s="56"/>
      <c r="M10" s="56"/>
      <c r="N10" s="533"/>
    </row>
    <row r="11" spans="1:14" ht="16.5">
      <c r="A11" s="530"/>
      <c r="B11" s="33" t="s">
        <v>151</v>
      </c>
      <c r="C11" s="80" t="s">
        <v>169</v>
      </c>
      <c r="D11" s="32" t="s">
        <v>171</v>
      </c>
      <c r="E11" s="81">
        <v>12</v>
      </c>
      <c r="F11" s="82" t="s">
        <v>150</v>
      </c>
      <c r="G11" s="83">
        <v>1460</v>
      </c>
      <c r="H11" s="84">
        <f t="shared" ref="H11" si="1">E11*G11</f>
        <v>17520</v>
      </c>
      <c r="I11" s="228"/>
      <c r="J11" s="265"/>
      <c r="K11" s="56"/>
      <c r="L11" s="56"/>
      <c r="M11" s="56"/>
      <c r="N11" s="533"/>
    </row>
    <row r="12" spans="1:14" ht="15.5" thickBot="1">
      <c r="A12" s="531"/>
      <c r="B12" s="35" t="s">
        <v>152</v>
      </c>
      <c r="C12" s="86"/>
      <c r="D12" s="34"/>
      <c r="E12" s="87"/>
      <c r="F12" s="87"/>
      <c r="G12" s="88"/>
      <c r="H12" s="89"/>
      <c r="I12" s="257"/>
      <c r="J12" s="266"/>
      <c r="K12" s="19"/>
      <c r="L12" s="19"/>
      <c r="M12" s="19"/>
      <c r="N12" s="534"/>
    </row>
    <row r="13" spans="1:14" ht="15.5" thickBot="1">
      <c r="A13" s="262"/>
      <c r="B13" s="30"/>
      <c r="C13" s="80"/>
      <c r="D13" s="31"/>
      <c r="E13" s="260"/>
      <c r="F13" s="227"/>
      <c r="G13" s="225"/>
      <c r="H13" s="226"/>
      <c r="I13" s="228"/>
      <c r="J13" s="265"/>
      <c r="K13" s="101"/>
      <c r="L13" s="101"/>
      <c r="M13" s="101"/>
      <c r="N13" s="230"/>
    </row>
    <row r="14" spans="1:14" ht="15.65" customHeight="1">
      <c r="A14" s="529" t="s">
        <v>194</v>
      </c>
      <c r="B14" s="29"/>
      <c r="C14" s="29"/>
      <c r="D14" s="206" t="s">
        <v>177</v>
      </c>
      <c r="E14" s="76"/>
      <c r="F14" s="76"/>
      <c r="G14" s="77"/>
      <c r="H14" s="78"/>
      <c r="I14" s="538" t="s">
        <v>185</v>
      </c>
      <c r="J14" s="264"/>
      <c r="K14" s="78"/>
      <c r="L14" s="78"/>
      <c r="M14" s="78"/>
      <c r="N14" s="532">
        <v>9</v>
      </c>
    </row>
    <row r="15" spans="1:14">
      <c r="A15" s="530"/>
      <c r="B15" s="218" t="s">
        <v>174</v>
      </c>
      <c r="C15" s="215" t="s">
        <v>179</v>
      </c>
      <c r="D15" s="21" t="s">
        <v>164</v>
      </c>
      <c r="E15" s="220">
        <v>11</v>
      </c>
      <c r="F15" s="82" t="s">
        <v>150</v>
      </c>
      <c r="G15" s="216">
        <v>1230</v>
      </c>
      <c r="H15" s="217">
        <f>E15*G15</f>
        <v>13530</v>
      </c>
      <c r="I15" s="539"/>
      <c r="J15" s="265"/>
      <c r="K15" s="56"/>
      <c r="L15" s="85"/>
      <c r="M15" s="56"/>
      <c r="N15" s="533"/>
    </row>
    <row r="16" spans="1:14" ht="16.5">
      <c r="A16" s="530"/>
      <c r="B16" s="21" t="s">
        <v>164</v>
      </c>
      <c r="C16" s="80" t="s">
        <v>180</v>
      </c>
      <c r="D16" s="259" t="s">
        <v>110</v>
      </c>
      <c r="E16" s="81">
        <v>18</v>
      </c>
      <c r="F16" s="82" t="s">
        <v>150</v>
      </c>
      <c r="G16" s="83">
        <v>1230</v>
      </c>
      <c r="H16" s="84">
        <f t="shared" ref="H16:H17" si="2">E16*G16</f>
        <v>22140</v>
      </c>
      <c r="I16" s="539"/>
      <c r="J16" s="265"/>
      <c r="K16" s="56"/>
      <c r="L16" s="56"/>
      <c r="M16" s="56"/>
      <c r="N16" s="533"/>
    </row>
    <row r="17" spans="1:14" ht="16.5">
      <c r="A17" s="530"/>
      <c r="B17" s="33" t="s">
        <v>176</v>
      </c>
      <c r="C17" s="80" t="s">
        <v>181</v>
      </c>
      <c r="D17" s="32" t="s">
        <v>184</v>
      </c>
      <c r="E17" s="81">
        <v>11</v>
      </c>
      <c r="F17" s="82" t="s">
        <v>150</v>
      </c>
      <c r="G17" s="83">
        <v>1230</v>
      </c>
      <c r="H17" s="84">
        <f t="shared" si="2"/>
        <v>13530</v>
      </c>
      <c r="I17" s="539"/>
      <c r="J17" s="265"/>
      <c r="K17" s="56"/>
      <c r="L17" s="56"/>
      <c r="M17" s="56"/>
      <c r="N17" s="533"/>
    </row>
    <row r="18" spans="1:14">
      <c r="A18" s="530"/>
      <c r="B18" s="258" t="s">
        <v>152</v>
      </c>
      <c r="C18" s="222" t="s">
        <v>182</v>
      </c>
      <c r="D18" s="223"/>
      <c r="E18" s="224">
        <v>39.9</v>
      </c>
      <c r="F18" s="82" t="s">
        <v>150</v>
      </c>
      <c r="G18" s="83">
        <v>1230</v>
      </c>
      <c r="H18" s="84">
        <f t="shared" ref="H18:H19" si="3">E18*G18</f>
        <v>49077</v>
      </c>
      <c r="I18" s="539"/>
      <c r="J18" s="265" t="s">
        <v>204</v>
      </c>
      <c r="K18" s="56"/>
      <c r="L18" s="56"/>
      <c r="M18" s="56"/>
      <c r="N18" s="533"/>
    </row>
    <row r="19" spans="1:14" ht="15.5" thickBot="1">
      <c r="A19" s="530"/>
      <c r="B19" s="35"/>
      <c r="C19" s="86" t="s">
        <v>178</v>
      </c>
      <c r="D19" s="34"/>
      <c r="E19" s="87">
        <v>41.2</v>
      </c>
      <c r="F19" s="211" t="s">
        <v>150</v>
      </c>
      <c r="G19" s="88">
        <v>1230</v>
      </c>
      <c r="H19" s="89">
        <f t="shared" si="3"/>
        <v>50676</v>
      </c>
      <c r="I19" s="539"/>
      <c r="J19" s="265"/>
      <c r="K19" s="56"/>
      <c r="L19" s="56"/>
      <c r="M19" s="56"/>
      <c r="N19" s="533"/>
    </row>
    <row r="20" spans="1:14" ht="15.5" thickBot="1">
      <c r="A20" s="530"/>
      <c r="B20" s="30"/>
      <c r="C20" s="80"/>
      <c r="D20" s="31"/>
      <c r="E20" s="260"/>
      <c r="F20" s="227"/>
      <c r="G20" s="225"/>
      <c r="H20" s="226"/>
      <c r="I20" s="539"/>
      <c r="J20" s="265"/>
      <c r="K20" s="56"/>
      <c r="L20" s="56"/>
      <c r="M20" s="56"/>
      <c r="N20" s="533"/>
    </row>
    <row r="21" spans="1:14" ht="15.65" customHeight="1">
      <c r="A21" s="530"/>
      <c r="B21" s="29"/>
      <c r="C21" s="29"/>
      <c r="D21" s="206" t="s">
        <v>191</v>
      </c>
      <c r="E21" s="76"/>
      <c r="F21" s="76"/>
      <c r="G21" s="77"/>
      <c r="H21" s="78"/>
      <c r="I21" s="539"/>
      <c r="J21" s="265"/>
      <c r="K21" s="101"/>
      <c r="L21" s="101"/>
      <c r="M21" s="101"/>
      <c r="N21" s="533"/>
    </row>
    <row r="22" spans="1:14">
      <c r="A22" s="530"/>
      <c r="B22" s="218" t="s">
        <v>186</v>
      </c>
      <c r="C22" s="215" t="s">
        <v>189</v>
      </c>
      <c r="D22" s="219" t="s">
        <v>101</v>
      </c>
      <c r="E22" s="220">
        <v>63.2</v>
      </c>
      <c r="F22" s="82" t="s">
        <v>150</v>
      </c>
      <c r="G22" s="216">
        <v>1570</v>
      </c>
      <c r="H22" s="217">
        <f>E22*G22</f>
        <v>99224</v>
      </c>
      <c r="I22" s="539"/>
      <c r="J22" s="265"/>
      <c r="K22" s="56"/>
      <c r="L22" s="85"/>
      <c r="M22" s="56"/>
      <c r="N22" s="533"/>
    </row>
    <row r="23" spans="1:14" ht="16.5">
      <c r="A23" s="530"/>
      <c r="B23" s="21" t="s">
        <v>149</v>
      </c>
      <c r="C23" s="80" t="s">
        <v>190</v>
      </c>
      <c r="D23" s="31" t="s">
        <v>192</v>
      </c>
      <c r="E23" s="81">
        <v>63.1</v>
      </c>
      <c r="F23" s="82" t="s">
        <v>150</v>
      </c>
      <c r="G23" s="83">
        <v>1570</v>
      </c>
      <c r="H23" s="84">
        <f t="shared" ref="H23" si="4">E23*G23</f>
        <v>99067</v>
      </c>
      <c r="I23" s="539"/>
      <c r="J23" s="265"/>
      <c r="K23" s="56"/>
      <c r="L23" s="56"/>
      <c r="M23" s="56"/>
      <c r="N23" s="533"/>
    </row>
    <row r="24" spans="1:14" ht="16.5">
      <c r="A24" s="530"/>
      <c r="B24" s="33" t="s">
        <v>187</v>
      </c>
      <c r="C24" s="80"/>
      <c r="D24" s="32" t="s">
        <v>193</v>
      </c>
      <c r="E24" s="81"/>
      <c r="F24" s="82"/>
      <c r="G24" s="83"/>
      <c r="H24" s="84"/>
      <c r="I24" s="539"/>
      <c r="J24" s="265"/>
      <c r="K24" s="56"/>
      <c r="L24" s="56"/>
      <c r="M24" s="56"/>
      <c r="N24" s="533"/>
    </row>
    <row r="25" spans="1:14" ht="15.5" thickBot="1">
      <c r="A25" s="531"/>
      <c r="B25" s="35" t="s">
        <v>152</v>
      </c>
      <c r="C25" s="86"/>
      <c r="D25" s="34"/>
      <c r="E25" s="87"/>
      <c r="F25" s="87"/>
      <c r="G25" s="88"/>
      <c r="H25" s="89"/>
      <c r="I25" s="540"/>
      <c r="J25" s="266"/>
      <c r="K25" s="19"/>
      <c r="L25" s="19"/>
      <c r="M25" s="19"/>
      <c r="N25" s="534"/>
    </row>
    <row r="26" spans="1:14" ht="15.5" thickBot="1">
      <c r="A26" s="263"/>
      <c r="B26" s="212"/>
      <c r="C26" s="80"/>
      <c r="D26" s="32"/>
      <c r="E26" s="220"/>
      <c r="F26" s="82"/>
      <c r="G26" s="216"/>
      <c r="H26" s="217"/>
      <c r="I26" s="228"/>
      <c r="J26" s="265"/>
      <c r="K26" s="101"/>
      <c r="L26" s="101"/>
      <c r="M26" s="101"/>
      <c r="N26" s="230"/>
    </row>
    <row r="27" spans="1:14" ht="15.65" customHeight="1">
      <c r="A27" s="529" t="s">
        <v>201</v>
      </c>
      <c r="B27" s="29"/>
      <c r="C27" s="29"/>
      <c r="D27" s="206" t="s">
        <v>199</v>
      </c>
      <c r="E27" s="76"/>
      <c r="F27" s="76"/>
      <c r="G27" s="77"/>
      <c r="H27" s="78"/>
      <c r="I27" s="256"/>
      <c r="J27" s="264"/>
      <c r="K27" s="78"/>
      <c r="L27" s="78"/>
      <c r="M27" s="78"/>
      <c r="N27" s="532">
        <v>3</v>
      </c>
    </row>
    <row r="28" spans="1:14">
      <c r="A28" s="530"/>
      <c r="B28" s="218" t="s">
        <v>195</v>
      </c>
      <c r="C28" s="215" t="s">
        <v>197</v>
      </c>
      <c r="D28" s="21" t="s">
        <v>164</v>
      </c>
      <c r="E28" s="220">
        <v>11</v>
      </c>
      <c r="F28" s="82" t="s">
        <v>153</v>
      </c>
      <c r="G28" s="216">
        <v>1230</v>
      </c>
      <c r="H28" s="84">
        <f>E28*G28</f>
        <v>13530</v>
      </c>
      <c r="I28" s="228"/>
      <c r="J28" s="265"/>
      <c r="K28" s="56"/>
      <c r="L28" s="56"/>
      <c r="M28" s="56"/>
      <c r="N28" s="533"/>
    </row>
    <row r="29" spans="1:14">
      <c r="A29" s="530"/>
      <c r="B29" s="21" t="s">
        <v>164</v>
      </c>
      <c r="C29" s="80" t="s">
        <v>188</v>
      </c>
      <c r="D29" s="219" t="s">
        <v>110</v>
      </c>
      <c r="E29" s="81">
        <v>11</v>
      </c>
      <c r="F29" s="82" t="s">
        <v>153</v>
      </c>
      <c r="G29" s="83">
        <v>1230</v>
      </c>
      <c r="H29" s="84">
        <f t="shared" ref="H29:H30" si="5">E29*G29</f>
        <v>13530</v>
      </c>
      <c r="I29" s="228" t="s">
        <v>202</v>
      </c>
      <c r="J29" s="265" t="s">
        <v>205</v>
      </c>
      <c r="K29" s="56"/>
      <c r="L29" s="56"/>
      <c r="M29" s="56"/>
      <c r="N29" s="533"/>
    </row>
    <row r="30" spans="1:14">
      <c r="A30" s="530"/>
      <c r="B30" s="33" t="s">
        <v>196</v>
      </c>
      <c r="C30" s="80" t="s">
        <v>198</v>
      </c>
      <c r="D30" s="31" t="s">
        <v>200</v>
      </c>
      <c r="E30" s="81">
        <v>11</v>
      </c>
      <c r="F30" s="82" t="s">
        <v>153</v>
      </c>
      <c r="G30" s="83">
        <v>1230</v>
      </c>
      <c r="H30" s="84">
        <f t="shared" si="5"/>
        <v>13530</v>
      </c>
      <c r="I30" s="228"/>
      <c r="J30" s="265"/>
      <c r="K30" s="56"/>
      <c r="L30" s="56"/>
      <c r="M30" s="56"/>
      <c r="N30" s="533"/>
    </row>
    <row r="31" spans="1:14" ht="15.5" thickBot="1">
      <c r="A31" s="531"/>
      <c r="B31" s="35" t="s">
        <v>152</v>
      </c>
      <c r="C31" s="86"/>
      <c r="D31" s="34"/>
      <c r="E31" s="87"/>
      <c r="F31" s="87"/>
      <c r="G31" s="88"/>
      <c r="H31" s="89"/>
      <c r="I31" s="257"/>
      <c r="J31" s="266"/>
      <c r="K31" s="19"/>
      <c r="L31" s="19"/>
      <c r="M31" s="19"/>
      <c r="N31" s="534"/>
    </row>
    <row r="32" spans="1:14" ht="15.5" thickBot="1">
      <c r="A32" s="263"/>
      <c r="B32" s="212"/>
      <c r="C32" s="80"/>
      <c r="D32" s="32"/>
      <c r="E32" s="220"/>
      <c r="F32" s="82"/>
      <c r="G32" s="216"/>
      <c r="H32" s="217"/>
      <c r="I32" s="228"/>
      <c r="J32" s="265"/>
      <c r="K32" s="101"/>
      <c r="L32" s="101"/>
      <c r="M32" s="101"/>
      <c r="N32" s="230"/>
    </row>
    <row r="33" spans="1:14" ht="15.65" customHeight="1">
      <c r="A33" s="529" t="s">
        <v>225</v>
      </c>
      <c r="B33" s="29"/>
      <c r="C33" s="29"/>
      <c r="D33" s="206" t="s">
        <v>268</v>
      </c>
      <c r="E33" s="76"/>
      <c r="F33" s="76"/>
      <c r="G33" s="77"/>
      <c r="H33" s="78"/>
      <c r="I33" s="256"/>
      <c r="J33" s="264"/>
      <c r="K33" s="78"/>
      <c r="L33" s="78"/>
      <c r="M33" s="78"/>
      <c r="N33" s="532">
        <v>1</v>
      </c>
    </row>
    <row r="34" spans="1:14">
      <c r="A34" s="530"/>
      <c r="B34" s="30" t="s">
        <v>263</v>
      </c>
      <c r="C34" s="80" t="s">
        <v>264</v>
      </c>
      <c r="D34" s="31" t="s">
        <v>164</v>
      </c>
      <c r="E34" s="220">
        <v>3</v>
      </c>
      <c r="F34" s="82" t="s">
        <v>153</v>
      </c>
      <c r="G34" s="216">
        <v>1480</v>
      </c>
      <c r="H34" s="84">
        <f>E34*G34</f>
        <v>4440</v>
      </c>
      <c r="I34" s="228"/>
      <c r="J34" s="265"/>
      <c r="K34" s="56"/>
      <c r="L34" s="56"/>
      <c r="M34" s="56"/>
      <c r="N34" s="533"/>
    </row>
    <row r="35" spans="1:14">
      <c r="A35" s="530"/>
      <c r="B35" s="21" t="s">
        <v>164</v>
      </c>
      <c r="C35" s="80"/>
      <c r="D35" s="31" t="s">
        <v>265</v>
      </c>
      <c r="E35" s="81"/>
      <c r="F35" s="82"/>
      <c r="G35" s="83"/>
      <c r="H35" s="84"/>
      <c r="I35" s="228" t="s">
        <v>269</v>
      </c>
      <c r="J35" s="265" t="s">
        <v>270</v>
      </c>
      <c r="K35" s="56"/>
      <c r="L35" s="56"/>
      <c r="M35" s="56"/>
      <c r="N35" s="533"/>
    </row>
    <row r="36" spans="1:14" ht="16.5">
      <c r="A36" s="530"/>
      <c r="B36" s="33" t="s">
        <v>266</v>
      </c>
      <c r="C36" s="80"/>
      <c r="D36" s="32" t="s">
        <v>267</v>
      </c>
      <c r="E36" s="81"/>
      <c r="F36" s="82"/>
      <c r="G36" s="83"/>
      <c r="H36" s="84"/>
      <c r="I36" s="228"/>
      <c r="J36" s="265"/>
      <c r="K36" s="56"/>
      <c r="L36" s="56"/>
      <c r="M36" s="56"/>
      <c r="N36" s="533"/>
    </row>
    <row r="37" spans="1:14" ht="15.5" thickBot="1">
      <c r="A37" s="531"/>
      <c r="B37" s="35" t="s">
        <v>152</v>
      </c>
      <c r="C37" s="86"/>
      <c r="D37" s="34"/>
      <c r="E37" s="87"/>
      <c r="F37" s="87"/>
      <c r="G37" s="88"/>
      <c r="H37" s="89"/>
      <c r="I37" s="257"/>
      <c r="J37" s="266"/>
      <c r="K37" s="19"/>
      <c r="L37" s="19"/>
      <c r="M37" s="19"/>
      <c r="N37" s="534"/>
    </row>
    <row r="38" spans="1:14" ht="15.5" thickBot="1">
      <c r="A38" s="480"/>
      <c r="B38" s="481"/>
      <c r="C38" s="482"/>
      <c r="D38" s="483"/>
      <c r="E38" s="484"/>
      <c r="F38" s="485"/>
      <c r="G38" s="486"/>
      <c r="H38" s="487"/>
      <c r="I38" s="488"/>
      <c r="J38" s="266"/>
      <c r="K38" s="16"/>
      <c r="L38" s="16"/>
      <c r="M38" s="16"/>
      <c r="N38" s="230"/>
    </row>
    <row r="39" spans="1:14" ht="15" customHeight="1">
      <c r="A39" s="529" t="s">
        <v>262</v>
      </c>
      <c r="B39" s="475" t="s">
        <v>211</v>
      </c>
      <c r="C39" s="476"/>
      <c r="D39" s="477" t="s">
        <v>212</v>
      </c>
      <c r="E39" s="478">
        <v>3</v>
      </c>
      <c r="F39" s="479" t="s">
        <v>209</v>
      </c>
      <c r="G39" s="217">
        <v>100</v>
      </c>
      <c r="H39" s="217">
        <f t="shared" ref="H39:H40" si="6">E39*G39</f>
        <v>300</v>
      </c>
      <c r="I39" s="228"/>
      <c r="J39" s="466"/>
      <c r="K39" s="79"/>
      <c r="L39" s="494"/>
      <c r="M39" s="78"/>
      <c r="N39" s="532">
        <v>1</v>
      </c>
    </row>
    <row r="40" spans="1:14" ht="15" customHeight="1">
      <c r="A40" s="530"/>
      <c r="B40" s="461" t="s">
        <v>211</v>
      </c>
      <c r="C40" s="462"/>
      <c r="D40" s="477" t="s">
        <v>213</v>
      </c>
      <c r="E40" s="464">
        <v>3</v>
      </c>
      <c r="F40" s="465" t="s">
        <v>209</v>
      </c>
      <c r="G40" s="84">
        <v>100</v>
      </c>
      <c r="H40" s="84">
        <f t="shared" si="6"/>
        <v>300</v>
      </c>
      <c r="I40" s="228"/>
      <c r="J40" s="255"/>
      <c r="K40" s="16"/>
      <c r="L40" s="489"/>
      <c r="M40" s="56"/>
      <c r="N40" s="533"/>
    </row>
    <row r="41" spans="1:14" ht="15" customHeight="1">
      <c r="A41" s="530"/>
      <c r="B41" s="461" t="s">
        <v>211</v>
      </c>
      <c r="C41" s="462"/>
      <c r="D41" s="477" t="s">
        <v>214</v>
      </c>
      <c r="E41" s="464">
        <v>4</v>
      </c>
      <c r="F41" s="465" t="s">
        <v>209</v>
      </c>
      <c r="G41" s="84">
        <v>100</v>
      </c>
      <c r="H41" s="84">
        <f>E41*G41</f>
        <v>400</v>
      </c>
      <c r="I41" s="228"/>
      <c r="J41" s="95"/>
      <c r="K41" s="16"/>
      <c r="L41" s="489"/>
      <c r="M41" s="56"/>
      <c r="N41" s="533"/>
    </row>
    <row r="42" spans="1:14" ht="15" customHeight="1">
      <c r="A42" s="530"/>
      <c r="B42" s="461" t="s">
        <v>211</v>
      </c>
      <c r="C42" s="462"/>
      <c r="D42" s="477" t="s">
        <v>215</v>
      </c>
      <c r="E42" s="464">
        <v>4</v>
      </c>
      <c r="F42" s="465" t="s">
        <v>209</v>
      </c>
      <c r="G42" s="84">
        <v>100</v>
      </c>
      <c r="H42" s="84">
        <f t="shared" ref="H42:H43" si="7">E42*G42</f>
        <v>400</v>
      </c>
      <c r="I42" s="228" t="s">
        <v>290</v>
      </c>
      <c r="J42" s="95"/>
      <c r="K42" s="16"/>
      <c r="L42" s="489"/>
      <c r="M42" s="56"/>
      <c r="N42" s="533"/>
    </row>
    <row r="43" spans="1:14" ht="15" customHeight="1" thickBot="1">
      <c r="A43" s="530"/>
      <c r="B43" s="491" t="s">
        <v>211</v>
      </c>
      <c r="C43" s="331"/>
      <c r="D43" s="467" t="s">
        <v>216</v>
      </c>
      <c r="E43" s="468">
        <v>4</v>
      </c>
      <c r="F43" s="469" t="s">
        <v>209</v>
      </c>
      <c r="G43" s="89">
        <v>100</v>
      </c>
      <c r="H43" s="89">
        <f t="shared" si="7"/>
        <v>400</v>
      </c>
      <c r="I43" s="228"/>
      <c r="J43" s="493" t="s">
        <v>271</v>
      </c>
      <c r="K43" s="16"/>
      <c r="L43" s="489"/>
      <c r="M43" s="56"/>
      <c r="N43" s="533"/>
    </row>
    <row r="44" spans="1:14" ht="14.5" customHeight="1" thickBot="1">
      <c r="A44" s="530"/>
      <c r="B44" s="470"/>
      <c r="C44" s="295"/>
      <c r="D44" s="296"/>
      <c r="E44" s="471"/>
      <c r="F44" s="261"/>
      <c r="G44" s="94"/>
      <c r="H44" s="94"/>
      <c r="I44" s="228"/>
      <c r="J44" s="95"/>
      <c r="K44" s="16"/>
      <c r="L44" s="489"/>
      <c r="M44" s="56"/>
      <c r="N44" s="533"/>
    </row>
    <row r="45" spans="1:14" ht="21.65" customHeight="1">
      <c r="A45" s="530"/>
      <c r="B45" s="472" t="s">
        <v>218</v>
      </c>
      <c r="C45" s="457"/>
      <c r="D45" s="458" t="s">
        <v>274</v>
      </c>
      <c r="E45" s="459">
        <v>1</v>
      </c>
      <c r="F45" s="207" t="s">
        <v>86</v>
      </c>
      <c r="G45" s="221">
        <v>4000</v>
      </c>
      <c r="H45" s="221">
        <f t="shared" ref="H45:H46" si="8">E45*G45</f>
        <v>4000</v>
      </c>
      <c r="I45" s="228"/>
      <c r="J45" s="95"/>
      <c r="K45" s="16"/>
      <c r="L45" s="489"/>
      <c r="M45" s="56"/>
      <c r="N45" s="533"/>
    </row>
    <row r="46" spans="1:14" ht="21.65" customHeight="1">
      <c r="A46" s="530"/>
      <c r="B46" s="473" t="s">
        <v>220</v>
      </c>
      <c r="C46" s="462"/>
      <c r="D46" s="463" t="s">
        <v>276</v>
      </c>
      <c r="E46" s="464">
        <v>1</v>
      </c>
      <c r="F46" s="96" t="s">
        <v>86</v>
      </c>
      <c r="G46" s="84">
        <v>2500</v>
      </c>
      <c r="H46" s="84">
        <f t="shared" si="8"/>
        <v>2500</v>
      </c>
      <c r="I46" s="228"/>
      <c r="J46" s="255"/>
      <c r="K46" s="16"/>
      <c r="L46" s="489"/>
      <c r="M46" s="56"/>
      <c r="N46" s="533"/>
    </row>
    <row r="47" spans="1:14" ht="21.65" customHeight="1">
      <c r="A47" s="530"/>
      <c r="B47" s="461" t="s">
        <v>220</v>
      </c>
      <c r="C47" s="462"/>
      <c r="D47" s="463" t="s">
        <v>278</v>
      </c>
      <c r="E47" s="464">
        <v>1</v>
      </c>
      <c r="F47" s="96" t="s">
        <v>86</v>
      </c>
      <c r="G47" s="84">
        <v>2500</v>
      </c>
      <c r="H47" s="84">
        <v>3000</v>
      </c>
      <c r="I47" s="228"/>
      <c r="J47" s="466"/>
      <c r="K47" s="16"/>
      <c r="L47" s="489"/>
      <c r="M47" s="56"/>
      <c r="N47" s="533"/>
    </row>
    <row r="48" spans="1:14" ht="21.65" customHeight="1">
      <c r="A48" s="530"/>
      <c r="B48" s="492" t="s">
        <v>222</v>
      </c>
      <c r="C48" s="462"/>
      <c r="D48" s="463" t="s">
        <v>280</v>
      </c>
      <c r="E48" s="464">
        <v>1</v>
      </c>
      <c r="F48" s="96" t="s">
        <v>86</v>
      </c>
      <c r="G48" s="84">
        <v>2000</v>
      </c>
      <c r="H48" s="84">
        <v>4000</v>
      </c>
      <c r="I48" s="228"/>
      <c r="J48" s="255"/>
      <c r="K48" s="16"/>
      <c r="L48" s="489"/>
      <c r="M48" s="56"/>
      <c r="N48" s="533"/>
    </row>
    <row r="49" spans="1:14" ht="21.65" customHeight="1" thickBot="1">
      <c r="A49" s="531"/>
      <c r="B49" s="491" t="s">
        <v>224</v>
      </c>
      <c r="C49" s="331"/>
      <c r="D49" s="467" t="s">
        <v>282</v>
      </c>
      <c r="E49" s="468">
        <v>1</v>
      </c>
      <c r="F49" s="384" t="s">
        <v>86</v>
      </c>
      <c r="G49" s="89">
        <v>3000</v>
      </c>
      <c r="H49" s="89">
        <v>3000</v>
      </c>
      <c r="I49" s="257"/>
      <c r="J49" s="474"/>
      <c r="K49" s="90"/>
      <c r="L49" s="490"/>
      <c r="M49" s="19"/>
      <c r="N49" s="534"/>
    </row>
    <row r="50" spans="1:14" ht="15.5" thickBot="1">
      <c r="A50" s="229"/>
      <c r="B50" s="37"/>
      <c r="C50" s="91"/>
      <c r="D50" s="36"/>
      <c r="E50" s="92"/>
      <c r="F50" s="92"/>
      <c r="G50" s="93"/>
      <c r="H50" s="94"/>
      <c r="I50" s="228"/>
      <c r="J50" s="95"/>
      <c r="K50" s="101"/>
      <c r="L50" s="101"/>
      <c r="M50" s="101"/>
      <c r="N50" s="230"/>
    </row>
    <row r="51" spans="1:14">
      <c r="A51" s="517"/>
      <c r="B51" s="364"/>
      <c r="C51" s="206" t="s">
        <v>206</v>
      </c>
      <c r="D51" s="365"/>
      <c r="E51" s="518">
        <f>SUMIF($F$8:$F$50,"M.",$E$8:$E$50)</f>
        <v>319.40000000000003</v>
      </c>
      <c r="F51" s="207" t="s">
        <v>150</v>
      </c>
      <c r="G51" s="460"/>
      <c r="H51" s="519">
        <f>SUMIF($F$8:$F$50,"M.",$H$8:$H$50)</f>
        <v>444834</v>
      </c>
      <c r="I51" s="99"/>
      <c r="J51" s="100"/>
      <c r="K51" s="101"/>
      <c r="L51" s="101"/>
      <c r="M51" s="101"/>
      <c r="N51" s="102"/>
    </row>
    <row r="52" spans="1:14">
      <c r="A52" s="56"/>
      <c r="B52" s="21"/>
      <c r="C52" s="56"/>
      <c r="D52" s="103"/>
      <c r="E52" s="98">
        <f>SUMIF($F$8:$F$50,"PCS.",$E$8:$E$50)</f>
        <v>5</v>
      </c>
      <c r="F52" s="96" t="s">
        <v>86</v>
      </c>
      <c r="G52" s="56"/>
      <c r="H52" s="38">
        <f>SUMIF($F$8:$F$50,"PCS.",$H$8:$H$50)</f>
        <v>16500</v>
      </c>
      <c r="I52" s="56"/>
      <c r="J52" s="104"/>
      <c r="K52" s="56"/>
      <c r="L52" s="56"/>
      <c r="M52" s="56"/>
      <c r="N52" s="105"/>
    </row>
    <row r="53" spans="1:14">
      <c r="A53" s="56"/>
      <c r="B53" s="21"/>
      <c r="C53" s="56"/>
      <c r="D53" s="106"/>
      <c r="E53" s="98">
        <f>SUMIF($F$8:$F$50,"SET.",$E$8:$E$50)</f>
        <v>18</v>
      </c>
      <c r="F53" s="465" t="s">
        <v>209</v>
      </c>
      <c r="G53" s="97"/>
      <c r="H53" s="38">
        <f>SUMIF($F$8:$F$50,"SET.",$H$8:$H$50)</f>
        <v>1800</v>
      </c>
      <c r="I53" s="56"/>
      <c r="J53" s="104"/>
      <c r="K53" s="56"/>
      <c r="L53" s="56"/>
      <c r="M53" s="56"/>
      <c r="N53" s="105"/>
    </row>
    <row r="57" spans="1:14">
      <c r="C57" s="3"/>
    </row>
    <row r="58" spans="1:14">
      <c r="C58" s="3"/>
    </row>
    <row r="105" spans="1:1">
      <c r="A105" s="7" t="s">
        <v>100</v>
      </c>
    </row>
  </sheetData>
  <mergeCells count="13">
    <mergeCell ref="A2:H2"/>
    <mergeCell ref="F4:G4"/>
    <mergeCell ref="I14:I25"/>
    <mergeCell ref="A14:A25"/>
    <mergeCell ref="A39:A49"/>
    <mergeCell ref="N39:N49"/>
    <mergeCell ref="A33:A37"/>
    <mergeCell ref="N33:N37"/>
    <mergeCell ref="A8:A12"/>
    <mergeCell ref="A27:A31"/>
    <mergeCell ref="N8:N12"/>
    <mergeCell ref="N14:N25"/>
    <mergeCell ref="N27:N31"/>
  </mergeCells>
  <phoneticPr fontId="13"/>
  <pageMargins left="0.51181102362204722" right="0" top="0.74803149606299213" bottom="0.74803149606299213" header="0.31496062992125984" footer="0.31496062992125984"/>
  <pageSetup paperSize="9" scale="35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E03B-A659-4BB4-A6CD-D3584EFCE196}">
  <sheetPr>
    <pageSetUpPr fitToPage="1"/>
  </sheetPr>
  <dimension ref="A1:O135"/>
  <sheetViews>
    <sheetView view="pageBreakPreview" topLeftCell="A7" zoomScale="80" zoomScaleNormal="60" zoomScaleSheetLayoutView="80" workbookViewId="0">
      <selection activeCell="F43" sqref="F43"/>
    </sheetView>
  </sheetViews>
  <sheetFormatPr defaultRowHeight="15"/>
  <cols>
    <col min="1" max="1" width="7.90625" customWidth="1"/>
    <col min="2" max="2" width="31.90625" style="190" customWidth="1"/>
    <col min="3" max="3" width="27.453125" style="267" customWidth="1"/>
    <col min="4" max="4" width="69.1796875" customWidth="1"/>
    <col min="5" max="5" width="10.453125" customWidth="1"/>
    <col min="6" max="6" width="5.6328125" style="267" customWidth="1"/>
    <col min="7" max="7" width="15.453125" customWidth="1"/>
    <col min="8" max="8" width="13.90625" style="267" customWidth="1"/>
    <col min="9" max="9" width="24.453125" customWidth="1"/>
    <col min="10" max="10" width="14.453125" customWidth="1"/>
    <col min="11" max="11" width="11.453125" style="267" customWidth="1"/>
    <col min="12" max="12" width="25.36328125" style="455" customWidth="1"/>
    <col min="13" max="13" width="10.08984375" style="267" customWidth="1"/>
    <col min="14" max="14" width="7" style="267" customWidth="1"/>
  </cols>
  <sheetData>
    <row r="1" spans="1:14">
      <c r="A1" s="158"/>
      <c r="I1" s="158"/>
      <c r="J1" s="158"/>
      <c r="K1" s="5"/>
      <c r="L1" s="268"/>
      <c r="M1" s="5"/>
      <c r="N1" s="5"/>
    </row>
    <row r="2" spans="1:14" ht="18" thickBot="1">
      <c r="A2" s="541" t="s">
        <v>99</v>
      </c>
      <c r="B2" s="541"/>
      <c r="C2" s="541"/>
      <c r="D2" s="541"/>
      <c r="E2" s="541"/>
      <c r="F2" s="541"/>
      <c r="G2" s="541"/>
      <c r="H2" s="541"/>
      <c r="I2" s="181"/>
      <c r="J2" s="3"/>
      <c r="K2" s="7"/>
      <c r="L2" s="269"/>
      <c r="M2" s="42"/>
      <c r="N2" s="42"/>
    </row>
    <row r="3" spans="1:14" ht="18" thickBot="1">
      <c r="A3" s="192"/>
      <c r="B3" s="193"/>
      <c r="C3" s="192"/>
      <c r="D3" s="192"/>
      <c r="E3" s="192"/>
      <c r="F3" s="192"/>
      <c r="G3" s="192"/>
      <c r="H3" s="192"/>
      <c r="I3" s="181"/>
      <c r="J3" s="3"/>
      <c r="K3" s="7"/>
      <c r="L3" s="269"/>
      <c r="M3" s="42"/>
      <c r="N3" s="42"/>
    </row>
    <row r="4" spans="1:14" ht="21.75" customHeight="1" thickBot="1">
      <c r="A4" s="270" t="s">
        <v>36</v>
      </c>
      <c r="B4" s="24" t="s">
        <v>97</v>
      </c>
      <c r="C4" s="45" t="s">
        <v>87</v>
      </c>
      <c r="D4" s="23" t="s">
        <v>88</v>
      </c>
      <c r="E4" s="45" t="s">
        <v>89</v>
      </c>
      <c r="F4" s="542" t="s">
        <v>90</v>
      </c>
      <c r="G4" s="543"/>
      <c r="H4" s="46" t="s">
        <v>91</v>
      </c>
      <c r="I4" s="47" t="s">
        <v>92</v>
      </c>
      <c r="J4" s="48" t="s">
        <v>93</v>
      </c>
      <c r="K4" s="49" t="s">
        <v>94</v>
      </c>
      <c r="L4" s="271" t="s">
        <v>207</v>
      </c>
      <c r="M4" s="272" t="s">
        <v>95</v>
      </c>
      <c r="N4" s="273" t="s">
        <v>96</v>
      </c>
    </row>
    <row r="5" spans="1:14">
      <c r="A5" s="274"/>
      <c r="B5" s="53"/>
      <c r="C5" s="54"/>
      <c r="D5" s="55"/>
      <c r="E5" s="62"/>
      <c r="F5" s="54"/>
      <c r="G5" s="106"/>
      <c r="H5" s="56"/>
      <c r="I5" s="275"/>
      <c r="J5" s="276"/>
      <c r="K5" s="58"/>
      <c r="L5" s="277"/>
      <c r="M5" s="278"/>
      <c r="N5" s="279"/>
    </row>
    <row r="6" spans="1:14">
      <c r="A6" s="280"/>
      <c r="B6" s="281" t="s">
        <v>98</v>
      </c>
      <c r="C6" s="69"/>
      <c r="D6" s="70" t="str">
        <f>'[4]NARITA '!D6</f>
        <v>FABRIC &amp; PARTS FOR WEAR &amp; SAMPLE CLOTHES</v>
      </c>
      <c r="E6" s="282"/>
      <c r="F6" s="283"/>
      <c r="G6" s="284" t="str">
        <f>'[5]shipper master'!C48</f>
        <v>F.O.B. TOKYO IN YEN</v>
      </c>
      <c r="H6" s="20"/>
      <c r="I6" s="285"/>
      <c r="J6" s="286"/>
      <c r="K6" s="65"/>
      <c r="L6" s="287"/>
      <c r="M6" s="288"/>
      <c r="N6" s="289"/>
    </row>
    <row r="7" spans="1:14">
      <c r="A7" s="280"/>
      <c r="B7" s="68"/>
      <c r="C7" s="69"/>
      <c r="D7" s="70" t="s">
        <v>208</v>
      </c>
      <c r="E7" s="70"/>
      <c r="F7" s="69"/>
      <c r="G7" s="284"/>
      <c r="H7" s="20"/>
      <c r="I7" s="290"/>
      <c r="J7" s="20"/>
      <c r="K7" s="291"/>
      <c r="L7" s="292"/>
      <c r="M7" s="293"/>
      <c r="N7" s="289"/>
    </row>
    <row r="8" spans="1:14" ht="15.5" thickBot="1">
      <c r="A8" s="294"/>
      <c r="B8" s="295"/>
      <c r="C8" s="295"/>
      <c r="D8" s="296"/>
      <c r="E8" s="297"/>
      <c r="F8" s="16"/>
      <c r="G8" s="94"/>
      <c r="H8" s="298"/>
      <c r="I8" s="299"/>
      <c r="J8" s="300"/>
      <c r="K8" s="301"/>
      <c r="L8" s="300"/>
      <c r="M8" s="302"/>
      <c r="N8" s="303"/>
    </row>
    <row r="9" spans="1:14" ht="15" customHeight="1" thickBot="1">
      <c r="A9" s="544">
        <v>18</v>
      </c>
      <c r="B9" s="304"/>
      <c r="C9" s="305"/>
      <c r="D9" s="306" t="s">
        <v>226</v>
      </c>
      <c r="E9" s="307"/>
      <c r="F9" s="308"/>
      <c r="G9" s="309"/>
      <c r="H9" s="310"/>
      <c r="I9" s="547" t="s">
        <v>260</v>
      </c>
      <c r="J9" s="311"/>
      <c r="K9" s="312"/>
      <c r="L9" s="312"/>
      <c r="M9" s="550">
        <v>1</v>
      </c>
      <c r="N9" s="313"/>
    </row>
    <row r="10" spans="1:14" ht="16.5">
      <c r="A10" s="545"/>
      <c r="B10" s="314" t="s">
        <v>246</v>
      </c>
      <c r="C10" s="100"/>
      <c r="D10" s="315" t="s">
        <v>247</v>
      </c>
      <c r="E10" s="316"/>
      <c r="F10" s="317"/>
      <c r="G10" s="318"/>
      <c r="H10" s="319"/>
      <c r="I10" s="548"/>
      <c r="J10" s="320"/>
      <c r="K10" s="321"/>
      <c r="L10" s="321"/>
      <c r="M10" s="551"/>
      <c r="N10" s="322"/>
    </row>
    <row r="11" spans="1:14">
      <c r="A11" s="545"/>
      <c r="B11" s="314"/>
      <c r="C11" s="100"/>
      <c r="D11" s="315" t="s">
        <v>248</v>
      </c>
      <c r="E11" s="316">
        <v>6</v>
      </c>
      <c r="F11" s="317" t="s">
        <v>150</v>
      </c>
      <c r="G11" s="318">
        <v>530</v>
      </c>
      <c r="H11" s="319">
        <v>3180</v>
      </c>
      <c r="I11" s="548"/>
      <c r="J11" s="320"/>
      <c r="K11" s="321"/>
      <c r="L11" s="321"/>
      <c r="M11" s="551"/>
      <c r="N11" s="322"/>
    </row>
    <row r="12" spans="1:14" ht="16" customHeight="1">
      <c r="A12" s="545"/>
      <c r="B12" s="314" t="s">
        <v>227</v>
      </c>
      <c r="C12" s="100"/>
      <c r="D12" s="315" t="s">
        <v>249</v>
      </c>
      <c r="E12" s="316"/>
      <c r="F12" s="317"/>
      <c r="G12" s="318"/>
      <c r="H12" s="319"/>
      <c r="I12" s="548"/>
      <c r="J12" s="320"/>
      <c r="K12" s="321"/>
      <c r="L12" s="321"/>
      <c r="M12" s="551"/>
      <c r="N12" s="322"/>
    </row>
    <row r="13" spans="1:14" ht="16.25" customHeight="1">
      <c r="A13" s="545"/>
      <c r="B13" s="323"/>
      <c r="C13" s="104"/>
      <c r="D13" s="39" t="s">
        <v>228</v>
      </c>
      <c r="E13" s="324">
        <v>45</v>
      </c>
      <c r="F13" s="325" t="s">
        <v>86</v>
      </c>
      <c r="G13" s="326">
        <v>70</v>
      </c>
      <c r="H13" s="319">
        <v>3150</v>
      </c>
      <c r="I13" s="548"/>
      <c r="J13" s="320"/>
      <c r="K13" s="321"/>
      <c r="L13" s="321"/>
      <c r="M13" s="551"/>
      <c r="N13" s="322"/>
    </row>
    <row r="14" spans="1:14" ht="15.5" thickBot="1">
      <c r="A14" s="545"/>
      <c r="B14" s="332"/>
      <c r="C14" s="333"/>
      <c r="D14" s="334"/>
      <c r="E14" s="339"/>
      <c r="F14" s="341"/>
      <c r="G14" s="340"/>
      <c r="H14" s="504"/>
      <c r="I14" s="548"/>
      <c r="J14" s="320"/>
      <c r="K14" s="321"/>
      <c r="L14" s="321"/>
      <c r="M14" s="551"/>
      <c r="N14" s="327"/>
    </row>
    <row r="15" spans="1:14" ht="15.5" thickBot="1">
      <c r="A15" s="545"/>
      <c r="B15" s="498"/>
      <c r="C15" s="499"/>
      <c r="D15" s="306" t="s">
        <v>229</v>
      </c>
      <c r="E15" s="500"/>
      <c r="F15" s="501"/>
      <c r="G15" s="502"/>
      <c r="H15" s="503"/>
      <c r="I15" s="548"/>
      <c r="J15" s="321"/>
      <c r="K15" s="321"/>
      <c r="L15" s="321"/>
      <c r="M15" s="551"/>
      <c r="N15" s="328"/>
    </row>
    <row r="16" spans="1:14" ht="13.5" customHeight="1">
      <c r="A16" s="545"/>
      <c r="B16" s="314" t="s">
        <v>230</v>
      </c>
      <c r="C16" s="100" t="s">
        <v>231</v>
      </c>
      <c r="D16" s="315" t="s">
        <v>250</v>
      </c>
      <c r="E16" s="316">
        <v>100</v>
      </c>
      <c r="F16" s="317" t="s">
        <v>209</v>
      </c>
      <c r="G16" s="318">
        <v>22</v>
      </c>
      <c r="H16" s="319">
        <v>2200</v>
      </c>
      <c r="I16" s="548"/>
      <c r="J16" s="320"/>
      <c r="K16" s="321"/>
      <c r="L16" s="321"/>
      <c r="M16" s="551"/>
      <c r="N16" s="313"/>
    </row>
    <row r="17" spans="1:14">
      <c r="A17" s="545"/>
      <c r="B17" s="323" t="s">
        <v>232</v>
      </c>
      <c r="C17" s="104" t="s">
        <v>233</v>
      </c>
      <c r="D17" s="39"/>
      <c r="E17" s="324">
        <v>100</v>
      </c>
      <c r="F17" s="325" t="s">
        <v>86</v>
      </c>
      <c r="G17" s="326">
        <v>4</v>
      </c>
      <c r="H17" s="319">
        <v>400</v>
      </c>
      <c r="I17" s="548"/>
      <c r="J17" s="320"/>
      <c r="K17" s="321"/>
      <c r="L17" s="321"/>
      <c r="M17" s="551"/>
      <c r="N17" s="322"/>
    </row>
    <row r="18" spans="1:14" ht="15.5" thickBot="1">
      <c r="A18" s="545"/>
      <c r="B18" s="332"/>
      <c r="C18" s="333"/>
      <c r="D18" s="334"/>
      <c r="E18" s="339"/>
      <c r="F18" s="341"/>
      <c r="G18" s="340"/>
      <c r="H18" s="504"/>
      <c r="I18" s="548"/>
      <c r="J18" s="320"/>
      <c r="K18" s="321"/>
      <c r="L18" s="321"/>
      <c r="M18" s="551"/>
      <c r="N18" s="322"/>
    </row>
    <row r="19" spans="1:14" ht="16.25" customHeight="1" thickBot="1">
      <c r="A19" s="545"/>
      <c r="B19" s="498"/>
      <c r="C19" s="499"/>
      <c r="D19" s="306" t="s">
        <v>234</v>
      </c>
      <c r="E19" s="500"/>
      <c r="F19" s="501"/>
      <c r="G19" s="502"/>
      <c r="H19" s="503"/>
      <c r="I19" s="548"/>
      <c r="J19" s="320"/>
      <c r="K19" s="321"/>
      <c r="L19" s="321"/>
      <c r="M19" s="551"/>
      <c r="N19" s="322"/>
    </row>
    <row r="20" spans="1:14" ht="16.25" customHeight="1">
      <c r="A20" s="545"/>
      <c r="B20" s="314" t="s">
        <v>235</v>
      </c>
      <c r="C20" s="100" t="s">
        <v>236</v>
      </c>
      <c r="D20" s="315" t="s">
        <v>247</v>
      </c>
      <c r="E20" s="316">
        <v>1</v>
      </c>
      <c r="F20" s="317" t="s">
        <v>150</v>
      </c>
      <c r="G20" s="318">
        <v>385</v>
      </c>
      <c r="H20" s="319">
        <v>385</v>
      </c>
      <c r="I20" s="548"/>
      <c r="J20" s="320"/>
      <c r="K20" s="321"/>
      <c r="L20" s="321"/>
      <c r="M20" s="551"/>
      <c r="N20" s="322"/>
    </row>
    <row r="21" spans="1:14" ht="16.5">
      <c r="A21" s="545"/>
      <c r="B21" s="323" t="s">
        <v>237</v>
      </c>
      <c r="C21" s="104" t="s">
        <v>238</v>
      </c>
      <c r="D21" s="39" t="s">
        <v>251</v>
      </c>
      <c r="E21" s="324">
        <v>30</v>
      </c>
      <c r="F21" s="325" t="s">
        <v>86</v>
      </c>
      <c r="G21" s="326">
        <v>100</v>
      </c>
      <c r="H21" s="319">
        <v>3000</v>
      </c>
      <c r="I21" s="548"/>
      <c r="J21" s="320"/>
      <c r="K21" s="321"/>
      <c r="L21" s="321"/>
      <c r="M21" s="551"/>
      <c r="N21" s="322"/>
    </row>
    <row r="22" spans="1:14" ht="16.5">
      <c r="A22" s="545"/>
      <c r="B22" s="323" t="s">
        <v>239</v>
      </c>
      <c r="C22" s="104" t="s">
        <v>236</v>
      </c>
      <c r="D22" s="39" t="s">
        <v>252</v>
      </c>
      <c r="E22" s="324">
        <v>30</v>
      </c>
      <c r="F22" s="325" t="s">
        <v>150</v>
      </c>
      <c r="G22" s="326">
        <v>50</v>
      </c>
      <c r="H22" s="319">
        <v>1500</v>
      </c>
      <c r="I22" s="548"/>
      <c r="J22" s="320"/>
      <c r="K22" s="321"/>
      <c r="L22" s="321"/>
      <c r="M22" s="551"/>
      <c r="N22" s="322"/>
    </row>
    <row r="23" spans="1:14" ht="16.5">
      <c r="A23" s="545"/>
      <c r="B23" s="323" t="s">
        <v>240</v>
      </c>
      <c r="C23" s="104" t="s">
        <v>241</v>
      </c>
      <c r="D23" s="39" t="s">
        <v>253</v>
      </c>
      <c r="E23" s="324">
        <v>100</v>
      </c>
      <c r="F23" s="325" t="s">
        <v>209</v>
      </c>
      <c r="G23" s="326">
        <v>10</v>
      </c>
      <c r="H23" s="329">
        <v>1000</v>
      </c>
      <c r="I23" s="548"/>
      <c r="J23" s="330"/>
      <c r="K23" s="321"/>
      <c r="L23" s="321"/>
      <c r="M23" s="551"/>
      <c r="N23" s="322"/>
    </row>
    <row r="24" spans="1:14" ht="17" thickBot="1">
      <c r="A24" s="545"/>
      <c r="B24" s="343" t="s">
        <v>232</v>
      </c>
      <c r="C24" s="344" t="s">
        <v>233</v>
      </c>
      <c r="D24" s="506" t="s">
        <v>254</v>
      </c>
      <c r="E24" s="345">
        <v>100</v>
      </c>
      <c r="F24" s="346" t="s">
        <v>86</v>
      </c>
      <c r="G24" s="347">
        <v>4</v>
      </c>
      <c r="H24" s="505">
        <v>400</v>
      </c>
      <c r="I24" s="548"/>
      <c r="J24" s="330"/>
      <c r="K24" s="321"/>
      <c r="L24" s="321"/>
      <c r="M24" s="551"/>
      <c r="N24" s="322"/>
    </row>
    <row r="25" spans="1:14" ht="15.5" thickBot="1">
      <c r="A25" s="545"/>
      <c r="B25" s="332"/>
      <c r="C25" s="333"/>
      <c r="D25" s="334"/>
      <c r="E25" s="335"/>
      <c r="F25" s="336"/>
      <c r="G25" s="337"/>
      <c r="H25" s="338"/>
      <c r="I25" s="548"/>
      <c r="J25" s="321"/>
      <c r="K25" s="321"/>
      <c r="L25" s="321"/>
      <c r="M25" s="551"/>
      <c r="N25" s="328"/>
    </row>
    <row r="26" spans="1:14" ht="13.5" customHeight="1" thickBot="1">
      <c r="A26" s="545"/>
      <c r="B26" s="498"/>
      <c r="C26" s="499"/>
      <c r="D26" s="306" t="s">
        <v>229</v>
      </c>
      <c r="E26" s="500"/>
      <c r="F26" s="501"/>
      <c r="G26" s="502"/>
      <c r="H26" s="503"/>
      <c r="I26" s="548"/>
      <c r="J26" s="320"/>
      <c r="K26" s="321"/>
      <c r="L26" s="321"/>
      <c r="M26" s="551"/>
      <c r="N26" s="313"/>
    </row>
    <row r="27" spans="1:14" ht="16.5">
      <c r="A27" s="545"/>
      <c r="B27" s="495" t="s">
        <v>235</v>
      </c>
      <c r="C27" s="355" t="s">
        <v>236</v>
      </c>
      <c r="D27" s="356" t="s">
        <v>247</v>
      </c>
      <c r="E27" s="357">
        <v>8</v>
      </c>
      <c r="F27" s="358" t="s">
        <v>150</v>
      </c>
      <c r="G27" s="496">
        <v>385</v>
      </c>
      <c r="H27" s="497">
        <v>3080</v>
      </c>
      <c r="I27" s="548"/>
      <c r="J27" s="320"/>
      <c r="K27" s="321"/>
      <c r="L27" s="321"/>
      <c r="M27" s="551"/>
      <c r="N27" s="322"/>
    </row>
    <row r="28" spans="1:14" ht="16.5">
      <c r="A28" s="545"/>
      <c r="B28" s="332" t="s">
        <v>242</v>
      </c>
      <c r="C28" s="333" t="s">
        <v>243</v>
      </c>
      <c r="D28" s="334" t="s">
        <v>255</v>
      </c>
      <c r="E28" s="339">
        <v>100</v>
      </c>
      <c r="F28" s="325" t="s">
        <v>86</v>
      </c>
      <c r="G28" s="340">
        <v>25</v>
      </c>
      <c r="H28" s="329">
        <v>2500</v>
      </c>
      <c r="I28" s="548"/>
      <c r="J28" s="320"/>
      <c r="K28" s="321"/>
      <c r="L28" s="321"/>
      <c r="M28" s="551"/>
      <c r="N28" s="322"/>
    </row>
    <row r="29" spans="1:14" ht="16.25" customHeight="1">
      <c r="A29" s="545"/>
      <c r="B29" s="332" t="s">
        <v>232</v>
      </c>
      <c r="C29" s="333" t="s">
        <v>236</v>
      </c>
      <c r="D29" s="507" t="s">
        <v>254</v>
      </c>
      <c r="E29" s="339">
        <v>100</v>
      </c>
      <c r="F29" s="341" t="s">
        <v>86</v>
      </c>
      <c r="G29" s="340">
        <v>3</v>
      </c>
      <c r="H29" s="342">
        <v>300</v>
      </c>
      <c r="I29" s="548"/>
      <c r="J29" s="320"/>
      <c r="K29" s="321"/>
      <c r="L29" s="321"/>
      <c r="M29" s="551"/>
      <c r="N29" s="322"/>
    </row>
    <row r="30" spans="1:14" ht="16.25" customHeight="1">
      <c r="A30" s="545"/>
      <c r="B30" s="332" t="s">
        <v>239</v>
      </c>
      <c r="C30" s="333" t="s">
        <v>236</v>
      </c>
      <c r="D30" s="39" t="s">
        <v>256</v>
      </c>
      <c r="E30" s="339">
        <v>4</v>
      </c>
      <c r="F30" s="325" t="s">
        <v>150</v>
      </c>
      <c r="G30" s="340">
        <v>150</v>
      </c>
      <c r="H30" s="329">
        <v>600</v>
      </c>
      <c r="I30" s="548"/>
      <c r="J30" s="320"/>
      <c r="K30" s="321"/>
      <c r="L30" s="321"/>
      <c r="M30" s="551"/>
      <c r="N30" s="322"/>
    </row>
    <row r="31" spans="1:14" ht="16.5">
      <c r="A31" s="545"/>
      <c r="B31" s="332" t="s">
        <v>237</v>
      </c>
      <c r="C31" s="333" t="s">
        <v>238</v>
      </c>
      <c r="D31" s="334" t="s">
        <v>257</v>
      </c>
      <c r="E31" s="339">
        <v>39</v>
      </c>
      <c r="F31" s="325" t="s">
        <v>86</v>
      </c>
      <c r="G31" s="340">
        <v>100</v>
      </c>
      <c r="H31" s="329">
        <v>3900</v>
      </c>
      <c r="I31" s="548"/>
      <c r="J31" s="320"/>
      <c r="K31" s="321"/>
      <c r="L31" s="321"/>
      <c r="M31" s="551"/>
      <c r="N31" s="322"/>
    </row>
    <row r="32" spans="1:14" ht="16.5">
      <c r="A32" s="545"/>
      <c r="B32" s="332" t="s">
        <v>244</v>
      </c>
      <c r="C32" s="333" t="s">
        <v>236</v>
      </c>
      <c r="D32" s="334" t="s">
        <v>258</v>
      </c>
      <c r="E32" s="339">
        <v>34</v>
      </c>
      <c r="F32" s="341" t="s">
        <v>150</v>
      </c>
      <c r="G32" s="340">
        <v>120</v>
      </c>
      <c r="H32" s="342">
        <v>4080</v>
      </c>
      <c r="I32" s="548"/>
      <c r="J32" s="320"/>
      <c r="K32" s="321"/>
      <c r="L32" s="321"/>
      <c r="M32" s="551"/>
      <c r="N32" s="322"/>
    </row>
    <row r="33" spans="1:14" ht="17" thickBot="1">
      <c r="A33" s="546"/>
      <c r="B33" s="343" t="s">
        <v>245</v>
      </c>
      <c r="C33" s="344" t="s">
        <v>236</v>
      </c>
      <c r="D33" s="40" t="s">
        <v>259</v>
      </c>
      <c r="E33" s="345">
        <v>36</v>
      </c>
      <c r="F33" s="346" t="s">
        <v>150</v>
      </c>
      <c r="G33" s="347">
        <v>300</v>
      </c>
      <c r="H33" s="348">
        <v>10800</v>
      </c>
      <c r="I33" s="549"/>
      <c r="J33" s="349"/>
      <c r="K33" s="350"/>
      <c r="L33" s="350"/>
      <c r="M33" s="552"/>
      <c r="N33" s="322"/>
    </row>
    <row r="34" spans="1:14" ht="15.5" thickBot="1">
      <c r="A34" s="354"/>
      <c r="B34" s="16"/>
      <c r="C34" s="355"/>
      <c r="D34" s="356"/>
      <c r="E34" s="357"/>
      <c r="F34" s="358"/>
      <c r="G34" s="359"/>
      <c r="H34" s="351"/>
      <c r="I34" s="360"/>
      <c r="J34" s="352"/>
      <c r="K34" s="353"/>
      <c r="L34" s="321"/>
      <c r="M34" s="361"/>
      <c r="N34" s="362"/>
    </row>
    <row r="35" spans="1:14">
      <c r="A35" s="363"/>
      <c r="B35" s="364" t="s">
        <v>147</v>
      </c>
      <c r="C35" s="206" t="s">
        <v>261</v>
      </c>
      <c r="D35" s="365"/>
      <c r="E35" s="366">
        <f>SUMIF($F$9:$F$34,"M.",$E$9:$E$34)</f>
        <v>119</v>
      </c>
      <c r="F35" s="207" t="s">
        <v>150</v>
      </c>
      <c r="G35" s="367"/>
      <c r="H35" s="368">
        <f>SUMIF($F$9:$F$34,"M.",$H$9:$H$34)</f>
        <v>23625</v>
      </c>
      <c r="I35" s="367"/>
      <c r="J35" s="369"/>
      <c r="K35" s="370"/>
      <c r="L35" s="371"/>
      <c r="M35" s="78"/>
      <c r="N35" s="372"/>
    </row>
    <row r="36" spans="1:14">
      <c r="A36" s="373"/>
      <c r="B36" s="21"/>
      <c r="C36" s="56"/>
      <c r="D36" s="103"/>
      <c r="E36" s="374">
        <f>SUMIF($F$9:$F$34,"PCS.",$E$9:$E$34)</f>
        <v>514</v>
      </c>
      <c r="F36" s="96" t="s">
        <v>86</v>
      </c>
      <c r="G36" s="375"/>
      <c r="H36" s="376">
        <f>SUMIF($F$9:$F$34,"PCS.",$H$9:$H$34)</f>
        <v>13650</v>
      </c>
      <c r="I36" s="106"/>
      <c r="J36" s="377"/>
      <c r="K36" s="378"/>
      <c r="L36" s="325"/>
      <c r="M36" s="56"/>
      <c r="N36" s="379"/>
    </row>
    <row r="37" spans="1:14" ht="15.5" thickBot="1">
      <c r="A37" s="380"/>
      <c r="B37" s="381"/>
      <c r="C37" s="19"/>
      <c r="D37" s="382"/>
      <c r="E37" s="383">
        <f>SUMIF($F$9:$F$34,"SET.",$E$9:$E$34)</f>
        <v>200</v>
      </c>
      <c r="F37" s="384" t="s">
        <v>209</v>
      </c>
      <c r="G37" s="385"/>
      <c r="H37" s="386">
        <f>SUMIF($F$9:$F$34,"SET.",$H$9:$H$34)</f>
        <v>3200</v>
      </c>
      <c r="I37" s="387"/>
      <c r="J37" s="388"/>
      <c r="K37" s="389"/>
      <c r="L37" s="346"/>
      <c r="M37" s="19"/>
      <c r="N37" s="390"/>
    </row>
    <row r="38" spans="1:14" ht="14" customHeight="1" thickBot="1">
      <c r="A38" s="391"/>
      <c r="B38" s="42" t="s">
        <v>147</v>
      </c>
      <c r="C38" s="119"/>
      <c r="D38" s="119"/>
      <c r="E38" s="42"/>
      <c r="F38" s="392"/>
      <c r="G38" s="90" t="s">
        <v>210</v>
      </c>
      <c r="H38" s="393">
        <f>SUM(H9:H34)</f>
        <v>40475</v>
      </c>
      <c r="I38" s="257"/>
      <c r="J38" s="394"/>
      <c r="K38" s="395"/>
      <c r="L38" s="396"/>
      <c r="M38" s="254"/>
      <c r="N38" s="397"/>
    </row>
    <row r="39" spans="1:14">
      <c r="A39" s="398"/>
      <c r="B39" s="5"/>
      <c r="C39" s="399"/>
      <c r="D39" s="3"/>
      <c r="E39" s="400"/>
      <c r="F39" s="401"/>
      <c r="G39" s="402"/>
      <c r="H39" s="403"/>
      <c r="I39" s="8"/>
      <c r="J39" s="7"/>
      <c r="K39"/>
      <c r="L39"/>
      <c r="M39" s="7"/>
      <c r="N39" s="7"/>
    </row>
    <row r="40" spans="1:14">
      <c r="A40" s="398"/>
      <c r="B40" s="5"/>
      <c r="C40" s="399"/>
      <c r="D40" s="3"/>
      <c r="E40" s="400"/>
      <c r="F40" s="401"/>
      <c r="G40" s="402"/>
      <c r="H40" s="403"/>
      <c r="I40" s="8"/>
      <c r="J40" s="7"/>
      <c r="K40"/>
      <c r="L40"/>
      <c r="M40" s="7"/>
      <c r="N40" s="7"/>
    </row>
    <row r="41" spans="1:14">
      <c r="A41" s="398"/>
      <c r="B41" s="5"/>
      <c r="C41" s="399"/>
      <c r="D41" s="3"/>
      <c r="E41" s="400"/>
      <c r="F41" s="401"/>
      <c r="G41" s="402"/>
      <c r="H41" s="403"/>
      <c r="I41" s="8"/>
      <c r="J41" s="7"/>
      <c r="K41"/>
      <c r="L41"/>
      <c r="M41" s="7"/>
      <c r="N41" s="7"/>
    </row>
    <row r="42" spans="1:14">
      <c r="A42" s="398"/>
      <c r="B42" s="5"/>
      <c r="C42" s="399"/>
      <c r="D42" s="3"/>
      <c r="E42" s="400"/>
      <c r="F42" s="7"/>
      <c r="G42" s="402"/>
      <c r="H42" s="403"/>
      <c r="I42" s="8"/>
      <c r="J42" s="7"/>
      <c r="K42"/>
      <c r="L42"/>
      <c r="M42" s="7"/>
      <c r="N42" s="7"/>
    </row>
    <row r="43" spans="1:14">
      <c r="A43" s="398"/>
      <c r="B43" s="404"/>
      <c r="C43" s="7"/>
      <c r="D43" s="3"/>
      <c r="E43" s="405"/>
      <c r="F43" s="406"/>
      <c r="G43" s="407"/>
      <c r="H43" s="403"/>
      <c r="I43" s="8"/>
      <c r="J43" s="7"/>
      <c r="K43"/>
      <c r="L43"/>
      <c r="M43" s="7"/>
      <c r="N43" s="7"/>
    </row>
    <row r="44" spans="1:14">
      <c r="A44" s="398"/>
      <c r="B44" s="5"/>
      <c r="C44" s="399"/>
      <c r="D44" s="3"/>
      <c r="E44" s="400"/>
      <c r="F44" s="401"/>
      <c r="G44" s="402"/>
      <c r="H44" s="403"/>
      <c r="I44" s="8"/>
      <c r="J44" s="7"/>
      <c r="K44"/>
      <c r="L44"/>
      <c r="M44" s="7"/>
      <c r="N44" s="7"/>
    </row>
    <row r="45" spans="1:14" s="201" customFormat="1">
      <c r="A45" s="398"/>
      <c r="B45" s="404"/>
      <c r="C45" s="7"/>
      <c r="D45" s="3"/>
      <c r="E45" s="405"/>
      <c r="F45" s="406"/>
      <c r="G45" s="407"/>
      <c r="H45" s="403"/>
      <c r="I45" s="408"/>
      <c r="J45"/>
      <c r="K45"/>
      <c r="L45"/>
      <c r="M45" s="7"/>
      <c r="N45" s="7"/>
    </row>
    <row r="46" spans="1:14" s="201" customFormat="1">
      <c r="A46" s="398"/>
      <c r="B46" s="404"/>
      <c r="C46" s="7"/>
      <c r="D46" s="3"/>
      <c r="E46" s="405"/>
      <c r="F46" s="406"/>
      <c r="G46" s="407"/>
      <c r="H46" s="403"/>
      <c r="I46" s="408"/>
      <c r="J46"/>
      <c r="K46"/>
      <c r="L46"/>
      <c r="M46" s="7"/>
      <c r="N46" s="7"/>
    </row>
    <row r="47" spans="1:14">
      <c r="A47" s="398"/>
      <c r="B47" s="404"/>
      <c r="C47" s="7"/>
      <c r="D47" s="3"/>
      <c r="E47" s="405"/>
      <c r="F47" s="406"/>
      <c r="G47" s="407"/>
      <c r="H47" s="403"/>
      <c r="I47" s="408"/>
      <c r="K47"/>
      <c r="L47"/>
      <c r="M47" s="7"/>
      <c r="N47" s="7"/>
    </row>
    <row r="48" spans="1:14" ht="14" customHeight="1">
      <c r="A48" s="409"/>
      <c r="B48" s="410"/>
      <c r="C48" s="411"/>
      <c r="D48" s="412"/>
      <c r="E48" s="413"/>
      <c r="F48" s="413"/>
      <c r="G48" s="411"/>
      <c r="H48" s="1"/>
      <c r="I48" s="8"/>
      <c r="J48" s="414"/>
      <c r="K48"/>
      <c r="L48"/>
      <c r="M48" s="7"/>
      <c r="N48" s="7"/>
    </row>
    <row r="49" spans="1:14">
      <c r="A49" s="398"/>
      <c r="B49" s="5"/>
      <c r="C49" s="399"/>
      <c r="D49" s="3"/>
      <c r="E49" s="400"/>
      <c r="F49" s="401"/>
      <c r="G49" s="402"/>
      <c r="H49" s="403"/>
      <c r="I49" s="8"/>
      <c r="J49" s="7"/>
      <c r="K49"/>
      <c r="L49"/>
      <c r="M49" s="7"/>
      <c r="N49" s="7"/>
    </row>
    <row r="50" spans="1:14">
      <c r="A50" s="398"/>
      <c r="B50" s="5"/>
      <c r="C50" s="399"/>
      <c r="D50" s="3"/>
      <c r="E50" s="400"/>
      <c r="F50" s="401"/>
      <c r="G50" s="402"/>
      <c r="H50" s="403"/>
      <c r="I50" s="8"/>
      <c r="J50" s="7"/>
      <c r="K50"/>
      <c r="L50"/>
      <c r="M50" s="7"/>
      <c r="N50" s="7"/>
    </row>
    <row r="51" spans="1:14">
      <c r="A51" s="398"/>
      <c r="B51" s="5"/>
      <c r="C51" s="399"/>
      <c r="D51" s="3"/>
      <c r="E51" s="400"/>
      <c r="F51" s="401"/>
      <c r="G51" s="402"/>
      <c r="H51" s="403"/>
      <c r="I51" s="8"/>
      <c r="J51" s="7"/>
      <c r="K51"/>
      <c r="L51"/>
      <c r="M51" s="7"/>
      <c r="N51" s="7"/>
    </row>
    <row r="52" spans="1:14">
      <c r="A52" s="162"/>
      <c r="B52" s="415"/>
      <c r="C52" s="7"/>
      <c r="D52" s="3"/>
      <c r="E52" s="405"/>
      <c r="F52" s="406"/>
      <c r="G52" s="407"/>
      <c r="H52" s="403"/>
      <c r="I52" s="8"/>
      <c r="J52" s="7"/>
      <c r="K52"/>
      <c r="L52"/>
      <c r="M52" s="7"/>
      <c r="N52" s="7"/>
    </row>
    <row r="53" spans="1:14">
      <c r="A53" s="398"/>
      <c r="B53" s="5"/>
      <c r="C53" s="399"/>
      <c r="D53" s="3"/>
      <c r="E53" s="400"/>
      <c r="F53" s="406"/>
      <c r="G53" s="407"/>
      <c r="H53" s="403"/>
      <c r="I53" s="8"/>
      <c r="J53" s="7"/>
      <c r="K53"/>
      <c r="L53"/>
      <c r="M53" s="7"/>
      <c r="N53" s="7"/>
    </row>
    <row r="54" spans="1:14">
      <c r="A54" s="398"/>
      <c r="B54" s="5"/>
      <c r="C54" s="399"/>
      <c r="D54" s="3"/>
      <c r="E54" s="400"/>
      <c r="F54" s="406"/>
      <c r="G54" s="407"/>
      <c r="H54" s="403"/>
      <c r="I54" s="8"/>
      <c r="J54" s="7"/>
      <c r="K54"/>
      <c r="L54"/>
      <c r="M54" s="7"/>
      <c r="N54" s="7"/>
    </row>
    <row r="55" spans="1:14">
      <c r="A55" s="416"/>
      <c r="B55" s="417"/>
      <c r="C55" s="418"/>
      <c r="D55" s="419"/>
      <c r="E55" s="420"/>
      <c r="F55" s="421"/>
      <c r="G55" s="422"/>
      <c r="H55" s="423"/>
      <c r="K55"/>
      <c r="L55"/>
      <c r="M55"/>
      <c r="N55"/>
    </row>
    <row r="56" spans="1:14">
      <c r="A56" s="398"/>
      <c r="B56" s="5"/>
      <c r="C56" s="399"/>
      <c r="D56" s="3"/>
      <c r="E56" s="400"/>
      <c r="F56" s="401"/>
      <c r="G56" s="402"/>
      <c r="H56" s="403"/>
      <c r="I56" s="8"/>
      <c r="J56" s="7"/>
      <c r="K56"/>
      <c r="L56"/>
      <c r="M56" s="7"/>
      <c r="N56" s="7"/>
    </row>
    <row r="57" spans="1:14">
      <c r="A57" s="398"/>
      <c r="B57" s="5"/>
      <c r="C57" s="399"/>
      <c r="D57" s="3"/>
      <c r="E57" s="400"/>
      <c r="F57" s="7"/>
      <c r="G57" s="402"/>
      <c r="H57" s="403"/>
      <c r="I57" s="8"/>
      <c r="J57" s="7"/>
      <c r="K57"/>
      <c r="L57"/>
      <c r="M57" s="7"/>
      <c r="N57" s="7"/>
    </row>
    <row r="58" spans="1:14">
      <c r="A58" s="398"/>
      <c r="B58" s="404"/>
      <c r="C58" s="7"/>
      <c r="D58" s="3"/>
      <c r="E58" s="405"/>
      <c r="F58" s="406"/>
      <c r="G58" s="407"/>
      <c r="H58" s="403"/>
      <c r="I58" s="8"/>
      <c r="J58" s="7"/>
      <c r="K58"/>
      <c r="L58"/>
      <c r="M58" s="7"/>
      <c r="N58" s="7"/>
    </row>
    <row r="59" spans="1:14">
      <c r="A59" s="398"/>
      <c r="B59" s="5"/>
      <c r="C59" s="399"/>
      <c r="D59" s="3"/>
      <c r="E59" s="400"/>
      <c r="F59" s="401"/>
      <c r="G59" s="402"/>
      <c r="H59" s="403"/>
      <c r="I59" s="8"/>
      <c r="J59" s="7"/>
      <c r="K59"/>
      <c r="L59"/>
      <c r="M59" s="7"/>
      <c r="N59" s="7"/>
    </row>
    <row r="60" spans="1:14" s="201" customFormat="1">
      <c r="A60" s="398"/>
      <c r="B60" s="404"/>
      <c r="C60" s="7"/>
      <c r="D60" s="3"/>
      <c r="E60" s="405"/>
      <c r="F60" s="406"/>
      <c r="G60" s="407"/>
      <c r="H60" s="403"/>
      <c r="I60" s="408"/>
      <c r="J60"/>
      <c r="K60"/>
      <c r="L60"/>
      <c r="M60" s="7"/>
      <c r="N60" s="7"/>
    </row>
    <row r="61" spans="1:14">
      <c r="A61" s="398"/>
      <c r="B61" s="5"/>
      <c r="C61" s="399"/>
      <c r="D61" s="3"/>
      <c r="E61" s="400"/>
      <c r="F61" s="401"/>
      <c r="G61" s="402"/>
      <c r="H61" s="403"/>
      <c r="I61" s="8"/>
      <c r="J61" s="7"/>
      <c r="K61"/>
      <c r="L61"/>
      <c r="M61" s="7"/>
      <c r="N61" s="7"/>
    </row>
    <row r="62" spans="1:14" ht="14" customHeight="1">
      <c r="A62" s="409"/>
      <c r="B62" s="410"/>
      <c r="C62" s="411"/>
      <c r="D62" s="412"/>
      <c r="E62" s="424"/>
      <c r="F62" s="424"/>
      <c r="G62" s="425"/>
      <c r="H62" s="426"/>
      <c r="I62" s="8"/>
      <c r="J62" s="414"/>
      <c r="K62"/>
      <c r="L62"/>
      <c r="M62" s="7"/>
      <c r="N62" s="7"/>
    </row>
    <row r="63" spans="1:14" ht="14" customHeight="1">
      <c r="A63" s="409"/>
      <c r="B63" s="404"/>
      <c r="C63" s="7"/>
      <c r="D63" s="427"/>
      <c r="E63" s="428"/>
      <c r="F63" s="429"/>
      <c r="G63" s="430"/>
      <c r="H63" s="431"/>
      <c r="I63" s="8"/>
      <c r="J63" s="414"/>
      <c r="K63"/>
      <c r="L63"/>
      <c r="M63" s="7"/>
      <c r="N63" s="7"/>
    </row>
    <row r="64" spans="1:14" ht="14" customHeight="1">
      <c r="A64" s="409"/>
      <c r="B64" s="404"/>
      <c r="C64" s="7"/>
      <c r="D64" s="427"/>
      <c r="E64" s="428"/>
      <c r="F64" s="429"/>
      <c r="G64" s="430"/>
      <c r="H64" s="431"/>
      <c r="I64" s="8"/>
      <c r="J64" s="414"/>
      <c r="K64"/>
      <c r="L64"/>
      <c r="M64" s="7"/>
      <c r="N64" s="7"/>
    </row>
    <row r="65" spans="1:14">
      <c r="A65" s="398"/>
      <c r="B65" s="404"/>
      <c r="C65" s="7"/>
      <c r="D65" s="427"/>
      <c r="E65" s="428"/>
      <c r="F65" s="429"/>
      <c r="G65" s="430"/>
      <c r="H65" s="431"/>
      <c r="I65" s="408"/>
      <c r="K65"/>
      <c r="L65"/>
      <c r="M65" s="7"/>
      <c r="N65" s="7"/>
    </row>
    <row r="66" spans="1:14" ht="14" customHeight="1">
      <c r="A66" s="409"/>
      <c r="B66" s="410"/>
      <c r="C66" s="411"/>
      <c r="D66" s="412"/>
      <c r="E66" s="424"/>
      <c r="F66" s="424"/>
      <c r="G66" s="425"/>
      <c r="H66" s="426"/>
      <c r="I66" s="8"/>
      <c r="J66" s="414"/>
      <c r="K66"/>
      <c r="L66"/>
      <c r="M66" s="7"/>
      <c r="N66" s="7"/>
    </row>
    <row r="67" spans="1:14">
      <c r="A67" s="398"/>
      <c r="B67" s="5"/>
      <c r="C67" s="399"/>
      <c r="D67" s="427"/>
      <c r="E67" s="432"/>
      <c r="F67" s="433"/>
      <c r="G67" s="434"/>
      <c r="H67" s="431"/>
      <c r="I67" s="8"/>
      <c r="J67" s="7"/>
      <c r="K67"/>
      <c r="L67"/>
      <c r="M67" s="7"/>
      <c r="N67" s="7"/>
    </row>
    <row r="68" spans="1:14">
      <c r="A68" s="398"/>
      <c r="B68" s="5"/>
      <c r="C68" s="399"/>
      <c r="D68" s="427"/>
      <c r="E68" s="432"/>
      <c r="F68" s="433"/>
      <c r="G68" s="434"/>
      <c r="H68" s="431"/>
      <c r="I68" s="8"/>
      <c r="J68" s="7"/>
      <c r="K68"/>
      <c r="L68"/>
      <c r="M68" s="7"/>
      <c r="N68" s="7"/>
    </row>
    <row r="69" spans="1:14">
      <c r="A69" s="398"/>
      <c r="B69" s="5"/>
      <c r="C69" s="399"/>
      <c r="D69" s="427"/>
      <c r="E69" s="432"/>
      <c r="F69" s="433"/>
      <c r="G69" s="434"/>
      <c r="H69" s="431"/>
      <c r="I69" s="8"/>
      <c r="J69" s="7"/>
      <c r="K69"/>
      <c r="L69"/>
      <c r="M69" s="7"/>
      <c r="N69" s="7"/>
    </row>
    <row r="70" spans="1:14">
      <c r="A70" s="162"/>
      <c r="B70" s="415"/>
      <c r="C70" s="7"/>
      <c r="D70" s="427"/>
      <c r="E70" s="428"/>
      <c r="F70" s="429"/>
      <c r="G70" s="430"/>
      <c r="H70" s="431"/>
      <c r="I70" s="8"/>
      <c r="J70" s="7"/>
      <c r="K70"/>
      <c r="L70"/>
      <c r="M70" s="7"/>
      <c r="N70" s="7"/>
    </row>
    <row r="71" spans="1:14">
      <c r="A71" s="398"/>
      <c r="B71" s="5"/>
      <c r="C71" s="399"/>
      <c r="D71" s="427"/>
      <c r="E71" s="432"/>
      <c r="F71" s="429"/>
      <c r="G71" s="430"/>
      <c r="H71" s="431"/>
      <c r="I71" s="8"/>
      <c r="J71" s="7"/>
      <c r="K71"/>
      <c r="L71"/>
      <c r="M71" s="7"/>
      <c r="N71" s="7"/>
    </row>
    <row r="72" spans="1:14">
      <c r="A72" s="398"/>
      <c r="B72" s="5"/>
      <c r="C72" s="399"/>
      <c r="D72" s="427"/>
      <c r="E72" s="432"/>
      <c r="F72" s="435"/>
      <c r="G72" s="434"/>
      <c r="H72" s="431"/>
      <c r="I72" s="8"/>
      <c r="J72" s="7"/>
      <c r="K72"/>
      <c r="L72"/>
      <c r="M72" s="7"/>
      <c r="N72" s="7"/>
    </row>
    <row r="73" spans="1:14">
      <c r="A73" s="398"/>
      <c r="B73" s="404"/>
      <c r="C73" s="7"/>
      <c r="D73" s="427"/>
      <c r="E73" s="428"/>
      <c r="F73" s="429"/>
      <c r="G73" s="430"/>
      <c r="H73" s="431"/>
      <c r="I73" s="8"/>
      <c r="J73" s="7"/>
      <c r="K73"/>
      <c r="L73"/>
      <c r="M73" s="7"/>
      <c r="N73" s="7"/>
    </row>
    <row r="74" spans="1:14">
      <c r="A74" s="398"/>
      <c r="B74" s="5"/>
      <c r="C74" s="399"/>
      <c r="D74" s="427"/>
      <c r="E74" s="432"/>
      <c r="F74" s="429"/>
      <c r="G74" s="434"/>
      <c r="H74" s="431"/>
      <c r="I74" s="8"/>
      <c r="J74" s="7"/>
      <c r="K74"/>
      <c r="L74"/>
      <c r="M74" s="7"/>
      <c r="N74" s="7"/>
    </row>
    <row r="75" spans="1:14">
      <c r="A75" s="398"/>
      <c r="B75" s="5"/>
      <c r="C75" s="399"/>
      <c r="D75" s="427"/>
      <c r="E75" s="432"/>
      <c r="F75" s="429"/>
      <c r="G75" s="434"/>
      <c r="H75" s="431"/>
      <c r="I75" s="8"/>
      <c r="J75" s="7"/>
      <c r="K75"/>
      <c r="L75"/>
      <c r="M75" s="7"/>
      <c r="N75" s="7"/>
    </row>
    <row r="76" spans="1:14">
      <c r="A76" s="398"/>
      <c r="B76" s="410"/>
      <c r="C76" s="410"/>
      <c r="D76" s="412"/>
      <c r="E76" s="436"/>
      <c r="F76" s="424"/>
      <c r="G76" s="425"/>
      <c r="H76" s="426"/>
      <c r="I76" s="8"/>
      <c r="J76" s="414"/>
      <c r="K76"/>
      <c r="L76"/>
      <c r="M76" s="7"/>
      <c r="N76" s="7"/>
    </row>
    <row r="77" spans="1:14">
      <c r="A77" s="437"/>
      <c r="B77" s="7"/>
      <c r="C77" s="7"/>
      <c r="D77" s="427"/>
      <c r="E77" s="428"/>
      <c r="F77" s="429"/>
      <c r="G77" s="434"/>
      <c r="H77" s="431"/>
      <c r="I77" s="8"/>
      <c r="J77" s="414"/>
      <c r="K77"/>
      <c r="L77"/>
      <c r="M77" s="7"/>
      <c r="N77" s="7"/>
    </row>
    <row r="78" spans="1:14">
      <c r="A78" s="438"/>
      <c r="B78" s="410"/>
      <c r="C78" s="410"/>
      <c r="D78" s="412"/>
      <c r="E78" s="428"/>
      <c r="F78" s="435"/>
      <c r="G78" s="434"/>
      <c r="H78" s="431"/>
      <c r="K78"/>
      <c r="L78"/>
      <c r="M78" s="7"/>
      <c r="N78" s="7"/>
    </row>
    <row r="79" spans="1:14">
      <c r="A79" s="439"/>
      <c r="B79" s="7"/>
      <c r="C79" s="7"/>
      <c r="D79" s="440"/>
      <c r="E79" s="428"/>
      <c r="F79" s="435"/>
      <c r="G79" s="434"/>
      <c r="H79" s="431"/>
      <c r="I79" s="441"/>
      <c r="J79" s="442"/>
      <c r="K79"/>
      <c r="L79"/>
      <c r="M79" s="7"/>
      <c r="N79" s="7"/>
    </row>
    <row r="80" spans="1:14">
      <c r="A80" s="5"/>
      <c r="B80" s="5"/>
      <c r="C80" s="7"/>
      <c r="D80" s="440"/>
      <c r="E80" s="432"/>
      <c r="F80" s="435"/>
      <c r="G80" s="434"/>
      <c r="H80" s="431"/>
      <c r="K80"/>
      <c r="L80"/>
      <c r="M80" s="7"/>
      <c r="N80" s="7"/>
    </row>
    <row r="81" spans="1:15">
      <c r="A81" s="443"/>
      <c r="B81" s="22"/>
      <c r="C81" s="177"/>
      <c r="D81" s="427"/>
      <c r="E81" s="444"/>
      <c r="F81" s="433"/>
      <c r="G81" s="431"/>
      <c r="H81" s="444"/>
      <c r="I81" s="403"/>
      <c r="J81" s="3"/>
      <c r="K81" s="7"/>
      <c r="L81" s="142"/>
      <c r="M81" s="7"/>
    </row>
    <row r="82" spans="1:15">
      <c r="A82" s="3"/>
      <c r="B82" s="22"/>
      <c r="C82" s="7"/>
      <c r="D82" s="26"/>
      <c r="E82" s="444"/>
      <c r="F82" s="433"/>
      <c r="G82" s="431"/>
      <c r="H82" s="444"/>
      <c r="I82" s="3"/>
      <c r="J82" s="3"/>
      <c r="K82" s="7"/>
      <c r="L82" s="142"/>
      <c r="M82" s="7"/>
    </row>
    <row r="83" spans="1:15">
      <c r="A83" s="201"/>
      <c r="B83" s="445"/>
      <c r="C83" s="253"/>
      <c r="D83" s="446"/>
      <c r="E83" s="447"/>
      <c r="F83" s="448"/>
      <c r="G83" s="449"/>
      <c r="H83" s="450"/>
      <c r="I83" s="126"/>
      <c r="J83" s="126"/>
      <c r="K83" s="253"/>
      <c r="L83" s="451"/>
      <c r="M83" s="253"/>
      <c r="N83" s="452"/>
    </row>
    <row r="84" spans="1:15">
      <c r="E84" s="453"/>
      <c r="F84" s="453"/>
      <c r="G84" s="453"/>
      <c r="H84" s="454"/>
    </row>
    <row r="87" spans="1:15" s="267" customFormat="1">
      <c r="A87"/>
      <c r="B87" s="190"/>
      <c r="C87" s="453"/>
      <c r="D87" s="453"/>
      <c r="E87"/>
      <c r="G87"/>
      <c r="I87" s="453"/>
      <c r="J87" s="453"/>
      <c r="K87" s="454"/>
      <c r="L87" s="453"/>
      <c r="O87"/>
    </row>
    <row r="88" spans="1:15" s="267" customFormat="1">
      <c r="A88"/>
      <c r="B88" s="190"/>
      <c r="C88" s="453"/>
      <c r="D88" s="453"/>
      <c r="E88"/>
      <c r="G88"/>
      <c r="I88" s="453"/>
      <c r="J88" s="453"/>
      <c r="K88" s="454"/>
      <c r="L88" s="453"/>
      <c r="O88"/>
    </row>
    <row r="135" spans="1:15" s="190" customFormat="1" ht="20">
      <c r="A135" s="456" t="s">
        <v>100</v>
      </c>
      <c r="C135" s="267"/>
      <c r="D135"/>
      <c r="E135"/>
      <c r="F135" s="267"/>
      <c r="G135"/>
      <c r="H135" s="267"/>
      <c r="I135"/>
      <c r="J135"/>
      <c r="K135" s="267"/>
      <c r="L135" s="455"/>
      <c r="M135" s="267"/>
      <c r="N135" s="267"/>
      <c r="O135"/>
    </row>
  </sheetData>
  <mergeCells count="5">
    <mergeCell ref="A2:H2"/>
    <mergeCell ref="F4:G4"/>
    <mergeCell ref="A9:A33"/>
    <mergeCell ref="I9:I33"/>
    <mergeCell ref="M9:M33"/>
  </mergeCells>
  <phoneticPr fontId="13"/>
  <pageMargins left="0.51181102362204722" right="0" top="0.74803149606299213" bottom="0.74803149606299213" header="0.31496062992125984" footer="0.31496062992125984"/>
  <pageSetup paperSize="9" scale="35" fitToHeight="0" orientation="portrait" r:id="rId1"/>
  <headerFooter>
    <oddFooter>&amp;C&amp;"Century Gothic,太字"&amp;10&amp;  -   P A G E  3- &amp;P 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5F18-F202-4962-A2BE-650BD0B58DD8}">
  <sheetPr>
    <tabColor rgb="FFFF0000"/>
    <pageSetUpPr fitToPage="1"/>
  </sheetPr>
  <dimension ref="A1:I10"/>
  <sheetViews>
    <sheetView view="pageBreakPreview" zoomScale="40" zoomScaleNormal="90" zoomScaleSheetLayoutView="40" workbookViewId="0">
      <selection activeCell="F8" sqref="F8"/>
    </sheetView>
  </sheetViews>
  <sheetFormatPr defaultRowHeight="31.5"/>
  <cols>
    <col min="1" max="1" width="14.453125" customWidth="1"/>
    <col min="2" max="2" width="40.90625" style="235" customWidth="1"/>
    <col min="3" max="3" width="41.36328125" style="236" customWidth="1"/>
    <col min="4" max="4" width="86.08984375" style="236" customWidth="1"/>
    <col min="5" max="5" width="42.08984375" style="236" customWidth="1"/>
    <col min="6" max="6" width="38.1796875" style="238" customWidth="1"/>
    <col min="7" max="7" width="50.6328125" style="238" customWidth="1"/>
    <col min="8" max="8" width="34.90625" style="239" customWidth="1"/>
    <col min="9" max="9" width="34.90625" style="240" customWidth="1"/>
    <col min="10" max="16" width="34.90625" customWidth="1"/>
  </cols>
  <sheetData>
    <row r="1" spans="1:9">
      <c r="D1" s="237" t="s">
        <v>155</v>
      </c>
    </row>
    <row r="2" spans="1:9" s="245" customFormat="1" ht="88.4" customHeight="1" thickBot="1">
      <c r="A2" s="241"/>
      <c r="B2" s="242" t="s">
        <v>156</v>
      </c>
      <c r="C2" s="243" t="s">
        <v>157</v>
      </c>
      <c r="D2" s="243"/>
      <c r="E2" s="243" t="s">
        <v>158</v>
      </c>
      <c r="F2" s="244" t="s">
        <v>159</v>
      </c>
      <c r="G2" s="244" t="s">
        <v>160</v>
      </c>
      <c r="H2" s="243" t="s">
        <v>161</v>
      </c>
      <c r="I2" s="244" t="s">
        <v>162</v>
      </c>
    </row>
    <row r="3" spans="1:9" ht="194.9" customHeight="1" thickBot="1">
      <c r="A3" s="246"/>
      <c r="B3" s="247" t="s">
        <v>217</v>
      </c>
      <c r="C3" s="248" t="s">
        <v>272</v>
      </c>
      <c r="D3" s="249" t="s">
        <v>273</v>
      </c>
      <c r="E3" s="250" t="s">
        <v>163</v>
      </c>
      <c r="F3" s="251" t="s">
        <v>101</v>
      </c>
      <c r="G3" s="251"/>
      <c r="H3" s="251" t="s">
        <v>283</v>
      </c>
      <c r="I3" s="252">
        <v>17</v>
      </c>
    </row>
    <row r="4" spans="1:9" ht="194.9" customHeight="1" thickBot="1">
      <c r="A4" s="246"/>
      <c r="B4" s="247" t="s">
        <v>219</v>
      </c>
      <c r="C4" s="248" t="s">
        <v>272</v>
      </c>
      <c r="D4" s="249" t="s">
        <v>275</v>
      </c>
      <c r="E4" s="250" t="s">
        <v>163</v>
      </c>
      <c r="F4" s="251" t="s">
        <v>175</v>
      </c>
      <c r="G4" s="251"/>
      <c r="H4" s="251" t="s">
        <v>183</v>
      </c>
      <c r="I4" s="252">
        <v>17</v>
      </c>
    </row>
    <row r="5" spans="1:9" ht="194.9" customHeight="1" thickBot="1">
      <c r="A5" s="246"/>
      <c r="B5" s="247" t="s">
        <v>219</v>
      </c>
      <c r="C5" s="248" t="s">
        <v>272</v>
      </c>
      <c r="D5" s="249" t="s">
        <v>277</v>
      </c>
      <c r="E5" s="250" t="s">
        <v>163</v>
      </c>
      <c r="F5" s="251" t="s">
        <v>175</v>
      </c>
      <c r="G5" s="251"/>
      <c r="H5" s="251" t="s">
        <v>183</v>
      </c>
      <c r="I5" s="252">
        <v>17</v>
      </c>
    </row>
    <row r="6" spans="1:9" ht="194.9" customHeight="1" thickBot="1">
      <c r="A6" s="246"/>
      <c r="B6" s="247" t="s">
        <v>221</v>
      </c>
      <c r="C6" s="248" t="s">
        <v>272</v>
      </c>
      <c r="D6" s="249" t="s">
        <v>279</v>
      </c>
      <c r="E6" s="250" t="s">
        <v>163</v>
      </c>
      <c r="F6" s="251" t="s">
        <v>175</v>
      </c>
      <c r="G6" s="251"/>
      <c r="H6" s="251" t="s">
        <v>183</v>
      </c>
      <c r="I6" s="252">
        <v>17</v>
      </c>
    </row>
    <row r="7" spans="1:9" ht="194.9" customHeight="1" thickBot="1">
      <c r="A7" s="246"/>
      <c r="B7" s="247" t="s">
        <v>223</v>
      </c>
      <c r="C7" s="248" t="s">
        <v>272</v>
      </c>
      <c r="D7" s="249" t="s">
        <v>281</v>
      </c>
      <c r="E7" s="250" t="s">
        <v>163</v>
      </c>
      <c r="F7" s="251" t="s">
        <v>101</v>
      </c>
      <c r="G7" s="251"/>
      <c r="H7" s="251" t="s">
        <v>284</v>
      </c>
      <c r="I7" s="252">
        <v>17</v>
      </c>
    </row>
    <row r="8" spans="1:9" ht="194.9" customHeight="1">
      <c r="A8" s="246"/>
      <c r="B8" s="247"/>
      <c r="C8" s="248"/>
      <c r="D8" s="249"/>
      <c r="E8" s="250"/>
      <c r="F8" s="251"/>
      <c r="G8" s="251"/>
      <c r="H8" s="251"/>
      <c r="I8" s="252"/>
    </row>
    <row r="9" spans="1:9" ht="134.15" customHeight="1"/>
    <row r="10" spans="1:9" ht="134.15" customHeight="1"/>
  </sheetData>
  <phoneticPr fontId="13"/>
  <pageMargins left="0.51181102362204722" right="0" top="0.74803149606299213" bottom="0.74803149606299213" header="0.31496062992125984" footer="0.31496062992125984"/>
  <pageSetup paperSize="9" scale="25" fitToHeight="0" orientation="portrait" r:id="rId1"/>
  <headerFooter>
    <oddFooter>&amp;C&amp;"Century Gothic,太字"&amp;10&amp;  -   P A G E  3- &amp;P   -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109"/>
  <sheetViews>
    <sheetView view="pageBreakPreview" topLeftCell="A16" zoomScale="80" zoomScaleNormal="70" zoomScaleSheetLayoutView="80" workbookViewId="0">
      <selection activeCell="C87" sqref="C87"/>
    </sheetView>
  </sheetViews>
  <sheetFormatPr defaultRowHeight="15"/>
  <cols>
    <col min="1" max="1" width="7.90625" customWidth="1"/>
    <col min="2" max="2" width="38.08984375" style="190" customWidth="1"/>
    <col min="3" max="3" width="81.6328125" customWidth="1"/>
    <col min="4" max="4" width="23.6328125" customWidth="1"/>
  </cols>
  <sheetData>
    <row r="1" spans="1:4" ht="17.5" customHeight="1">
      <c r="A1" s="158"/>
    </row>
    <row r="2" spans="1:4" ht="15" customHeight="1">
      <c r="A2" s="541" t="s">
        <v>143</v>
      </c>
      <c r="B2" s="541"/>
      <c r="C2" s="191"/>
    </row>
    <row r="3" spans="1:4" ht="15.65" customHeight="1" thickBot="1">
      <c r="A3" s="192"/>
      <c r="B3" s="193"/>
      <c r="C3" s="192"/>
    </row>
    <row r="4" spans="1:4" ht="21.75" customHeight="1" thickBot="1">
      <c r="A4" s="194" t="s">
        <v>36</v>
      </c>
      <c r="B4" s="24" t="s">
        <v>97</v>
      </c>
      <c r="C4" s="23" t="s">
        <v>88</v>
      </c>
      <c r="D4" s="195" t="s">
        <v>144</v>
      </c>
    </row>
    <row r="5" spans="1:4" ht="16.399999999999999" customHeight="1">
      <c r="A5" s="529" t="s">
        <v>173</v>
      </c>
      <c r="B5" s="29"/>
      <c r="C5" s="206" t="s">
        <v>166</v>
      </c>
      <c r="D5" s="196"/>
    </row>
    <row r="6" spans="1:4" ht="15" customHeight="1">
      <c r="A6" s="530"/>
      <c r="B6" s="218" t="s">
        <v>165</v>
      </c>
      <c r="C6" s="219" t="s">
        <v>101</v>
      </c>
      <c r="D6" s="197"/>
    </row>
    <row r="7" spans="1:4" ht="15" customHeight="1">
      <c r="A7" s="530"/>
      <c r="B7" s="21" t="s">
        <v>149</v>
      </c>
      <c r="C7" s="31" t="s">
        <v>170</v>
      </c>
      <c r="D7" s="197" t="s">
        <v>145</v>
      </c>
    </row>
    <row r="8" spans="1:4" ht="15" customHeight="1">
      <c r="A8" s="530"/>
      <c r="B8" s="33" t="s">
        <v>151</v>
      </c>
      <c r="C8" s="32" t="s">
        <v>171</v>
      </c>
      <c r="D8" s="197" t="s">
        <v>66</v>
      </c>
    </row>
    <row r="9" spans="1:4" ht="15" customHeight="1" thickBot="1">
      <c r="A9" s="531"/>
      <c r="B9" s="35" t="s">
        <v>152</v>
      </c>
      <c r="C9" s="34"/>
      <c r="D9" s="511"/>
    </row>
    <row r="10" spans="1:4" ht="15" customHeight="1" thickBot="1">
      <c r="A10" s="262"/>
      <c r="B10" s="30"/>
      <c r="C10" s="219"/>
      <c r="D10" s="510"/>
    </row>
    <row r="11" spans="1:4" ht="21.75" customHeight="1" thickBot="1">
      <c r="A11" s="194" t="s">
        <v>36</v>
      </c>
      <c r="B11" s="24" t="s">
        <v>97</v>
      </c>
      <c r="C11" s="23" t="s">
        <v>88</v>
      </c>
      <c r="D11" s="195" t="s">
        <v>144</v>
      </c>
    </row>
    <row r="12" spans="1:4" ht="17" customHeight="1">
      <c r="A12" s="529" t="s">
        <v>194</v>
      </c>
      <c r="B12" s="29"/>
      <c r="C12" s="206" t="s">
        <v>177</v>
      </c>
      <c r="D12" s="213"/>
    </row>
    <row r="13" spans="1:4" ht="16.399999999999999" customHeight="1">
      <c r="A13" s="530"/>
      <c r="B13" s="218" t="s">
        <v>174</v>
      </c>
      <c r="C13" s="21" t="s">
        <v>164</v>
      </c>
      <c r="D13" s="197"/>
    </row>
    <row r="14" spans="1:4" ht="15" customHeight="1">
      <c r="A14" s="530"/>
      <c r="B14" s="21" t="s">
        <v>164</v>
      </c>
      <c r="C14" s="259" t="s">
        <v>110</v>
      </c>
      <c r="D14" s="197"/>
    </row>
    <row r="15" spans="1:4" ht="15" customHeight="1">
      <c r="A15" s="530"/>
      <c r="B15" s="33" t="s">
        <v>176</v>
      </c>
      <c r="C15" s="32" t="s">
        <v>184</v>
      </c>
      <c r="D15" s="197"/>
    </row>
    <row r="16" spans="1:4" ht="15" customHeight="1">
      <c r="A16" s="530"/>
      <c r="B16" s="258" t="s">
        <v>152</v>
      </c>
      <c r="C16" s="223"/>
      <c r="D16" s="197"/>
    </row>
    <row r="17" spans="1:4" ht="15" customHeight="1" thickBot="1">
      <c r="A17" s="530"/>
      <c r="B17" s="35"/>
      <c r="C17" s="34"/>
      <c r="D17" s="198"/>
    </row>
    <row r="18" spans="1:4" ht="21.65" customHeight="1" thickBot="1">
      <c r="A18" s="530"/>
      <c r="B18" s="30"/>
      <c r="C18" s="31"/>
      <c r="D18" s="197" t="s">
        <v>145</v>
      </c>
    </row>
    <row r="19" spans="1:4" ht="16.5" customHeight="1">
      <c r="A19" s="530"/>
      <c r="B19" s="29"/>
      <c r="C19" s="206" t="s">
        <v>191</v>
      </c>
      <c r="D19" s="197" t="s">
        <v>66</v>
      </c>
    </row>
    <row r="20" spans="1:4" ht="16.399999999999999" customHeight="1">
      <c r="A20" s="530"/>
      <c r="B20" s="218" t="s">
        <v>186</v>
      </c>
      <c r="C20" s="219" t="s">
        <v>101</v>
      </c>
      <c r="D20" s="197"/>
    </row>
    <row r="21" spans="1:4" ht="15" customHeight="1">
      <c r="A21" s="530"/>
      <c r="B21" s="21" t="s">
        <v>149</v>
      </c>
      <c r="C21" s="31" t="s">
        <v>192</v>
      </c>
      <c r="D21" s="197"/>
    </row>
    <row r="22" spans="1:4" ht="15" customHeight="1">
      <c r="A22" s="530"/>
      <c r="B22" s="33" t="s">
        <v>187</v>
      </c>
      <c r="C22" s="32" t="s">
        <v>193</v>
      </c>
      <c r="D22" s="197"/>
    </row>
    <row r="23" spans="1:4" ht="15" customHeight="1" thickBot="1">
      <c r="A23" s="531"/>
      <c r="B23" s="35" t="s">
        <v>152</v>
      </c>
      <c r="C23" s="34"/>
      <c r="D23" s="205"/>
    </row>
    <row r="24" spans="1:4" ht="14" customHeight="1" thickBot="1">
      <c r="A24" s="263"/>
      <c r="B24" s="212"/>
      <c r="C24" s="32"/>
      <c r="D24" s="200"/>
    </row>
    <row r="25" spans="1:4" ht="21.75" customHeight="1" thickBot="1">
      <c r="A25" s="194" t="s">
        <v>36</v>
      </c>
      <c r="B25" s="24" t="s">
        <v>97</v>
      </c>
      <c r="C25" s="23" t="s">
        <v>88</v>
      </c>
      <c r="D25" s="195" t="s">
        <v>144</v>
      </c>
    </row>
    <row r="26" spans="1:4" ht="17.5" customHeight="1">
      <c r="A26" s="529" t="s">
        <v>201</v>
      </c>
      <c r="B26" s="29"/>
      <c r="C26" s="206" t="s">
        <v>199</v>
      </c>
      <c r="D26" s="512"/>
    </row>
    <row r="27" spans="1:4" ht="16.399999999999999" customHeight="1">
      <c r="A27" s="530"/>
      <c r="B27" s="218" t="s">
        <v>195</v>
      </c>
      <c r="C27" s="21" t="s">
        <v>164</v>
      </c>
      <c r="D27" s="199"/>
    </row>
    <row r="28" spans="1:4" ht="16.399999999999999" customHeight="1">
      <c r="A28" s="530"/>
      <c r="B28" s="21" t="s">
        <v>164</v>
      </c>
      <c r="C28" s="219" t="s">
        <v>110</v>
      </c>
      <c r="D28" s="199"/>
    </row>
    <row r="29" spans="1:4" ht="16.399999999999999" customHeight="1">
      <c r="A29" s="530"/>
      <c r="B29" s="33" t="s">
        <v>196</v>
      </c>
      <c r="C29" s="31" t="s">
        <v>200</v>
      </c>
      <c r="D29" s="197" t="s">
        <v>145</v>
      </c>
    </row>
    <row r="30" spans="1:4" ht="16.399999999999999" customHeight="1" thickBot="1">
      <c r="A30" s="531"/>
      <c r="B30" s="35" t="s">
        <v>152</v>
      </c>
      <c r="C30" s="34"/>
      <c r="D30" s="514" t="s">
        <v>66</v>
      </c>
    </row>
    <row r="31" spans="1:4" ht="15" customHeight="1" thickBot="1">
      <c r="A31" s="263"/>
      <c r="B31" s="212"/>
      <c r="C31" s="32"/>
      <c r="D31" s="513"/>
    </row>
    <row r="32" spans="1:4" ht="21" customHeight="1" thickBot="1">
      <c r="A32" s="194" t="s">
        <v>36</v>
      </c>
      <c r="B32" s="24" t="s">
        <v>97</v>
      </c>
      <c r="C32" s="23" t="s">
        <v>88</v>
      </c>
      <c r="D32" s="195" t="s">
        <v>144</v>
      </c>
    </row>
    <row r="33" spans="1:4" ht="15" customHeight="1">
      <c r="A33" s="529" t="s">
        <v>225</v>
      </c>
      <c r="B33" s="29"/>
      <c r="C33" s="206" t="s">
        <v>268</v>
      </c>
      <c r="D33" s="200"/>
    </row>
    <row r="34" spans="1:4" ht="21.75" customHeight="1">
      <c r="A34" s="530"/>
      <c r="B34" s="30" t="s">
        <v>263</v>
      </c>
      <c r="C34" s="31" t="s">
        <v>164</v>
      </c>
      <c r="D34" s="213"/>
    </row>
    <row r="35" spans="1:4" ht="16.399999999999999" customHeight="1">
      <c r="A35" s="530"/>
      <c r="B35" s="21" t="s">
        <v>164</v>
      </c>
      <c r="C35" s="31" t="s">
        <v>265</v>
      </c>
      <c r="D35" s="197" t="s">
        <v>145</v>
      </c>
    </row>
    <row r="36" spans="1:4" ht="16.399999999999999" customHeight="1">
      <c r="A36" s="530"/>
      <c r="B36" s="33" t="s">
        <v>266</v>
      </c>
      <c r="C36" s="32" t="s">
        <v>267</v>
      </c>
      <c r="D36" s="197" t="s">
        <v>66</v>
      </c>
    </row>
    <row r="37" spans="1:4" ht="16.399999999999999" customHeight="1" thickBot="1">
      <c r="A37" s="531"/>
      <c r="B37" s="35" t="s">
        <v>152</v>
      </c>
      <c r="C37" s="34"/>
      <c r="D37" s="514"/>
    </row>
    <row r="38" spans="1:4" ht="16.399999999999999" customHeight="1" thickBot="1">
      <c r="A38" s="480"/>
      <c r="B38" s="481"/>
      <c r="C38" s="483"/>
      <c r="D38" s="199"/>
    </row>
    <row r="39" spans="1:4" ht="21" customHeight="1" thickBot="1">
      <c r="A39" s="508" t="s">
        <v>36</v>
      </c>
      <c r="B39" s="509" t="s">
        <v>97</v>
      </c>
      <c r="C39" s="49" t="s">
        <v>88</v>
      </c>
      <c r="D39" s="195" t="s">
        <v>144</v>
      </c>
    </row>
    <row r="40" spans="1:4" ht="16.399999999999999" customHeight="1">
      <c r="A40" s="530" t="s">
        <v>262</v>
      </c>
      <c r="B40" s="475" t="s">
        <v>211</v>
      </c>
      <c r="C40" s="477" t="s">
        <v>212</v>
      </c>
      <c r="D40" s="196"/>
    </row>
    <row r="41" spans="1:4" ht="16.399999999999999" customHeight="1">
      <c r="A41" s="530"/>
      <c r="B41" s="461" t="s">
        <v>211</v>
      </c>
      <c r="C41" s="477" t="s">
        <v>213</v>
      </c>
      <c r="D41" s="197"/>
    </row>
    <row r="42" spans="1:4" ht="16.399999999999999" customHeight="1">
      <c r="A42" s="530"/>
      <c r="B42" s="461" t="s">
        <v>211</v>
      </c>
      <c r="C42" s="477" t="s">
        <v>214</v>
      </c>
      <c r="D42" s="197"/>
    </row>
    <row r="43" spans="1:4" ht="16.399999999999999" customHeight="1">
      <c r="A43" s="530"/>
      <c r="B43" s="461" t="s">
        <v>211</v>
      </c>
      <c r="C43" s="477" t="s">
        <v>215</v>
      </c>
      <c r="D43" s="515"/>
    </row>
    <row r="44" spans="1:4" ht="16.399999999999999" customHeight="1" thickBot="1">
      <c r="A44" s="530"/>
      <c r="B44" s="491" t="s">
        <v>211</v>
      </c>
      <c r="C44" s="467" t="s">
        <v>216</v>
      </c>
      <c r="D44" s="197" t="s">
        <v>145</v>
      </c>
    </row>
    <row r="45" spans="1:4" ht="16.399999999999999" customHeight="1" thickBot="1">
      <c r="A45" s="530"/>
      <c r="B45" s="470"/>
      <c r="C45" s="296"/>
      <c r="D45" s="197" t="s">
        <v>66</v>
      </c>
    </row>
    <row r="46" spans="1:4" ht="16.399999999999999" customHeight="1">
      <c r="A46" s="530"/>
      <c r="B46" s="472" t="s">
        <v>218</v>
      </c>
      <c r="C46" s="458" t="s">
        <v>274</v>
      </c>
      <c r="D46" s="197"/>
    </row>
    <row r="47" spans="1:4" ht="15" customHeight="1">
      <c r="A47" s="530"/>
      <c r="B47" s="473" t="s">
        <v>220</v>
      </c>
      <c r="C47" s="463" t="s">
        <v>276</v>
      </c>
      <c r="D47" s="204"/>
    </row>
    <row r="48" spans="1:4" ht="15" customHeight="1">
      <c r="A48" s="530"/>
      <c r="B48" s="461" t="s">
        <v>220</v>
      </c>
      <c r="C48" s="463" t="s">
        <v>278</v>
      </c>
      <c r="D48" s="204"/>
    </row>
    <row r="49" spans="1:4" ht="21.65" customHeight="1">
      <c r="A49" s="530"/>
      <c r="B49" s="492" t="s">
        <v>222</v>
      </c>
      <c r="C49" s="463" t="s">
        <v>280</v>
      </c>
      <c r="D49" s="204"/>
    </row>
    <row r="50" spans="1:4" ht="15" customHeight="1" thickBot="1">
      <c r="A50" s="531"/>
      <c r="B50" s="491" t="s">
        <v>224</v>
      </c>
      <c r="C50" s="467" t="s">
        <v>282</v>
      </c>
      <c r="D50" s="205"/>
    </row>
    <row r="51" spans="1:4" ht="16.399999999999999" customHeight="1" thickBot="1">
      <c r="A51" s="200"/>
      <c r="B51" s="200"/>
      <c r="C51" s="200"/>
      <c r="D51" s="200"/>
    </row>
    <row r="52" spans="1:4" ht="21" customHeight="1" thickBot="1">
      <c r="A52" s="508" t="s">
        <v>36</v>
      </c>
      <c r="B52" s="509" t="s">
        <v>97</v>
      </c>
      <c r="C52" s="49" t="s">
        <v>88</v>
      </c>
      <c r="D52" s="195" t="s">
        <v>144</v>
      </c>
    </row>
    <row r="53" spans="1:4" ht="15" customHeight="1" thickBot="1">
      <c r="A53" s="544">
        <v>18</v>
      </c>
      <c r="B53" s="304"/>
      <c r="C53" s="306" t="s">
        <v>226</v>
      </c>
      <c r="D53" s="516"/>
    </row>
    <row r="54" spans="1:4" ht="15" customHeight="1">
      <c r="A54" s="545"/>
      <c r="B54" s="314" t="s">
        <v>246</v>
      </c>
      <c r="C54" s="315" t="s">
        <v>247</v>
      </c>
      <c r="D54" s="204"/>
    </row>
    <row r="55" spans="1:4" ht="15" customHeight="1">
      <c r="A55" s="545"/>
      <c r="B55" s="314"/>
      <c r="C55" s="315" t="s">
        <v>248</v>
      </c>
      <c r="D55" s="204"/>
    </row>
    <row r="56" spans="1:4" ht="21.65" customHeight="1">
      <c r="A56" s="545"/>
      <c r="B56" s="314" t="s">
        <v>227</v>
      </c>
      <c r="C56" s="315" t="s">
        <v>249</v>
      </c>
      <c r="D56" s="204"/>
    </row>
    <row r="57" spans="1:4" ht="15" customHeight="1">
      <c r="A57" s="545"/>
      <c r="B57" s="323"/>
      <c r="C57" s="39" t="s">
        <v>228</v>
      </c>
      <c r="D57" s="204"/>
    </row>
    <row r="58" spans="1:4" ht="16.399999999999999" customHeight="1" thickBot="1">
      <c r="A58" s="545"/>
      <c r="B58" s="332"/>
      <c r="C58" s="334"/>
      <c r="D58" s="204"/>
    </row>
    <row r="59" spans="1:4" ht="15" customHeight="1" thickBot="1">
      <c r="A59" s="545"/>
      <c r="B59" s="498"/>
      <c r="C59" s="306" t="s">
        <v>229</v>
      </c>
      <c r="D59" s="204"/>
    </row>
    <row r="60" spans="1:4" ht="15" customHeight="1">
      <c r="A60" s="545"/>
      <c r="B60" s="314" t="s">
        <v>230</v>
      </c>
      <c r="C60" s="315" t="s">
        <v>250</v>
      </c>
      <c r="D60" s="204"/>
    </row>
    <row r="61" spans="1:4" ht="15" customHeight="1">
      <c r="A61" s="545"/>
      <c r="B61" s="323" t="s">
        <v>232</v>
      </c>
      <c r="C61" s="39"/>
      <c r="D61" s="197" t="s">
        <v>145</v>
      </c>
    </row>
    <row r="62" spans="1:4" ht="15" customHeight="1" thickBot="1">
      <c r="A62" s="545"/>
      <c r="B62" s="332"/>
      <c r="C62" s="334"/>
      <c r="D62" s="197" t="s">
        <v>66</v>
      </c>
    </row>
    <row r="63" spans="1:4" ht="16.399999999999999" customHeight="1" thickBot="1">
      <c r="A63" s="545"/>
      <c r="B63" s="498"/>
      <c r="C63" s="306" t="s">
        <v>234</v>
      </c>
      <c r="D63" s="204"/>
    </row>
    <row r="64" spans="1:4" ht="16.399999999999999" customHeight="1">
      <c r="A64" s="545"/>
      <c r="B64" s="314" t="s">
        <v>235</v>
      </c>
      <c r="C64" s="315" t="s">
        <v>247</v>
      </c>
      <c r="D64" s="204"/>
    </row>
    <row r="65" spans="1:4" ht="15" customHeight="1">
      <c r="A65" s="545"/>
      <c r="B65" s="323" t="s">
        <v>237</v>
      </c>
      <c r="C65" s="39" t="s">
        <v>251</v>
      </c>
      <c r="D65" s="204"/>
    </row>
    <row r="66" spans="1:4" ht="15" customHeight="1">
      <c r="A66" s="545"/>
      <c r="B66" s="323" t="s">
        <v>239</v>
      </c>
      <c r="C66" s="39" t="s">
        <v>252</v>
      </c>
      <c r="D66" s="204"/>
    </row>
    <row r="67" spans="1:4" ht="24" customHeight="1">
      <c r="A67" s="545"/>
      <c r="B67" s="323" t="s">
        <v>240</v>
      </c>
      <c r="C67" s="39" t="s">
        <v>253</v>
      </c>
      <c r="D67" s="204"/>
    </row>
    <row r="68" spans="1:4" ht="21.65" customHeight="1" thickBot="1">
      <c r="A68" s="545"/>
      <c r="B68" s="343" t="s">
        <v>232</v>
      </c>
      <c r="C68" s="506" t="s">
        <v>254</v>
      </c>
      <c r="D68" s="204"/>
    </row>
    <row r="69" spans="1:4" ht="16.399999999999999" customHeight="1" thickBot="1">
      <c r="A69" s="545"/>
      <c r="B69" s="332"/>
      <c r="C69" s="334"/>
      <c r="D69" s="204"/>
    </row>
    <row r="70" spans="1:4" ht="15" customHeight="1" thickBot="1">
      <c r="A70" s="545"/>
      <c r="B70" s="498"/>
      <c r="C70" s="306" t="s">
        <v>229</v>
      </c>
      <c r="D70" s="204"/>
    </row>
    <row r="71" spans="1:4" ht="15.65" customHeight="1">
      <c r="A71" s="545"/>
      <c r="B71" s="495" t="s">
        <v>235</v>
      </c>
      <c r="C71" s="356" t="s">
        <v>247</v>
      </c>
      <c r="D71" s="204"/>
    </row>
    <row r="72" spans="1:4" ht="21.75" customHeight="1">
      <c r="A72" s="545"/>
      <c r="B72" s="332" t="s">
        <v>242</v>
      </c>
      <c r="C72" s="334" t="s">
        <v>255</v>
      </c>
      <c r="D72" s="204"/>
    </row>
    <row r="73" spans="1:4" ht="15" customHeight="1">
      <c r="A73" s="545"/>
      <c r="B73" s="332" t="s">
        <v>232</v>
      </c>
      <c r="C73" s="507" t="s">
        <v>254</v>
      </c>
      <c r="D73" s="204"/>
    </row>
    <row r="74" spans="1:4" ht="17.5" customHeight="1">
      <c r="A74" s="545"/>
      <c r="B74" s="332" t="s">
        <v>239</v>
      </c>
      <c r="C74" s="39" t="s">
        <v>256</v>
      </c>
      <c r="D74" s="204"/>
    </row>
    <row r="75" spans="1:4" ht="17.149999999999999" customHeight="1">
      <c r="A75" s="545"/>
      <c r="B75" s="332" t="s">
        <v>237</v>
      </c>
      <c r="C75" s="334" t="s">
        <v>257</v>
      </c>
      <c r="D75" s="204"/>
    </row>
    <row r="76" spans="1:4" ht="21.65" customHeight="1">
      <c r="A76" s="545"/>
      <c r="B76" s="332" t="s">
        <v>244</v>
      </c>
      <c r="C76" s="334" t="s">
        <v>258</v>
      </c>
      <c r="D76" s="204"/>
    </row>
    <row r="77" spans="1:4" ht="15" customHeight="1" thickBot="1">
      <c r="A77" s="546"/>
      <c r="B77" s="343" t="s">
        <v>245</v>
      </c>
      <c r="C77" s="40" t="s">
        <v>259</v>
      </c>
      <c r="D77" s="205"/>
    </row>
    <row r="78" spans="1:4" ht="15" customHeight="1">
      <c r="A78" s="200"/>
      <c r="B78" s="200"/>
      <c r="C78" s="200"/>
      <c r="D78" s="200"/>
    </row>
    <row r="79" spans="1:4" ht="15" customHeight="1">
      <c r="A79" s="200"/>
      <c r="B79" s="200"/>
      <c r="C79" s="200"/>
      <c r="D79" s="200"/>
    </row>
    <row r="80" spans="1:4" ht="15" customHeight="1">
      <c r="A80" s="200"/>
      <c r="B80" s="200"/>
      <c r="C80" s="200"/>
      <c r="D80" s="200"/>
    </row>
    <row r="81" spans="1:4" ht="15" customHeight="1">
      <c r="A81" s="200"/>
      <c r="B81" s="200"/>
      <c r="C81" s="200"/>
      <c r="D81" s="200"/>
    </row>
    <row r="82" spans="1:4" ht="15" customHeight="1">
      <c r="A82" s="200"/>
      <c r="B82" s="200"/>
      <c r="C82" s="200"/>
      <c r="D82" s="200"/>
    </row>
    <row r="83" spans="1:4" ht="15.65" customHeight="1">
      <c r="A83" s="200"/>
      <c r="B83" s="200"/>
      <c r="C83" s="200"/>
      <c r="D83" s="200"/>
    </row>
    <row r="84" spans="1:4" ht="15" customHeight="1">
      <c r="A84" s="200"/>
      <c r="B84" s="200"/>
      <c r="C84" s="200"/>
      <c r="D84" s="200"/>
    </row>
    <row r="85" spans="1:4" ht="15" customHeight="1">
      <c r="A85" s="200"/>
      <c r="B85" s="200"/>
      <c r="C85" s="200"/>
      <c r="D85" s="200"/>
    </row>
    <row r="86" spans="1:4" ht="15" customHeight="1">
      <c r="A86" s="200"/>
      <c r="B86" s="200"/>
      <c r="C86" s="200"/>
      <c r="D86" s="200"/>
    </row>
    <row r="87" spans="1:4" ht="15" customHeight="1">
      <c r="A87" s="200"/>
      <c r="B87" s="200"/>
      <c r="C87" s="200"/>
      <c r="D87" s="200"/>
    </row>
    <row r="88" spans="1:4" ht="15" customHeight="1">
      <c r="A88" s="200"/>
      <c r="B88" s="200"/>
      <c r="C88" s="200"/>
      <c r="D88" s="200"/>
    </row>
    <row r="89" spans="1:4" ht="15" customHeight="1">
      <c r="A89" s="200"/>
      <c r="B89" s="200"/>
      <c r="C89" s="200"/>
      <c r="D89" s="200"/>
    </row>
    <row r="90" spans="1:4" s="201" customFormat="1" ht="15" customHeight="1">
      <c r="A90" s="200"/>
      <c r="B90" s="200"/>
      <c r="C90" s="200"/>
      <c r="D90" s="200"/>
    </row>
    <row r="91" spans="1:4" s="201" customFormat="1" ht="15" customHeight="1">
      <c r="A91" s="200"/>
      <c r="B91" s="200"/>
      <c r="C91" s="200"/>
      <c r="D91" s="200"/>
    </row>
    <row r="92" spans="1:4" ht="15" customHeight="1">
      <c r="A92" s="200"/>
      <c r="B92" s="200"/>
      <c r="C92" s="200"/>
      <c r="D92" s="200"/>
    </row>
    <row r="93" spans="1:4" ht="14.15" customHeight="1">
      <c r="A93" s="200"/>
      <c r="B93" s="200"/>
      <c r="C93" s="200"/>
      <c r="D93" s="200"/>
    </row>
    <row r="94" spans="1:4" ht="15" customHeight="1">
      <c r="A94" s="200"/>
      <c r="B94" s="200"/>
      <c r="C94" s="200"/>
      <c r="D94" s="200"/>
    </row>
    <row r="95" spans="1:4" ht="15" customHeight="1">
      <c r="A95" s="200"/>
      <c r="B95" s="200"/>
      <c r="C95" s="200"/>
      <c r="D95" s="200"/>
    </row>
    <row r="96" spans="1:4" ht="15" customHeight="1">
      <c r="A96" s="200"/>
      <c r="B96" s="200"/>
      <c r="C96" s="200"/>
      <c r="D96" s="200"/>
    </row>
    <row r="97" spans="1:4" ht="15" customHeight="1">
      <c r="A97" s="200"/>
      <c r="B97" s="200"/>
      <c r="C97" s="200"/>
      <c r="D97" s="200"/>
    </row>
    <row r="98" spans="1:4" ht="15" customHeight="1">
      <c r="A98" s="200"/>
      <c r="B98" s="200"/>
      <c r="C98" s="200"/>
      <c r="D98" s="200"/>
    </row>
    <row r="99" spans="1:4" ht="15" customHeight="1">
      <c r="A99" s="200"/>
      <c r="B99" s="200"/>
      <c r="C99" s="200"/>
      <c r="D99" s="200"/>
    </row>
    <row r="100" spans="1:4" ht="12.65" customHeight="1">
      <c r="A100" s="200"/>
      <c r="B100" s="200"/>
      <c r="C100" s="200"/>
      <c r="D100" s="200"/>
    </row>
    <row r="101" spans="1:4" ht="15.65" customHeight="1">
      <c r="A101" s="200"/>
      <c r="B101" s="200"/>
      <c r="C101" s="200"/>
      <c r="D101" s="200"/>
    </row>
    <row r="102" spans="1:4" ht="41.15" customHeight="1">
      <c r="A102" s="200"/>
      <c r="B102" s="200"/>
      <c r="C102" s="200"/>
      <c r="D102" s="200"/>
    </row>
    <row r="103" spans="1:4" ht="21.75" customHeight="1">
      <c r="A103" s="200"/>
      <c r="B103" s="200"/>
      <c r="C103" s="200"/>
      <c r="D103" s="200"/>
    </row>
    <row r="104" spans="1:4" ht="15" customHeight="1" thickBot="1">
      <c r="A104" s="202"/>
      <c r="B104" s="202"/>
      <c r="C104" s="202"/>
      <c r="D104" s="202"/>
    </row>
    <row r="105" spans="1:4" ht="10.4" customHeight="1">
      <c r="A105" s="176"/>
      <c r="B105" s="176"/>
      <c r="C105" s="203"/>
      <c r="D105" s="176"/>
    </row>
    <row r="106" spans="1:4">
      <c r="A106" s="176"/>
      <c r="B106" s="176"/>
      <c r="C106" s="176"/>
      <c r="D106" s="176"/>
    </row>
    <row r="107" spans="1:4">
      <c r="A107" s="176"/>
      <c r="B107" s="176"/>
      <c r="C107" s="176"/>
      <c r="D107" s="176"/>
    </row>
    <row r="108" spans="1:4">
      <c r="A108" s="176"/>
      <c r="B108" s="176"/>
      <c r="C108" s="176"/>
      <c r="D108" s="176"/>
    </row>
    <row r="109" spans="1:4">
      <c r="A109" s="176"/>
      <c r="B109" s="176"/>
      <c r="C109" s="176"/>
      <c r="D109" s="176"/>
    </row>
  </sheetData>
  <mergeCells count="7">
    <mergeCell ref="A53:A77"/>
    <mergeCell ref="A2:B2"/>
    <mergeCell ref="A5:A9"/>
    <mergeCell ref="A12:A23"/>
    <mergeCell ref="A26:A30"/>
    <mergeCell ref="A33:A37"/>
    <mergeCell ref="A40:A50"/>
  </mergeCells>
  <phoneticPr fontId="13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1" manualBreakCount="1">
    <brk id="78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8</vt:i4>
      </vt:variant>
    </vt:vector>
  </HeadingPairs>
  <TitlesOfParts>
    <vt:vector size="15" baseType="lpstr">
      <vt:lpstr>shipper master</vt:lpstr>
      <vt:lpstr>case mark </vt:lpstr>
      <vt:lpstr>invoice</vt:lpstr>
      <vt:lpstr>NARITA </vt:lpstr>
      <vt:lpstr>NARITA (2)</vt:lpstr>
      <vt:lpstr>サンプル製品カタログ</vt:lpstr>
      <vt:lpstr>LABEL</vt:lpstr>
      <vt:lpstr>LABEL!Print_Area</vt:lpstr>
      <vt:lpstr>'NARITA '!Print_Area</vt:lpstr>
      <vt:lpstr>'NARITA (2)'!Print_Area</vt:lpstr>
      <vt:lpstr>サンプル製品カタログ!Print_Area</vt:lpstr>
      <vt:lpstr>LABEL!Print_Titles</vt:lpstr>
      <vt:lpstr>'NARITA '!Print_Titles</vt:lpstr>
      <vt:lpstr>'NARITA (2)'!Print_Titles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2025-02-19T01:47:06Z</dcterms:modified>
</cp:coreProperties>
</file>