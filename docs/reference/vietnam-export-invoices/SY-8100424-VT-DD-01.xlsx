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3FEF4020-370E-4C21-8666-041B29667961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LABEL!$A$1:$D$76</definedName>
    <definedName name="_xlnm.Print_Area" localSheetId="3">'NARITA '!$A$1:$N$78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C81" i="17" l="1"/>
  <c r="C45" i="17"/>
  <c r="M27" i="65"/>
  <c r="M26" i="65"/>
  <c r="H78" i="60"/>
  <c r="H76" i="60"/>
  <c r="H75" i="60"/>
  <c r="E76" i="60"/>
  <c r="E75" i="60"/>
  <c r="H62" i="60"/>
  <c r="H57" i="60"/>
  <c r="H51" i="60"/>
  <c r="H73" i="60" l="1"/>
  <c r="H69" i="60" l="1"/>
  <c r="H72" i="60"/>
  <c r="H68" i="60"/>
  <c r="H67" i="60"/>
  <c r="H66" i="60"/>
  <c r="H45" i="60" l="1"/>
  <c r="H40" i="60"/>
  <c r="H39" i="60"/>
  <c r="H33" i="60"/>
  <c r="H28" i="60"/>
  <c r="H29" i="60"/>
  <c r="H23" i="60"/>
  <c r="H10" i="60" l="1"/>
  <c r="E31" i="65"/>
  <c r="H22" i="60"/>
  <c r="H21" i="60"/>
  <c r="K31" i="65"/>
  <c r="M28" i="65"/>
  <c r="O28" i="65"/>
  <c r="L31" i="65" l="1"/>
  <c r="H27" i="60" l="1"/>
  <c r="H15" i="60" l="1"/>
  <c r="H16" i="60"/>
  <c r="O27" i="65" l="1"/>
  <c r="H9" i="60"/>
  <c r="F9" i="65"/>
  <c r="O26" i="65" l="1"/>
  <c r="O31" i="65" s="1"/>
  <c r="F11" i="65"/>
  <c r="F7" i="65"/>
  <c r="N8" i="65" l="1"/>
  <c r="I13" i="64"/>
  <c r="A13" i="64"/>
  <c r="I2" i="64"/>
  <c r="A2" i="64"/>
  <c r="A37" i="65"/>
  <c r="D36" i="65"/>
  <c r="A35" i="65"/>
  <c r="A34" i="65"/>
  <c r="B29" i="65"/>
  <c r="B26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N10" i="65"/>
  <c r="A10" i="65"/>
  <c r="N9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<sst xmlns="http://schemas.openxmlformats.org/spreadsheetml/2006/main" count="482" uniqueCount="282">
  <si>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</si>
  <si>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</si>
  <si>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</si>
  <si>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</si>
  <si>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</si>
  <si>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</si>
  <si>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</si>
  <si>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</si>
  <si>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</si>
  <si>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</si>
  <si>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</si>
  <si>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</si>
  <si>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</si>
  <si>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</si>
  <si>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</si>
  <si>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</si>
  <si>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</si>
  <si>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</si>
  <si>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</si>
  <si>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</si>
  <si>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</si>
  <si>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</si>
  <si>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</si>
  <si>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</si>
  <si>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</si>
  <si>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</si>
  <si>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</si>
  <si>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</si>
  <si>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</si>
  <si>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</si>
  <si>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</si>
  <si>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</si>
  <si>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</si>
  <si>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</si>
  <si>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</si>
  <si>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</si>
  <si>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</si>
  <si>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</si>
  <si>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</si>
  <si>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</si>
  <si>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</si>
  <si>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</si>
  <si>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</si>
  <si>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</si>
  <si>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</si>
  <si>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</si>
  <si>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</si>
  <si>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</si>
  <si>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</si>
  <si>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</si>
  <si>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</si>
  <si>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</si>
  <si>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</si>
  <si>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</si>
  <si>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</si>
  <si>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</si>
  <si>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</si>
  <si>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</si>
  <si>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</si>
  <si>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</si>
  <si>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</si>
  <si>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</si>
  <si>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</si>
  <si>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</si>
  <si>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</si>
  <si>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</si>
  <si>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</si>
  <si>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</si>
  <si>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</si>
  <si>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</si>
  <si>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</si>
  <si>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</si>
  <si>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</si>
  <si>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</si>
  <si>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</si>
  <si>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</si>
  <si>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</si>
  <si>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</si>
  <si>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</si>
  <si>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</si>
  <si>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</si>
  <si>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</si>
  <si>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</si>
  <si>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</si>
  <si>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</si>
  <si>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</si>
  <si>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</si>
  <si>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</si>
  <si>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</si>
  <si>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</si>
  <si>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</si>
  <si>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</si>
  <si>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</si>
  <si>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</si>
  <si>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</si>
  <si>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</si>
  <si>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</si>
  <si>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</si>
  <si>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</si>
  <si>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</si>
  <si>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</si>
  <si>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</si>
  <si>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</si>
  <si>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</si>
  <si>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</si>
  <si>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</si>
  <si>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</si>
  <si>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</si>
  <si>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</si>
  <si>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</si>
  <si>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</si>
  <si>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</si>
  <si>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</si>
  <si>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</si>
  <si>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</si>
  <si>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</si>
  <si>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</si>
  <si>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</si>
  <si>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</si>
  <si>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</si>
  <si>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</si>
  <si>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</si>
  <si>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</si>
  <si>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</si>
  <si>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</si>
  <si>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</si>
  <si>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</si>
  <si>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</si>
  <si>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</si>
  <si>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</si>
  <si>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</si>
  <si>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</si>
  <si>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</si>
  <si>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</si>
  <si>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</si>
  <si>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</si>
  <si>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</si>
  <si>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</si>
  <si>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</si>
  <si>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</si>
  <si>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</si>
  <si>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</si>
  <si>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</si>
  <si>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</si>
  <si>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</si>
  <si>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WOVEN FABRIC</t>
  </si>
  <si>
    <t>M.</t>
    <phoneticPr fontId="14"/>
  </si>
  <si>
    <t>M.</t>
  </si>
  <si>
    <t>KNIT FABRIC</t>
    <phoneticPr fontId="14"/>
  </si>
  <si>
    <t>TOTAL</t>
    <phoneticPr fontId="54"/>
  </si>
  <si>
    <t>長繊維、プリント加工なし</t>
    <rPh sb="0" eb="1">
      <t>ナガ</t>
    </rPh>
    <rPh sb="1" eb="3">
      <t>センイ</t>
    </rPh>
    <phoneticPr fontId="14"/>
  </si>
  <si>
    <t>COUNTRY OF ORIGIN : JAPAN,USA</t>
    <phoneticPr fontId="14"/>
  </si>
  <si>
    <t>KNIT FABRIC</t>
  </si>
  <si>
    <t>短繊維、プリント加工なし</t>
    <rPh sb="0" eb="1">
      <t>タン</t>
    </rPh>
    <rPh sb="1" eb="3">
      <t>センイ</t>
    </rPh>
    <phoneticPr fontId="14"/>
  </si>
  <si>
    <t>c/#WHITE</t>
    <phoneticPr fontId="14"/>
  </si>
  <si>
    <t xml:space="preserve"> SHUNYA CO., LTD.</t>
  </si>
  <si>
    <t>MADE IN JAPAN</t>
  </si>
  <si>
    <t>MADE IN JAPAN</t>
    <phoneticPr fontId="14"/>
  </si>
  <si>
    <t>shell button</t>
    <phoneticPr fontId="14"/>
  </si>
  <si>
    <t>学術名： Tectus maximus</t>
    <rPh sb="0" eb="2">
      <t>ガクジュツメイ</t>
    </rPh>
    <phoneticPr fontId="14"/>
  </si>
  <si>
    <t>shell button 11.5mm</t>
    <phoneticPr fontId="14"/>
  </si>
  <si>
    <t>027SH078700</t>
    <phoneticPr fontId="14"/>
  </si>
  <si>
    <t>丸編み　ボアパイル編み 後染め</t>
    <rPh sb="0" eb="1">
      <t>マルア</t>
    </rPh>
    <rPh sb="8" eb="9">
      <t>アミ</t>
    </rPh>
    <rPh sb="12" eb="14">
      <t>アトゾ</t>
    </rPh>
    <phoneticPr fontId="14"/>
  </si>
  <si>
    <t>長繊維 プリント加工なし</t>
    <rPh sb="0" eb="2">
      <t>チョウセンイ</t>
    </rPh>
    <rPh sb="7" eb="9">
      <t>カコウ</t>
    </rPh>
    <phoneticPr fontId="14"/>
  </si>
  <si>
    <t>c/#010 BLACK</t>
    <phoneticPr fontId="14"/>
  </si>
  <si>
    <t>c/#100 WHITE</t>
    <phoneticPr fontId="14"/>
  </si>
  <si>
    <t>STYLE:26A-JK01(25SY-51)</t>
    <phoneticPr fontId="14"/>
  </si>
  <si>
    <t>ACRYLIC55% POLYESTER28% WOOL17%</t>
    <phoneticPr fontId="14"/>
  </si>
  <si>
    <r>
      <t>WIDTH:150CM (420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</si>
  <si>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入庫NO.22080234</t>
    <rPh sb="0" eb="2">
      <t>ニュウコ</t>
    </rPh>
    <phoneticPr fontId="14"/>
  </si>
  <si>
    <t>4/6</t>
    <phoneticPr fontId="14"/>
  </si>
  <si>
    <t>1</t>
    <phoneticPr fontId="14"/>
  </si>
  <si>
    <t>7070</t>
    <phoneticPr fontId="14"/>
  </si>
  <si>
    <t>c/#510 BLACK</t>
    <phoneticPr fontId="14"/>
  </si>
  <si>
    <t>c/#213 INDIGO</t>
    <phoneticPr fontId="14"/>
  </si>
  <si>
    <t>綾織　先染め　デニム</t>
    <rPh sb="0" eb="1">
      <t>アヤ</t>
    </rPh>
    <rPh sb="1" eb="2">
      <t>オリ</t>
    </rPh>
    <rPh sb="3" eb="4">
      <t>サキ</t>
    </rPh>
    <phoneticPr fontId="14"/>
  </si>
  <si>
    <t>STYLE:26A-JK02(25SY-53),26A-PT03(25SY-56),26A-PT04(25SY-56)</t>
    <phoneticPr fontId="14"/>
  </si>
  <si>
    <t>COTTON100%</t>
  </si>
  <si>
    <t>WIDTH:150CM (440ｇ/㎡ )</t>
  </si>
  <si>
    <t>入庫NO.22080300</t>
    <rPh sb="0" eb="2">
      <t>ニュウコ</t>
    </rPh>
    <phoneticPr fontId="14"/>
  </si>
  <si>
    <t>入庫NO.22080568</t>
    <rPh sb="0" eb="2">
      <t>ニュウコ</t>
    </rPh>
    <phoneticPr fontId="14"/>
  </si>
  <si>
    <t>4/8</t>
    <phoneticPr fontId="14"/>
  </si>
  <si>
    <t>4/20</t>
    <phoneticPr fontId="14"/>
  </si>
  <si>
    <t>2-7</t>
    <phoneticPr fontId="14"/>
  </si>
  <si>
    <t>BK-966</t>
    <phoneticPr fontId="14"/>
  </si>
  <si>
    <t>丸編み ダブルフェイス　後染め</t>
    <rPh sb="0" eb="1">
      <t>アウラケ</t>
    </rPh>
    <rPh sb="12" eb="14">
      <t>アトゾ</t>
    </rPh>
    <phoneticPr fontId="14"/>
  </si>
  <si>
    <t>c/#K-10 BROWN</t>
    <phoneticPr fontId="14"/>
  </si>
  <si>
    <t>c/#K-17 NAVY</t>
    <phoneticPr fontId="14"/>
  </si>
  <si>
    <t>c/#K-18 BLACK</t>
    <phoneticPr fontId="14"/>
  </si>
  <si>
    <t>STYLE:26A-JK03(25SY-48),26A-PT01(25SY-57),26A-02(25SY-49)</t>
    <phoneticPr fontId="14"/>
  </si>
  <si>
    <t>POLYESTER 100%</t>
  </si>
  <si>
    <t>POLYESTER 100%</t>
    <phoneticPr fontId="14"/>
  </si>
  <si>
    <r>
      <t>WIDTH:165CM (435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</si>
  <si>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F633</t>
    <phoneticPr fontId="14"/>
  </si>
  <si>
    <t>丸編み フライス 後染め</t>
    <rPh sb="0" eb="1">
      <t>アウラケ</t>
    </rPh>
    <rPh sb="9" eb="11">
      <t>アトソ</t>
    </rPh>
    <phoneticPr fontId="14"/>
  </si>
  <si>
    <t>c/#R-10 BROWN</t>
    <phoneticPr fontId="14"/>
  </si>
  <si>
    <t>c/#R-17 NAVY</t>
    <phoneticPr fontId="14"/>
  </si>
  <si>
    <t>c/#R-18 BLACK</t>
    <phoneticPr fontId="14"/>
  </si>
  <si>
    <t>STYLE:26A-JK03(25SY-48)</t>
    <phoneticPr fontId="14"/>
  </si>
  <si>
    <r>
      <t>WIDTH:110CM (365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</si>
  <si>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入庫NO.22080323</t>
    <rPh sb="0" eb="2">
      <t>ニュウコ</t>
    </rPh>
    <phoneticPr fontId="14"/>
  </si>
  <si>
    <t>4/9</t>
    <phoneticPr fontId="14"/>
  </si>
  <si>
    <t>RMD3401</t>
    <phoneticPr fontId="14"/>
  </si>
  <si>
    <t>綾織　ツイル先染めチェック 先染め</t>
    <rPh sb="0" eb="1">
      <t>アヤ</t>
    </rPh>
    <rPh sb="1" eb="2">
      <t>オリ</t>
    </rPh>
    <rPh sb="6" eb="7">
      <t>サキ</t>
    </rPh>
    <rPh sb="14" eb="16">
      <t>サキソ</t>
    </rPh>
    <phoneticPr fontId="14"/>
  </si>
  <si>
    <t>c/#02 BLACK</t>
    <phoneticPr fontId="14"/>
  </si>
  <si>
    <r>
      <t>WIDTH:110CM (212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</si>
  <si>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TKO-4960</t>
    <phoneticPr fontId="14"/>
  </si>
  <si>
    <t>綾織　ツイル 先染め</t>
    <rPh sb="0" eb="1">
      <t>アヤ</t>
    </rPh>
    <rPh sb="1" eb="2">
      <t>オリ</t>
    </rPh>
    <rPh sb="7" eb="9">
      <t>サキソ</t>
    </rPh>
    <phoneticPr fontId="14"/>
  </si>
  <si>
    <t>c/#3 PINK</t>
    <phoneticPr fontId="14"/>
  </si>
  <si>
    <t>c/#2 BLUE</t>
    <phoneticPr fontId="14"/>
  </si>
  <si>
    <t>STYLE:26A-SH01(26SY-07)</t>
    <phoneticPr fontId="14"/>
  </si>
  <si>
    <r>
      <t>WIDTH:112CM (115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</si>
  <si>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入庫NO.22080348</t>
    <rPh sb="0" eb="2">
      <t>ニュウコ</t>
    </rPh>
    <phoneticPr fontId="14"/>
  </si>
  <si>
    <t>19-20</t>
    <phoneticPr fontId="14"/>
  </si>
  <si>
    <t>21</t>
    <phoneticPr fontId="14"/>
  </si>
  <si>
    <t>SB14148OG</t>
    <phoneticPr fontId="14"/>
  </si>
  <si>
    <t>パイル織　先染め　コーデュロイ</t>
    <rPh sb="3" eb="4">
      <t>オリ</t>
    </rPh>
    <rPh sb="5" eb="6">
      <t>サキ</t>
    </rPh>
    <phoneticPr fontId="14"/>
  </si>
  <si>
    <t>c/#7 BROWN</t>
    <phoneticPr fontId="14"/>
  </si>
  <si>
    <r>
      <t>WIDTH:150CM (272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</si>
  <si>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入庫NO.22080353</t>
    <rPh sb="0" eb="2">
      <t>ニュウコ</t>
    </rPh>
    <phoneticPr fontId="14"/>
  </si>
  <si>
    <t>PRESTIGE WOVEN name</t>
    <phoneticPr fontId="14"/>
  </si>
  <si>
    <t>PRESTIGE WOVEN name</t>
  </si>
  <si>
    <t>men's jersey pants  SAMPLE CLOTHES</t>
  </si>
  <si>
    <t>men's jersey pants  SAMPLE CLOTHES</t>
    <phoneticPr fontId="14"/>
  </si>
  <si>
    <t>men's jersey bootcut pants  SAMPLE CLOTHES</t>
  </si>
  <si>
    <t>men's jersey bootcut pants  SAMPLE CLOTHES</t>
    <phoneticPr fontId="14"/>
  </si>
  <si>
    <t>men's cashmere T-shirt  SAMPLE CLOTHES</t>
  </si>
  <si>
    <t>men's cashmere T-shirt  SAMPLE CLOTHES</t>
    <phoneticPr fontId="14"/>
  </si>
  <si>
    <t>men's cashmere jacket  SAMPLE CLOTHES</t>
  </si>
  <si>
    <t>men's cashmere jacket  SAMPLE CLOTHES</t>
    <phoneticPr fontId="14"/>
  </si>
  <si>
    <t>26A-PT02 sample</t>
  </si>
  <si>
    <t>26A-PT02 sample</t>
    <phoneticPr fontId="14"/>
  </si>
  <si>
    <t>26A-PT01 sample</t>
  </si>
  <si>
    <t>26A-PT01 sample</t>
    <phoneticPr fontId="14"/>
  </si>
  <si>
    <t>25SY-15(23sy-AC04) sample</t>
  </si>
  <si>
    <t>25SY-15(23sy-AC04) sample</t>
    <phoneticPr fontId="14"/>
  </si>
  <si>
    <t>25SY-27(23sy-AC05) sample</t>
  </si>
  <si>
    <t>25SY-27(23sy-AC05) sample</t>
    <phoneticPr fontId="14"/>
  </si>
  <si>
    <t>PRESTIGE WOVEN quality name</t>
    <phoneticPr fontId="14"/>
  </si>
  <si>
    <t>黒蝶</t>
    <rPh sb="0" eb="1">
      <t>クロチョウ</t>
    </rPh>
    <phoneticPr fontId="14"/>
  </si>
  <si>
    <t>SB-1005</t>
    <phoneticPr fontId="14"/>
  </si>
  <si>
    <t>STYLE:26A-SH02(26SY-08)</t>
    <phoneticPr fontId="14"/>
  </si>
  <si>
    <t>c/#BLACK</t>
    <phoneticPr fontId="14"/>
  </si>
  <si>
    <t xml:space="preserve">1884-2694 NS RD-IW </t>
    <phoneticPr fontId="14"/>
  </si>
  <si>
    <t>Tack button</t>
    <phoneticPr fontId="14"/>
  </si>
  <si>
    <t>素材：真鍮</t>
    <rPh sb="0" eb="1">
      <t>ソザイ</t>
    </rPh>
    <rPh sb="2" eb="4">
      <t>シンチュウ</t>
    </rPh>
    <phoneticPr fontId="14"/>
  </si>
  <si>
    <t>c/#SNR SILVER</t>
    <phoneticPr fontId="14"/>
  </si>
  <si>
    <t>STYLE:26A-JK02(25SY-53)</t>
    <phoneticPr fontId="14"/>
  </si>
  <si>
    <t>shell button 15mm</t>
    <phoneticPr fontId="14"/>
  </si>
  <si>
    <t>STYLE:26A-JK01,26A-JK02,26A-JK03,26A-PT01,26A-PT02,26A-PT03,26A-PT04,26A-SH02</t>
    <phoneticPr fontId="14"/>
  </si>
  <si>
    <t>22</t>
    <phoneticPr fontId="14"/>
  </si>
  <si>
    <t>佐川：4408-9526-8951</t>
    <rPh sb="0" eb="2">
      <t>サガワ</t>
    </rPh>
    <phoneticPr fontId="14"/>
  </si>
  <si>
    <t>4/24</t>
    <phoneticPr fontId="14"/>
  </si>
  <si>
    <t>SUN FERON GT</t>
    <phoneticPr fontId="14"/>
  </si>
  <si>
    <t>EMBLEM</t>
    <phoneticPr fontId="14"/>
  </si>
  <si>
    <t>素材：ポリエステル100%</t>
    <rPh sb="0" eb="1">
      <t>ソザイ</t>
    </rPh>
    <phoneticPr fontId="14"/>
  </si>
  <si>
    <t>STYLE:26A-PT03(25SY-56)</t>
    <phoneticPr fontId="14"/>
  </si>
  <si>
    <t>WAPPEN EMBLEM</t>
    <phoneticPr fontId="14"/>
  </si>
  <si>
    <t>22CARTONS</t>
    <phoneticPr fontId="14"/>
  </si>
  <si>
    <t>ITEM</t>
    <phoneticPr fontId="14"/>
  </si>
  <si>
    <t>NAME</t>
    <phoneticPr fontId="14"/>
  </si>
  <si>
    <t>color</t>
    <phoneticPr fontId="14"/>
  </si>
  <si>
    <t>lady's or men's</t>
    <phoneticPr fontId="14"/>
  </si>
  <si>
    <t>WOVEN or  KNIT</t>
    <phoneticPr fontId="14"/>
  </si>
  <si>
    <t>picture</t>
    <phoneticPr fontId="14"/>
  </si>
  <si>
    <t>Composition</t>
    <phoneticPr fontId="14"/>
  </si>
  <si>
    <t>packingNo.</t>
    <phoneticPr fontId="14"/>
  </si>
  <si>
    <t>men's</t>
    <phoneticPr fontId="14"/>
  </si>
  <si>
    <t>C/#NAVY</t>
    <phoneticPr fontId="14"/>
  </si>
  <si>
    <t>c/#BROWN</t>
    <phoneticPr fontId="14"/>
  </si>
  <si>
    <t>c/#PINK</t>
    <phoneticPr fontId="14"/>
  </si>
  <si>
    <t>c/#NAVY</t>
    <phoneticPr fontId="14"/>
  </si>
  <si>
    <t>CASHMERE 100%</t>
    <phoneticPr fontId="14"/>
  </si>
  <si>
    <t>8-18</t>
  </si>
  <si>
    <t>8-18</t>
    <phoneticPr fontId="14"/>
  </si>
  <si>
    <t xml:space="preserve"> C/NO. 1-22</t>
    <phoneticPr fontId="14"/>
  </si>
  <si>
    <t xml:space="preserve"> SY-8100424VT-DD-01</t>
    <phoneticPr fontId="14"/>
  </si>
  <si>
    <t>Apr, 24 2026</t>
    <phoneticPr fontId="14"/>
  </si>
  <si>
    <t>919.1M. 1734PCS.</t>
    <phoneticPr fontId="14"/>
  </si>
  <si>
    <t>22PACKAGES</t>
    <phoneticPr fontId="14"/>
  </si>
  <si>
    <t>Tack button 15mm</t>
    <phoneticPr fontId="14"/>
  </si>
  <si>
    <r>
      <t>WIDTH:165CM (270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</si>
</sst>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69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sz val="6"/>
      <name val="ＭＳ Ｐゴシック"/>
      <family val="2"/>
      <charset val="128"/>
      <scheme val="minor"/>
    </font>
    <font>
      <b/>
      <sz val="10"/>
      <color theme="1"/>
      <name val="ＭＳ ゴシック"/>
      <family val="3"/>
      <charset val="128"/>
    </font>
    <font>
      <b/>
      <i/>
      <sz val="10"/>
      <color theme="1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0070C0"/>
      <name val="Century Gothic"/>
      <family val="2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28"/>
      <name val="Century Gothic"/>
      <family val="2"/>
    </font>
    <font>
      <b/>
      <sz val="9"/>
      <color rgb="FF0070C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34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49" fontId="32" fillId="0" borderId="10" xfId="0" quotePrefix="1" applyNumberFormat="1" applyFont="1" applyBorder="1" applyAlignment="1">
      <alignment horizontal="left" vertical="center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17" fillId="0" borderId="50" xfId="0" applyFont="1" applyBorder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49" fontId="24" fillId="0" borderId="10" xfId="0" quotePrefix="1" applyNumberFormat="1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5" fillId="0" borderId="24" xfId="0" applyFont="1" applyBorder="1">
      <alignment vertical="center"/>
    </xf>
    <xf numFmtId="0" fontId="15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center" vertical="center"/>
    </xf>
    <xf numFmtId="49" fontId="25" fillId="3" borderId="31" xfId="0" applyNumberFormat="1" applyFont="1" applyFill="1" applyBorder="1">
      <alignment vertical="center"/>
    </xf>
    <xf numFmtId="49" fontId="25" fillId="3" borderId="29" xfId="0" applyNumberFormat="1" applyFont="1" applyFill="1" applyBorder="1">
      <alignment vertical="center"/>
    </xf>
    <xf numFmtId="49" fontId="33" fillId="0" borderId="24" xfId="0" applyNumberFormat="1" applyFont="1" applyBorder="1">
      <alignment vertical="center"/>
    </xf>
    <xf numFmtId="49" fontId="33" fillId="0" borderId="4" xfId="0" applyNumberFormat="1" applyFont="1" applyBorder="1">
      <alignment vertical="center"/>
    </xf>
    <xf numFmtId="49" fontId="33" fillId="0" borderId="12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56" fontId="15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7" fillId="0" borderId="40" xfId="0" applyFont="1" applyBorder="1">
      <alignment vertical="center"/>
    </xf>
    <xf numFmtId="0" fontId="0" fillId="0" borderId="52" xfId="0" applyBorder="1">
      <alignment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56" fillId="0" borderId="2" xfId="0" applyFont="1" applyBorder="1" applyAlignment="1">
      <alignment horizontal="center"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49" fontId="50" fillId="3" borderId="0" xfId="0" applyNumberFormat="1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54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4" xfId="0" applyFont="1" applyBorder="1">
      <alignment vertical="center"/>
    </xf>
    <xf numFmtId="176" fontId="12" fillId="0" borderId="54" xfId="0" applyNumberFormat="1" applyFont="1" applyBorder="1" applyAlignment="1">
      <alignment horizontal="right" vertical="center"/>
    </xf>
    <xf numFmtId="177" fontId="12" fillId="0" borderId="51" xfId="0" applyNumberFormat="1" applyFont="1" applyBorder="1">
      <alignment vertical="center"/>
    </xf>
    <xf numFmtId="178" fontId="24" fillId="0" borderId="55" xfId="0" applyNumberFormat="1" applyFont="1" applyBorder="1" applyAlignment="1">
      <alignment horizontal="right" vertical="center"/>
    </xf>
    <xf numFmtId="177" fontId="12" fillId="0" borderId="55" xfId="0" applyNumberFormat="1" applyFont="1" applyBorder="1" applyAlignment="1">
      <alignment horizontal="right" vertical="center"/>
    </xf>
    <xf numFmtId="0" fontId="15" fillId="0" borderId="55" xfId="0" applyFont="1" applyBorder="1">
      <alignment vertical="center"/>
    </xf>
    <xf numFmtId="0" fontId="12" fillId="0" borderId="55" xfId="0" applyFont="1" applyBorder="1" applyAlignment="1">
      <alignment horizontal="center" vertical="center"/>
    </xf>
    <xf numFmtId="49" fontId="33" fillId="0" borderId="55" xfId="0" applyNumberFormat="1" applyFont="1" applyBorder="1">
      <alignment vertic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1" fontId="12" fillId="0" borderId="55" xfId="0" applyNumberFormat="1" applyFont="1" applyBorder="1" applyAlignment="1">
      <alignment horizontal="center" vertical="center"/>
    </xf>
    <xf numFmtId="0" fontId="12" fillId="0" borderId="56" xfId="0" applyFont="1" applyBorder="1">
      <alignment vertical="center"/>
    </xf>
    <xf numFmtId="49" fontId="24" fillId="0" borderId="55" xfId="0" quotePrefix="1" applyNumberFormat="1" applyFont="1" applyBorder="1" applyAlignment="1">
      <alignment horizontal="left" vertical="center"/>
    </xf>
    <xf numFmtId="179" fontId="24" fillId="0" borderId="55" xfId="0" applyNumberFormat="1" applyFont="1" applyBorder="1" applyAlignment="1">
      <alignment vertical="center" shrinkToFit="1"/>
    </xf>
    <xf numFmtId="179" fontId="24" fillId="0" borderId="12" xfId="0" applyNumberFormat="1" applyFont="1" applyBorder="1" applyAlignment="1">
      <alignment vertical="center" shrinkToFit="1"/>
    </xf>
    <xf numFmtId="49" fontId="25" fillId="0" borderId="36" xfId="0" applyNumberFormat="1" applyFont="1" applyBorder="1">
      <alignment vertical="center"/>
    </xf>
    <xf numFmtId="1" fontId="24" fillId="0" borderId="55" xfId="2" applyNumberFormat="1" applyFont="1" applyFill="1" applyBorder="1" applyAlignment="1">
      <alignment horizontal="left" vertical="center"/>
    </xf>
    <xf numFmtId="0" fontId="57" fillId="5" borderId="5" xfId="0" applyFont="1" applyFill="1" applyBorder="1" applyAlignment="1">
      <alignment horizontal="left" vertical="center"/>
    </xf>
    <xf numFmtId="49" fontId="12" fillId="0" borderId="5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right" vertical="center"/>
    </xf>
    <xf numFmtId="49" fontId="58" fillId="6" borderId="5" xfId="0" quotePrefix="1" applyNumberFormat="1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179" fontId="12" fillId="0" borderId="5" xfId="0" applyNumberFormat="1" applyFont="1" applyBorder="1" applyAlignment="1">
      <alignment vertical="center" shrinkToFit="1"/>
    </xf>
    <xf numFmtId="179" fontId="12" fillId="0" borderId="5" xfId="0" applyNumberFormat="1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right" vertical="center"/>
    </xf>
    <xf numFmtId="0" fontId="49" fillId="0" borderId="10" xfId="0" applyFont="1" applyBorder="1">
      <alignment vertical="center"/>
    </xf>
    <xf numFmtId="0" fontId="31" fillId="6" borderId="5" xfId="0" applyFont="1" applyFill="1" applyBorder="1" applyAlignment="1">
      <alignment horizontal="left" vertical="center"/>
    </xf>
    <xf numFmtId="49" fontId="24" fillId="6" borderId="20" xfId="0" quotePrefix="1" applyNumberFormat="1" applyFont="1" applyFill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/>
    </xf>
    <xf numFmtId="179" fontId="12" fillId="0" borderId="20" xfId="0" applyNumberFormat="1" applyFont="1" applyBorder="1" applyAlignment="1">
      <alignment vertical="center" shrinkToFit="1"/>
    </xf>
    <xf numFmtId="179" fontId="12" fillId="0" borderId="20" xfId="0" applyNumberFormat="1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right" vertical="center"/>
    </xf>
    <xf numFmtId="0" fontId="49" fillId="0" borderId="11" xfId="0" applyFont="1" applyBorder="1">
      <alignment vertical="center"/>
    </xf>
    <xf numFmtId="0" fontId="31" fillId="7" borderId="5" xfId="0" applyFont="1" applyFill="1" applyBorder="1" applyAlignment="1">
      <alignment horizontal="left" vertical="center"/>
    </xf>
    <xf numFmtId="49" fontId="24" fillId="7" borderId="8" xfId="0" applyNumberFormat="1" applyFont="1" applyFill="1" applyBorder="1" applyAlignment="1">
      <alignment horizontal="left" vertical="center"/>
    </xf>
    <xf numFmtId="49" fontId="12" fillId="7" borderId="10" xfId="0" applyNumberFormat="1" applyFont="1" applyFill="1" applyBorder="1" applyAlignment="1">
      <alignment horizontal="left" vertical="center"/>
    </xf>
    <xf numFmtId="49" fontId="32" fillId="7" borderId="10" xfId="0" quotePrefix="1" applyNumberFormat="1" applyFont="1" applyFill="1" applyBorder="1" applyAlignment="1">
      <alignment horizontal="left" vertical="center"/>
    </xf>
    <xf numFmtId="49" fontId="29" fillId="7" borderId="11" xfId="0" quotePrefix="1" applyNumberFormat="1" applyFont="1" applyFill="1" applyBorder="1" applyAlignment="1">
      <alignment horizontal="left" vertical="center"/>
    </xf>
    <xf numFmtId="49" fontId="29" fillId="3" borderId="12" xfId="0" quotePrefix="1" applyNumberFormat="1" applyFont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left" vertical="center"/>
    </xf>
    <xf numFmtId="179" fontId="24" fillId="3" borderId="12" xfId="0" applyNumberFormat="1" applyFont="1" applyFill="1" applyBorder="1" applyAlignment="1">
      <alignment vertical="center" shrinkToFit="1"/>
    </xf>
    <xf numFmtId="179" fontId="24" fillId="3" borderId="12" xfId="0" applyNumberFormat="1" applyFont="1" applyFill="1" applyBorder="1" applyAlignment="1">
      <alignment horizontal="center" vertical="center" shrinkToFit="1"/>
    </xf>
    <xf numFmtId="178" fontId="24" fillId="3" borderId="12" xfId="0" applyNumberFormat="1" applyFont="1" applyFill="1" applyBorder="1" applyAlignment="1">
      <alignment horizontal="right" vertical="center"/>
    </xf>
    <xf numFmtId="177" fontId="12" fillId="3" borderId="12" xfId="0" applyNumberFormat="1" applyFont="1" applyFill="1" applyBorder="1" applyAlignment="1">
      <alignment horizontal="right" vertical="center"/>
    </xf>
    <xf numFmtId="49" fontId="32" fillId="7" borderId="11" xfId="0" quotePrefix="1" applyNumberFormat="1" applyFont="1" applyFill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0" fontId="15" fillId="3" borderId="55" xfId="0" applyFont="1" applyFill="1" applyBorder="1">
      <alignment vertical="center"/>
    </xf>
    <xf numFmtId="0" fontId="31" fillId="3" borderId="5" xfId="0" applyFont="1" applyFill="1" applyBorder="1" applyAlignment="1">
      <alignment horizontal="left" vertical="center"/>
    </xf>
    <xf numFmtId="49" fontId="59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0" fillId="0" borderId="0" xfId="0" applyFont="1">
      <alignment vertical="center"/>
    </xf>
    <xf numFmtId="0" fontId="60" fillId="0" borderId="0" xfId="0" applyFont="1" applyAlignment="1">
      <alignment vertical="center" wrapText="1"/>
    </xf>
    <xf numFmtId="0" fontId="62" fillId="0" borderId="0" xfId="0" applyFont="1" applyAlignment="1">
      <alignment horizontal="center" vertical="center"/>
    </xf>
    <xf numFmtId="49" fontId="63" fillId="0" borderId="0" xfId="0" applyNumberFormat="1" applyFont="1" applyAlignment="1">
      <alignment horizontal="center" vertical="center"/>
    </xf>
    <xf numFmtId="49" fontId="63" fillId="0" borderId="6" xfId="0" applyNumberFormat="1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3" borderId="58" xfId="0" applyFont="1" applyFill="1" applyBorder="1" applyAlignment="1">
      <alignment horizontal="center" vertical="center"/>
    </xf>
    <xf numFmtId="49" fontId="66" fillId="0" borderId="5" xfId="0" quotePrefix="1" applyNumberFormat="1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0" fontId="66" fillId="0" borderId="5" xfId="0" quotePrefix="1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 wrapText="1"/>
    </xf>
    <xf numFmtId="0" fontId="67" fillId="0" borderId="56" xfId="0" applyFont="1" applyBorder="1">
      <alignment vertical="center"/>
    </xf>
    <xf numFmtId="0" fontId="0" fillId="0" borderId="59" xfId="0" applyBorder="1">
      <alignment vertical="center"/>
    </xf>
    <xf numFmtId="0" fontId="57" fillId="3" borderId="5" xfId="0" applyFont="1" applyFill="1" applyBorder="1" applyAlignment="1">
      <alignment horizontal="left" vertical="center"/>
    </xf>
    <xf numFmtId="49" fontId="29" fillId="0" borderId="12" xfId="0" quotePrefix="1" applyNumberFormat="1" applyFont="1" applyBorder="1" applyAlignment="1">
      <alignment horizontal="left" vertical="center"/>
    </xf>
    <xf numFmtId="49" fontId="68" fillId="6" borderId="5" xfId="0" quotePrefix="1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49" fontId="25" fillId="7" borderId="23" xfId="0" applyNumberFormat="1" applyFont="1" applyFill="1" applyBorder="1" applyAlignment="1">
      <alignment horizontal="center" vertical="center" wrapText="1"/>
    </xf>
    <xf numFmtId="49" fontId="25" fillId="7" borderId="7" xfId="0" applyNumberFormat="1" applyFont="1" applyFill="1" applyBorder="1" applyAlignment="1">
      <alignment horizontal="center" vertical="center" wrapText="1"/>
    </xf>
    <xf numFmtId="49" fontId="25" fillId="7" borderId="57" xfId="0" applyNumberFormat="1" applyFont="1" applyFill="1" applyBorder="1" applyAlignment="1">
      <alignment horizontal="center" vertical="center" wrapText="1"/>
    </xf>
    <xf numFmtId="0" fontId="67" fillId="0" borderId="35" xfId="0" applyFont="1" applyBorder="1" applyAlignment="1">
      <alignment horizontal="center" vertical="center"/>
    </xf>
    <xf numFmtId="0" fontId="67" fillId="0" borderId="56" xfId="0" applyFont="1" applyBorder="1" applyAlignment="1">
      <alignment horizontal="center" vertical="center"/>
    </xf>
    <xf numFmtId="0" fontId="67" fillId="0" borderId="32" xfId="0" applyFont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</cellXfs>
  <cellStyles count="15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36</xdr:row>
      <xdr:rowOff>48895</xdr:rowOff>
    </xdr:from>
    <xdr:to>
      <xdr:col>14</xdr:col>
      <xdr:colOff>691977</xdr:colOff>
      <xdr:row>44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1100667</xdr:colOff>
      <xdr:row>3</xdr:row>
      <xdr:rowOff>105833</xdr:rowOff>
    </xdr:from>
    <xdr:to>
      <xdr:col>6</xdr:col>
      <xdr:colOff>3556001</xdr:colOff>
      <xdr:row>3</xdr:row>
      <xdr:rowOff>2325164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DB693C8-7044-8CFF-8C3E-8090A7ADB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4500" y="4106333"/>
          <a:ext cx="2455334" cy="2219331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889000</xdr:colOff>
      <xdr:row>2</xdr:row>
      <xdr:rowOff>148166</xdr:rowOff>
    </xdr:from>
    <xdr:to>
      <xdr:col>6</xdr:col>
      <xdr:colOff>3534834</xdr:colOff>
      <xdr:row>2</xdr:row>
      <xdr:rowOff>2224057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CDF82C0-7699-B21B-007E-80392D2C2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82833" y="1672166"/>
          <a:ext cx="2645834" cy="2075891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254001</xdr:colOff>
      <xdr:row>4</xdr:row>
      <xdr:rowOff>465667</xdr:rowOff>
    </xdr:from>
    <xdr:to>
      <xdr:col>6</xdr:col>
      <xdr:colOff>4302169</xdr:colOff>
      <xdr:row>4</xdr:row>
      <xdr:rowOff>2032000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913C5F6-DE8D-35F0-CEC1-0FD8DC9D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47834" y="6942667"/>
          <a:ext cx="4048168" cy="1566333"/>
        </a:xfrm>
        <a:prstGeom prst="rect">
          <a:avLst/>
        </a:prstGeom>
      </xdr:spPr>
    </xdr:pic>
    <xdr:clientData/>
  </xdr:twoCellAnchor>
  <xdr:twoCellAnchor editAs="oneCell">
    <xdr:from>
      <xdr:col>6</xdr:col>
      <xdr:colOff>338666</xdr:colOff>
      <xdr:row>5</xdr:row>
      <xdr:rowOff>127000</xdr:rowOff>
    </xdr:from>
    <xdr:to>
      <xdr:col>6</xdr:col>
      <xdr:colOff>4381500</xdr:colOff>
      <xdr:row>5</xdr:row>
      <xdr:rowOff>2173656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A666DCA-CB61-27F4-BB42-36AEBB471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32499" y="9080500"/>
          <a:ext cx="4042834" cy="20466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3" workbookViewId="0">
      <selection activeCell="C82" sqref="C82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100</v>
      </c>
    </row>
    <row r="10" spans="1:3" s="8" customFormat="1">
      <c r="A10" s="7">
        <f t="shared" si="0"/>
        <v>10</v>
      </c>
      <c r="B10" s="9" t="s">
        <v>77</v>
      </c>
      <c r="C10" s="4" t="s">
        <v>142</v>
      </c>
    </row>
    <row r="11" spans="1:3" s="8" customFormat="1">
      <c r="A11" s="7">
        <f t="shared" si="0"/>
        <v>11</v>
      </c>
      <c r="B11" s="9" t="s">
        <v>78</v>
      </c>
      <c r="C11" s="2" t="s">
        <v>101</v>
      </c>
    </row>
    <row r="12" spans="1:3" s="8" customFormat="1">
      <c r="A12" s="7">
        <f t="shared" si="0"/>
        <v>12</v>
      </c>
      <c r="B12" s="9" t="s">
        <v>79</v>
      </c>
      <c r="C12" s="2" t="s">
        <v>102</v>
      </c>
    </row>
    <row r="13" spans="1:3" s="8" customFormat="1">
      <c r="A13" s="7">
        <f t="shared" si="0"/>
        <v>13</v>
      </c>
      <c r="B13" s="9" t="s">
        <v>9</v>
      </c>
      <c r="C13" s="3" t="s">
        <v>105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277</v>
      </c>
    </row>
    <row r="26" spans="1:3">
      <c r="A26" s="7">
        <f t="shared" si="0"/>
        <v>26</v>
      </c>
      <c r="B26" s="9" t="s">
        <v>21</v>
      </c>
      <c r="C26" s="26" t="s">
        <v>276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SY-8100424VT-DD-01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104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278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invoice!O31</f>
        <v>1184633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SY-8100424VT-DD-01</v>
      </c>
    </row>
    <row r="50" spans="1:3">
      <c r="A50" s="7">
        <f t="shared" si="0"/>
        <v>50</v>
      </c>
      <c r="B50" s="9" t="s">
        <v>45</v>
      </c>
      <c r="C50" s="4" t="s">
        <v>100</v>
      </c>
    </row>
    <row r="51" spans="1:3">
      <c r="A51" s="7">
        <f t="shared" si="0"/>
        <v>51</v>
      </c>
      <c r="B51" s="9" t="s">
        <v>46</v>
      </c>
      <c r="C51" s="4" t="s">
        <v>142</v>
      </c>
    </row>
    <row r="52" spans="1:3">
      <c r="A52" s="7">
        <f t="shared" si="0"/>
        <v>52</v>
      </c>
      <c r="B52" s="9" t="s">
        <v>47</v>
      </c>
      <c r="C52" s="2" t="s">
        <v>101</v>
      </c>
    </row>
    <row r="53" spans="1:3">
      <c r="A53" s="7">
        <f t="shared" si="0"/>
        <v>53</v>
      </c>
      <c r="B53" s="9" t="s">
        <v>48</v>
      </c>
      <c r="C53" s="2" t="s">
        <v>102</v>
      </c>
    </row>
    <row r="54" spans="1:3">
      <c r="A54" s="7">
        <f t="shared" si="0"/>
        <v>54</v>
      </c>
      <c r="B54" s="9" t="s">
        <v>49</v>
      </c>
      <c r="C54" s="3" t="s">
        <v>103</v>
      </c>
    </row>
    <row r="55" spans="1:3">
      <c r="A55" s="7">
        <f t="shared" si="0"/>
        <v>55</v>
      </c>
      <c r="B55" s="28" t="s">
        <v>50</v>
      </c>
      <c r="C55" s="26" t="s">
        <v>279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151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29" t="str">
        <f>C25</f>
        <v>Apr, 24 2026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1" customFormat="1" ht="32.25" customHeight="1">
      <c r="H1" s="92"/>
    </row>
    <row r="2" spans="1:15" s="91" customFormat="1" ht="32.5">
      <c r="A2" s="91" t="str">
        <f>'shipper master'!C26</f>
        <v xml:space="preserve"> SY-8100424VT-DD-01</v>
      </c>
      <c r="H2" s="92"/>
      <c r="I2" s="91" t="str">
        <f>'shipper master'!C26</f>
        <v xml:space="preserve"> SY-8100424VT-DD-01</v>
      </c>
    </row>
    <row r="3" spans="1:15" s="91" customFormat="1" ht="32.5">
      <c r="A3" s="91" t="str">
        <f>'[1]shipper master'!C50</f>
        <v xml:space="preserve">VIVAN GARMENTS VIET NAM </v>
      </c>
      <c r="H3" s="92"/>
      <c r="I3" s="91" t="str">
        <f>'[1]shipper master'!C50</f>
        <v xml:space="preserve">VIVAN GARMENTS VIET NAM </v>
      </c>
    </row>
    <row r="4" spans="1:15" s="91" customFormat="1" ht="32.5">
      <c r="A4" s="91" t="str">
        <f>'[1]shipper master'!C51</f>
        <v xml:space="preserve"> COMPANY LIMITED</v>
      </c>
      <c r="H4" s="92"/>
      <c r="I4" s="91" t="str">
        <f>'[1]shipper master'!C51</f>
        <v xml:space="preserve"> COMPANY LIMITED</v>
      </c>
    </row>
    <row r="5" spans="1:15" s="91" customFormat="1" ht="32.5">
      <c r="A5" s="91" t="str">
        <f>'[1]shipper master'!C52</f>
        <v xml:space="preserve"> HOCHIMINH-CITY, VIETNAM</v>
      </c>
      <c r="H5" s="92"/>
      <c r="I5" s="91" t="str">
        <f>'[1]shipper master'!C52</f>
        <v xml:space="preserve"> HOCHIMINH-CITY, VIETNAM</v>
      </c>
    </row>
    <row r="6" spans="1:15" s="91" customFormat="1" ht="32.5">
      <c r="A6" s="91" t="s">
        <v>108</v>
      </c>
      <c r="C6" s="91">
        <v>1</v>
      </c>
      <c r="D6" s="93"/>
      <c r="H6" s="92"/>
      <c r="I6" s="91" t="s">
        <v>108</v>
      </c>
      <c r="K6" s="91">
        <v>2</v>
      </c>
    </row>
    <row r="7" spans="1:15" s="91" customFormat="1" ht="32.25" customHeight="1">
      <c r="A7" s="91" t="str">
        <f>'[1]shipper master'!C54</f>
        <v xml:space="preserve"> MADE IN JAPAN</v>
      </c>
      <c r="H7" s="92"/>
      <c r="I7" s="91" t="str">
        <f>'[1]shipper master'!C54</f>
        <v xml:space="preserve"> MADE IN JAPAN</v>
      </c>
    </row>
    <row r="8" spans="1:15" s="91" customFormat="1" ht="19.5" customHeight="1">
      <c r="H8" s="92"/>
    </row>
    <row r="9" spans="1:15" s="91" customFormat="1" ht="19.5" customHeight="1">
      <c r="H9" s="92"/>
    </row>
    <row r="10" spans="1:15" s="91" customFormat="1" ht="19.5" customHeight="1">
      <c r="A10" s="94"/>
      <c r="B10" s="94"/>
      <c r="C10" s="94"/>
      <c r="D10" s="94"/>
      <c r="E10" s="94"/>
      <c r="F10" s="94"/>
      <c r="G10" s="94"/>
      <c r="H10" s="95"/>
      <c r="I10" s="94"/>
      <c r="J10" s="94"/>
      <c r="K10" s="94"/>
      <c r="L10" s="94"/>
      <c r="M10" s="94"/>
      <c r="N10" s="94"/>
      <c r="O10" s="94"/>
    </row>
    <row r="11" spans="1:15" s="91" customFormat="1" ht="19.5" customHeight="1">
      <c r="H11" s="92"/>
    </row>
    <row r="12" spans="1:15" s="91" customFormat="1" ht="19.5" customHeight="1">
      <c r="H12" s="92"/>
    </row>
    <row r="13" spans="1:15" s="91" customFormat="1" ht="32.5">
      <c r="A13" s="91" t="str">
        <f>'shipper master'!C26</f>
        <v xml:space="preserve"> SY-8100424VT-DD-01</v>
      </c>
      <c r="H13" s="92"/>
      <c r="I13" s="91" t="str">
        <f>'shipper master'!C26</f>
        <v xml:space="preserve"> SY-8100424VT-DD-01</v>
      </c>
    </row>
    <row r="14" spans="1:15" s="91" customFormat="1" ht="32.5">
      <c r="A14" s="91" t="str">
        <f>'[1]shipper master'!C50</f>
        <v xml:space="preserve">VIVAN GARMENTS VIET NAM </v>
      </c>
      <c r="H14" s="92"/>
      <c r="I14" s="91" t="str">
        <f>'[1]shipper master'!C50</f>
        <v xml:space="preserve">VIVAN GARMENTS VIET NAM </v>
      </c>
    </row>
    <row r="15" spans="1:15" s="91" customFormat="1" ht="32.5">
      <c r="A15" s="91" t="str">
        <f>'[1]shipper master'!C51</f>
        <v xml:space="preserve"> COMPANY LIMITED</v>
      </c>
      <c r="H15" s="92"/>
      <c r="I15" s="91" t="str">
        <f>'[1]shipper master'!C51</f>
        <v xml:space="preserve"> COMPANY LIMITED</v>
      </c>
    </row>
    <row r="16" spans="1:15" s="91" customFormat="1" ht="32.5">
      <c r="A16" s="91" t="str">
        <f>'[1]shipper master'!C52</f>
        <v xml:space="preserve"> HOCHIMINH-CITY, VIETNAM</v>
      </c>
      <c r="H16" s="92"/>
      <c r="I16" s="91" t="str">
        <f>'[1]shipper master'!C52</f>
        <v xml:space="preserve"> HOCHIMINH-CITY, VIETNAM</v>
      </c>
    </row>
    <row r="17" spans="1:11" s="91" customFormat="1" ht="32.5">
      <c r="A17" s="91" t="s">
        <v>108</v>
      </c>
      <c r="C17" s="91">
        <v>3</v>
      </c>
      <c r="H17" s="92"/>
      <c r="I17" s="91" t="s">
        <v>108</v>
      </c>
      <c r="K17" s="91">
        <v>4</v>
      </c>
    </row>
    <row r="18" spans="1:11" s="91" customFormat="1" ht="32.5">
      <c r="A18" s="91" t="str">
        <f>'[1]shipper master'!C54</f>
        <v xml:space="preserve"> MADE IN JAPAN</v>
      </c>
      <c r="H18" s="92"/>
      <c r="I18" s="91" t="str">
        <f>'[1]shipper master'!C54</f>
        <v xml:space="preserve"> MADE IN JAPAN</v>
      </c>
    </row>
    <row r="19" spans="1:11" s="96" customFormat="1" ht="34">
      <c r="A19" s="91"/>
    </row>
    <row r="20" spans="1:11" s="96" customFormat="1" ht="34"/>
    <row r="21" spans="1:11" s="96" customFormat="1" ht="34"/>
    <row r="22" spans="1:11" s="96" customFormat="1" ht="34"/>
    <row r="23" spans="1:11" s="96" customFormat="1" ht="34"/>
    <row r="24" spans="1:11" s="96" customFormat="1" ht="34"/>
    <row r="25" spans="1:11" s="96" customFormat="1" ht="34"/>
    <row r="26" spans="1:11" s="91" customFormat="1" ht="32.5"/>
    <row r="27" spans="1:11" s="91" customFormat="1" ht="32.5"/>
    <row r="28" spans="1:11" s="91" customFormat="1" ht="32.5"/>
    <row r="29" spans="1:11" s="91" customFormat="1" ht="32.5"/>
    <row r="30" spans="1:11" s="91" customFormat="1" ht="32.5"/>
    <row r="31" spans="1:11" s="91" customFormat="1" ht="32.5"/>
    <row r="32" spans="1:11" s="91" customFormat="1" ht="32.5"/>
    <row r="33" s="91" customFormat="1" ht="32.5"/>
    <row r="34" s="91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2"/>
  <sheetViews>
    <sheetView showZeros="0" view="pageBreakPreview" topLeftCell="A13" zoomScale="90" zoomScaleNormal="115" zoomScaleSheetLayoutView="90" workbookViewId="0">
      <selection activeCell="S26" sqref="S26"/>
    </sheetView>
  </sheetViews>
  <sheetFormatPr defaultColWidth="9" defaultRowHeight="16"/>
  <cols>
    <col min="1" max="1" width="8.6328125" style="100" customWidth="1"/>
    <col min="2" max="2" width="11.6328125" style="100" customWidth="1"/>
    <col min="3" max="3" width="4.81640625" style="100" customWidth="1"/>
    <col min="4" max="4" width="19.1796875" style="100" customWidth="1"/>
    <col min="5" max="5" width="6.08984375" style="100" customWidth="1"/>
    <col min="6" max="7" width="3.08984375" style="100" customWidth="1"/>
    <col min="8" max="8" width="2.90625" style="100" customWidth="1"/>
    <col min="9" max="9" width="3.08984375" style="100" hidden="1" customWidth="1"/>
    <col min="10" max="12" width="8.453125" style="100" customWidth="1"/>
    <col min="13" max="13" width="9.90625" style="100" customWidth="1"/>
    <col min="14" max="14" width="13" style="100" customWidth="1"/>
    <col min="15" max="15" width="13.90625" style="100" customWidth="1"/>
    <col min="16" max="16384" width="9" style="100"/>
  </cols>
  <sheetData>
    <row r="1" spans="1:15" s="97" customFormat="1" ht="32.25" customHeight="1">
      <c r="A1" s="309" t="s">
        <v>109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ht="23.25" customHeight="1">
      <c r="A2" s="98" t="str">
        <f>'[2]shipper master'!C2</f>
        <v xml:space="preserve"> SHUNYA CO., LTD.</v>
      </c>
      <c r="B2" s="99"/>
      <c r="C2" s="99"/>
      <c r="D2" s="99"/>
      <c r="E2" s="99"/>
      <c r="N2" s="101"/>
    </row>
    <row r="3" spans="1:15" ht="15.75" customHeight="1">
      <c r="A3" s="3" t="str">
        <f>'[2]shipper master'!C3</f>
        <v xml:space="preserve"> KENSHIN BLDG., 1F, 1-22-10 DOUGENZAKA,</v>
      </c>
      <c r="B3" s="99"/>
      <c r="C3" s="99"/>
      <c r="D3" s="99"/>
      <c r="E3" s="99"/>
      <c r="N3" s="101"/>
    </row>
    <row r="4" spans="1:15" ht="18" customHeight="1">
      <c r="A4" s="3" t="str">
        <f>'[2]shipper master'!C4</f>
        <v xml:space="preserve"> SHIBUYA-KU 150-0043</v>
      </c>
      <c r="B4" s="99"/>
      <c r="C4" s="99"/>
      <c r="D4" s="99"/>
      <c r="E4" s="99"/>
      <c r="F4" s="102"/>
      <c r="G4" s="102"/>
      <c r="H4" s="102"/>
      <c r="I4" s="102"/>
      <c r="J4" s="102"/>
      <c r="K4" s="102"/>
      <c r="L4" s="102"/>
      <c r="N4" s="3">
        <f>'[2]shipper master'!C6</f>
        <v>0</v>
      </c>
    </row>
    <row r="5" spans="1:15" ht="16.5" thickBot="1">
      <c r="A5" s="103" t="str">
        <f>'[2]shipper master'!C5</f>
        <v xml:space="preserve"> TEL : +81(0)3-5459-1177</v>
      </c>
      <c r="B5" s="99"/>
      <c r="C5" s="99"/>
      <c r="D5" s="99"/>
      <c r="N5" s="3">
        <f>'[2]shipper master'!C7</f>
        <v>0</v>
      </c>
      <c r="O5" s="104"/>
    </row>
    <row r="6" spans="1:15" ht="13.4" customHeight="1">
      <c r="A6" s="105" t="s">
        <v>110</v>
      </c>
      <c r="B6" s="106"/>
      <c r="C6" s="106"/>
      <c r="D6" s="106"/>
      <c r="E6" s="106"/>
      <c r="F6" s="107" t="s">
        <v>111</v>
      </c>
      <c r="G6" s="108"/>
      <c r="H6" s="108"/>
      <c r="I6" s="108"/>
      <c r="J6" s="106"/>
      <c r="K6" s="106"/>
      <c r="L6" s="106"/>
      <c r="M6" s="198"/>
      <c r="N6" s="107" t="s">
        <v>112</v>
      </c>
      <c r="O6" s="101"/>
    </row>
    <row r="7" spans="1:15" ht="13.4" customHeight="1">
      <c r="A7" s="3" t="str">
        <f>'[2]shipper master'!C9</f>
        <v>VIVAN GARMENTS VIET NAM COMPANY LIMITED</v>
      </c>
      <c r="B7" s="101"/>
      <c r="C7" s="101"/>
      <c r="D7" s="101"/>
      <c r="E7" s="101"/>
      <c r="F7" s="109" t="str">
        <f>'shipper master'!C26</f>
        <v xml:space="preserve"> SY-8100424VT-DD-01</v>
      </c>
      <c r="G7" s="110"/>
      <c r="H7" s="110"/>
      <c r="I7" s="110"/>
      <c r="J7" s="110"/>
      <c r="K7" s="110"/>
      <c r="L7" s="110"/>
      <c r="M7" s="199"/>
      <c r="N7" s="111"/>
      <c r="O7" s="101"/>
    </row>
    <row r="8" spans="1:15" ht="13.4" customHeight="1">
      <c r="A8" s="3" t="str">
        <f>'[2]shipper master'!C10</f>
        <v>D17 Street , Sai Gon South Residential Area</v>
      </c>
      <c r="B8" s="101"/>
      <c r="C8" s="101"/>
      <c r="D8" s="101"/>
      <c r="E8" s="101"/>
      <c r="F8" s="112" t="s">
        <v>113</v>
      </c>
      <c r="G8" s="105"/>
      <c r="H8" s="105"/>
      <c r="I8" s="105"/>
      <c r="J8" s="101"/>
      <c r="K8" s="101"/>
      <c r="L8" s="101"/>
      <c r="M8" s="200"/>
      <c r="N8" s="113" t="str">
        <f>'shipper master'!C26</f>
        <v xml:space="preserve"> SY-8100424VT-DD-01</v>
      </c>
      <c r="O8" s="101"/>
    </row>
    <row r="9" spans="1:15" ht="13.4" customHeight="1">
      <c r="A9" s="3" t="str">
        <f>'[2]shipper master'!C11</f>
        <v>Hamlet 3 , Long Hau Commune , Can Giuoc District,</v>
      </c>
      <c r="B9" s="101"/>
      <c r="C9" s="101"/>
      <c r="D9" s="101"/>
      <c r="E9" s="101"/>
      <c r="F9" s="201" t="str">
        <f>'shipper master'!C25</f>
        <v>Apr, 24 2026</v>
      </c>
      <c r="G9" s="114"/>
      <c r="H9" s="114"/>
      <c r="I9" s="114"/>
      <c r="J9" s="114"/>
      <c r="K9" s="114"/>
      <c r="L9" s="114"/>
      <c r="M9" s="115"/>
      <c r="N9" s="113" t="str">
        <f>'[1]shipper master'!C50</f>
        <v xml:space="preserve">VIVAN GARMENTS VIET NAM </v>
      </c>
      <c r="O9" s="101"/>
    </row>
    <row r="10" spans="1:15" ht="13.4" customHeight="1">
      <c r="A10" s="3" t="str">
        <f>'[2]shipper master'!C12</f>
        <v xml:space="preserve"> Long An Province , VietNam</v>
      </c>
      <c r="B10" s="101"/>
      <c r="C10" s="101"/>
      <c r="D10" s="101"/>
      <c r="E10" s="101"/>
      <c r="F10" s="112" t="s">
        <v>114</v>
      </c>
      <c r="G10" s="105"/>
      <c r="H10" s="105"/>
      <c r="I10" s="105"/>
      <c r="J10" s="101"/>
      <c r="K10" s="101"/>
      <c r="L10" s="101"/>
      <c r="M10" s="200"/>
      <c r="N10" s="113" t="str">
        <f>'[1]shipper master'!C51</f>
        <v xml:space="preserve"> COMPANY LIMITED</v>
      </c>
      <c r="O10" s="101"/>
    </row>
    <row r="11" spans="1:15" ht="13.4" customHeight="1">
      <c r="A11" s="110" t="str">
        <f>'[2]shipper master'!C13</f>
        <v xml:space="preserve"> TEL : ( 084 ) 097 22 00 798  ATTN : MR. TUAN</v>
      </c>
      <c r="B11" s="101"/>
      <c r="C11" s="101"/>
      <c r="D11" s="101"/>
      <c r="E11" s="120"/>
      <c r="F11" s="310" t="str">
        <f>'shipper master'!C26</f>
        <v xml:space="preserve"> SY-8100424VT-DD-01</v>
      </c>
      <c r="G11" s="311"/>
      <c r="H11" s="311"/>
      <c r="I11" s="311"/>
      <c r="J11" s="311"/>
      <c r="K11" s="311"/>
      <c r="L11" s="311"/>
      <c r="M11" s="312"/>
      <c r="N11" s="113" t="str">
        <f>'[1]shipper master'!C52</f>
        <v xml:space="preserve"> HOCHIMINH-CITY, VIETNAM</v>
      </c>
      <c r="O11" s="101"/>
    </row>
    <row r="12" spans="1:15" ht="13.4" customHeight="1">
      <c r="A12" s="105" t="s">
        <v>115</v>
      </c>
      <c r="B12" s="116"/>
      <c r="C12" s="116"/>
      <c r="D12" s="116"/>
      <c r="E12" s="101"/>
      <c r="F12" s="112" t="s">
        <v>116</v>
      </c>
      <c r="G12" s="105"/>
      <c r="H12" s="105"/>
      <c r="I12" s="105"/>
      <c r="J12" s="101"/>
      <c r="K12" s="101"/>
      <c r="L12" s="101"/>
      <c r="M12" s="101"/>
      <c r="N12" s="117" t="s">
        <v>275</v>
      </c>
      <c r="O12" s="101"/>
    </row>
    <row r="13" spans="1:15" ht="13.4" customHeight="1">
      <c r="A13" s="3" t="str">
        <f>'[2]shipper master'!C15</f>
        <v xml:space="preserve"> - SAME AS BUYER -</v>
      </c>
      <c r="B13" s="101"/>
      <c r="C13" s="101"/>
      <c r="D13" s="101"/>
      <c r="E13" s="101"/>
      <c r="F13" s="310">
        <f>'[2]shipper master'!C30</f>
        <v>0</v>
      </c>
      <c r="G13" s="311"/>
      <c r="H13" s="311"/>
      <c r="I13" s="311"/>
      <c r="J13" s="311"/>
      <c r="K13" s="311"/>
      <c r="L13" s="311"/>
      <c r="M13" s="312"/>
      <c r="N13" s="113" t="s">
        <v>117</v>
      </c>
      <c r="O13" s="101"/>
    </row>
    <row r="14" spans="1:15" ht="13.4" customHeight="1">
      <c r="A14" s="3">
        <f>'[2]shipper master'!C16</f>
        <v>0</v>
      </c>
      <c r="B14" s="101"/>
      <c r="C14" s="101"/>
      <c r="D14" s="101"/>
      <c r="E14" s="101"/>
      <c r="F14" s="118" t="s">
        <v>24</v>
      </c>
      <c r="G14" s="3"/>
      <c r="H14" s="3"/>
      <c r="I14" s="3"/>
      <c r="J14" s="3"/>
      <c r="K14" s="3"/>
      <c r="L14" s="3"/>
      <c r="M14" s="119"/>
      <c r="N14" s="113"/>
      <c r="O14" s="101"/>
    </row>
    <row r="15" spans="1:15" ht="13.4" customHeight="1">
      <c r="A15" s="3">
        <f>'[2]shipper master'!C17</f>
        <v>0</v>
      </c>
      <c r="B15" s="101"/>
      <c r="C15" s="101"/>
      <c r="D15" s="101"/>
      <c r="E15" s="101"/>
      <c r="F15" s="310">
        <f>'[2]shipper master'!C29</f>
        <v>0</v>
      </c>
      <c r="G15" s="311"/>
      <c r="H15" s="311"/>
      <c r="I15" s="311"/>
      <c r="J15" s="311"/>
      <c r="K15" s="311"/>
      <c r="L15" s="311"/>
      <c r="M15" s="312"/>
      <c r="N15" s="113"/>
      <c r="O15" s="101"/>
    </row>
    <row r="16" spans="1:15" ht="13.4" customHeight="1">
      <c r="A16" s="3">
        <f>'[2]shipper master'!C18</f>
        <v>0</v>
      </c>
      <c r="B16" s="101"/>
      <c r="C16" s="101"/>
      <c r="D16" s="101"/>
      <c r="E16" s="101"/>
      <c r="F16" s="112" t="s">
        <v>118</v>
      </c>
      <c r="G16" s="105"/>
      <c r="H16" s="105"/>
      <c r="I16" s="105"/>
      <c r="J16" s="101"/>
      <c r="K16" s="101"/>
      <c r="L16" s="101"/>
      <c r="M16" s="101"/>
      <c r="N16" s="111"/>
      <c r="O16" s="101"/>
    </row>
    <row r="17" spans="1:15" ht="13.4" customHeight="1">
      <c r="A17" s="110">
        <f>'[2]shipper master'!C19</f>
        <v>0</v>
      </c>
      <c r="B17" s="120"/>
      <c r="C17" s="120"/>
      <c r="D17" s="120"/>
      <c r="E17" s="120"/>
      <c r="F17" s="313"/>
      <c r="G17" s="314"/>
      <c r="H17" s="314"/>
      <c r="I17" s="314"/>
      <c r="J17" s="314"/>
      <c r="K17" s="314"/>
      <c r="L17" s="314"/>
      <c r="M17" s="315"/>
      <c r="N17" s="111"/>
      <c r="O17" s="101"/>
    </row>
    <row r="18" spans="1:15" ht="13.4" customHeight="1">
      <c r="A18" s="105" t="s">
        <v>119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11"/>
      <c r="O18" s="101"/>
    </row>
    <row r="19" spans="1:15" ht="13.4" customHeight="1">
      <c r="A19" s="110" t="str">
        <f>'[2]shipper master'!C21</f>
        <v xml:space="preserve"> NO COMMERCIAL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1"/>
      <c r="O19" s="120"/>
    </row>
    <row r="20" spans="1:15" ht="13.4" customHeight="1">
      <c r="A20" s="105" t="s">
        <v>120</v>
      </c>
      <c r="B20" s="101"/>
      <c r="C20" s="101"/>
      <c r="D20" s="122" t="s">
        <v>121</v>
      </c>
      <c r="E20" s="123"/>
      <c r="F20" s="105" t="s">
        <v>122</v>
      </c>
      <c r="G20" s="105"/>
      <c r="H20" s="105"/>
      <c r="I20" s="105"/>
      <c r="J20" s="124" t="s">
        <v>123</v>
      </c>
      <c r="K20" s="124" t="s">
        <v>123</v>
      </c>
      <c r="L20" s="124" t="s">
        <v>123</v>
      </c>
      <c r="M20" s="125"/>
      <c r="N20" s="105" t="s">
        <v>124</v>
      </c>
      <c r="O20" s="101"/>
    </row>
    <row r="21" spans="1:15" s="1" customFormat="1" ht="13.4" customHeight="1" thickBot="1">
      <c r="A21" s="3" t="str">
        <f>'[2]shipper master'!C24</f>
        <v xml:space="preserve"> AIRCRAFT</v>
      </c>
      <c r="B21" s="103"/>
      <c r="C21" s="3"/>
      <c r="D21" s="126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3"/>
      <c r="K21" s="103"/>
      <c r="L21" s="103"/>
      <c r="M21" s="103"/>
      <c r="N21" s="4"/>
      <c r="O21" s="103"/>
    </row>
    <row r="22" spans="1:15" s="131" customFormat="1" ht="16.399999999999999" customHeight="1">
      <c r="A22" s="127" t="s">
        <v>125</v>
      </c>
      <c r="B22" s="127" t="s">
        <v>126</v>
      </c>
      <c r="C22" s="127"/>
      <c r="D22" s="128" t="s">
        <v>127</v>
      </c>
      <c r="E22" s="127" t="s">
        <v>128</v>
      </c>
      <c r="F22" s="128"/>
      <c r="G22" s="128"/>
      <c r="H22" s="128" t="s">
        <v>129</v>
      </c>
      <c r="I22" s="128"/>
      <c r="J22" s="128"/>
      <c r="K22" s="128"/>
      <c r="L22" s="128"/>
      <c r="M22" s="129" t="s">
        <v>130</v>
      </c>
      <c r="N22" s="127" t="s">
        <v>131</v>
      </c>
      <c r="O22" s="130" t="s">
        <v>132</v>
      </c>
    </row>
    <row r="23" spans="1:15" ht="13.4" customHeight="1">
      <c r="A23" s="132"/>
      <c r="B23" s="133"/>
      <c r="C23" s="133"/>
      <c r="D23" s="101"/>
      <c r="E23" s="133"/>
      <c r="F23" s="101"/>
      <c r="G23" s="101"/>
      <c r="H23" s="101"/>
      <c r="I23" s="101"/>
      <c r="J23" s="101"/>
      <c r="K23" s="101"/>
      <c r="L23" s="101"/>
      <c r="M23" s="134"/>
      <c r="N23" s="101"/>
      <c r="O23" s="111"/>
    </row>
    <row r="24" spans="1:15" s="1" customFormat="1" ht="13.4" customHeight="1">
      <c r="A24" s="135"/>
      <c r="B24" s="136" t="str">
        <f>'[2]shipper master'!C36</f>
        <v>FABRIC &amp; PARTS FOR WEAR &amp; SAMPLE CLOTHES</v>
      </c>
      <c r="C24" s="136"/>
      <c r="D24" s="4"/>
      <c r="E24" s="4"/>
      <c r="F24" s="4"/>
      <c r="G24" s="4"/>
      <c r="H24" s="4"/>
      <c r="I24" s="4"/>
      <c r="J24" s="4"/>
      <c r="K24" s="4"/>
      <c r="L24" s="4"/>
      <c r="M24" s="137"/>
      <c r="N24" s="138" t="str">
        <f>'[2]shipper master'!C48</f>
        <v>F.O.B. TOKYO IN YEN</v>
      </c>
      <c r="O24" s="139"/>
    </row>
    <row r="25" spans="1:15" s="1" customFormat="1" ht="13.4" customHeight="1">
      <c r="A25" s="135"/>
      <c r="B25" s="136"/>
      <c r="C25" s="136"/>
      <c r="D25" s="4"/>
      <c r="E25" s="4"/>
      <c r="F25" s="4"/>
      <c r="G25" s="4"/>
      <c r="H25" s="4"/>
      <c r="I25" s="4"/>
      <c r="J25" s="4"/>
      <c r="K25" s="4"/>
      <c r="L25" s="4"/>
      <c r="M25" s="137"/>
      <c r="N25" s="140"/>
      <c r="O25" s="139"/>
    </row>
    <row r="26" spans="1:15" s="1" customFormat="1" ht="13.4" customHeight="1">
      <c r="A26" s="141"/>
      <c r="B26" s="136">
        <f>'[2]shipper master'!C37</f>
        <v>0</v>
      </c>
      <c r="C26" s="136"/>
      <c r="D26" s="4"/>
      <c r="E26" s="4"/>
      <c r="F26" s="3"/>
      <c r="G26" s="3"/>
      <c r="H26" s="3"/>
      <c r="I26" s="3"/>
      <c r="J26" s="3"/>
      <c r="K26" s="3"/>
      <c r="L26" s="3"/>
      <c r="M26" s="143">
        <f>'NARITA '!E75</f>
        <v>919.09999999999991</v>
      </c>
      <c r="N26" s="144" t="s">
        <v>147</v>
      </c>
      <c r="O26" s="145">
        <f>'NARITA '!H75</f>
        <v>1122033</v>
      </c>
    </row>
    <row r="27" spans="1:15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4"/>
      <c r="L27" s="4"/>
      <c r="M27" s="143">
        <f>'NARITA '!E76</f>
        <v>1734</v>
      </c>
      <c r="N27" s="144" t="s">
        <v>144</v>
      </c>
      <c r="O27" s="145">
        <f>'NARITA '!H76</f>
        <v>62600</v>
      </c>
    </row>
    <row r="28" spans="1:15" s="1" customFormat="1" ht="14" customHeight="1">
      <c r="A28" s="5"/>
      <c r="B28" s="4"/>
      <c r="C28" s="4"/>
      <c r="D28" s="3"/>
      <c r="E28" s="4"/>
      <c r="F28" s="4"/>
      <c r="G28" s="4"/>
      <c r="H28" s="4"/>
      <c r="I28" s="4"/>
      <c r="J28" s="4"/>
      <c r="K28" s="4"/>
      <c r="L28" s="4"/>
      <c r="M28" s="143">
        <f>'NARITA '!E77</f>
        <v>0</v>
      </c>
      <c r="N28" s="251"/>
      <c r="O28" s="145">
        <f>'NARITA '!H77</f>
        <v>0</v>
      </c>
    </row>
    <row r="29" spans="1:15" s="1" customFormat="1" ht="13.4" customHeight="1">
      <c r="A29" s="146"/>
      <c r="B29" s="22" t="str">
        <f>'[2]shipper master'!C38</f>
        <v>- DETAILS AS PER ATTACHED SHEET -</v>
      </c>
      <c r="C29" s="22"/>
      <c r="D29" s="3"/>
      <c r="E29" s="4"/>
      <c r="F29" s="3"/>
      <c r="G29" s="3"/>
      <c r="H29" s="3"/>
      <c r="I29" s="3"/>
      <c r="J29" s="3"/>
      <c r="K29" s="3"/>
      <c r="L29" s="3"/>
      <c r="M29" s="147"/>
      <c r="N29" s="144"/>
      <c r="O29" s="148"/>
    </row>
    <row r="30" spans="1:15" s="1" customFormat="1" ht="13.4" customHeight="1">
      <c r="A30" s="146"/>
      <c r="B30" s="22"/>
      <c r="C30" s="22"/>
      <c r="D30" s="3"/>
      <c r="E30" s="4"/>
      <c r="F30" s="3"/>
      <c r="G30" s="3"/>
      <c r="H30" s="3"/>
      <c r="I30" s="3"/>
      <c r="J30" s="3"/>
      <c r="K30" s="3"/>
      <c r="L30" s="3"/>
      <c r="M30" s="147"/>
      <c r="N30" s="144"/>
      <c r="O30" s="148"/>
    </row>
    <row r="31" spans="1:15" s="1" customFormat="1" ht="17.25" customHeight="1" thickBot="1">
      <c r="A31" s="255"/>
      <c r="B31" s="149" t="s">
        <v>143</v>
      </c>
      <c r="C31" s="184"/>
      <c r="D31" s="189"/>
      <c r="E31" s="316">
        <f>'NARITA '!E75</f>
        <v>919.09999999999991</v>
      </c>
      <c r="F31" s="316"/>
      <c r="G31" s="316"/>
      <c r="H31" s="316"/>
      <c r="I31" s="150"/>
      <c r="J31" s="150" t="s">
        <v>146</v>
      </c>
      <c r="K31" s="256">
        <f>K29</f>
        <v>0</v>
      </c>
      <c r="L31" s="185">
        <f>'NARITA '!E76</f>
        <v>1734</v>
      </c>
      <c r="M31" s="151" t="s">
        <v>85</v>
      </c>
      <c r="N31" s="185"/>
      <c r="O31" s="151">
        <f>SUM(O26:O27)</f>
        <v>1184633</v>
      </c>
    </row>
    <row r="32" spans="1:15" s="1" customFormat="1" ht="13.4" customHeight="1" thickTop="1">
      <c r="A32" s="152"/>
      <c r="B32" s="153"/>
      <c r="C32" s="153"/>
      <c r="D32" s="3"/>
      <c r="E32" s="154"/>
      <c r="F32" s="3"/>
      <c r="G32" s="154"/>
      <c r="H32" s="3"/>
      <c r="I32" s="3"/>
      <c r="J32" s="3"/>
      <c r="K32" s="3"/>
      <c r="L32" s="3"/>
      <c r="M32" s="146"/>
      <c r="N32" s="155"/>
      <c r="O32" s="152"/>
    </row>
    <row r="33" spans="1:15" s="1" customFormat="1" ht="13.4" customHeight="1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156"/>
      <c r="N33" s="155"/>
      <c r="O33" s="157"/>
    </row>
    <row r="34" spans="1:15" s="1" customFormat="1" ht="13.4" customHeight="1">
      <c r="A34" s="3" t="str">
        <f>'[2]shipper master'!C63</f>
        <v>" THESE GOODS WILL BE RETURN TO JAPAN</v>
      </c>
      <c r="B34" s="158"/>
      <c r="C34" s="158"/>
      <c r="D34" s="158"/>
      <c r="E34" s="158"/>
      <c r="F34" s="158"/>
      <c r="G34" s="3"/>
      <c r="H34" s="3"/>
      <c r="I34" s="3" t="s">
        <v>133</v>
      </c>
      <c r="J34" s="3"/>
      <c r="K34" s="3"/>
      <c r="L34" s="3"/>
      <c r="M34" s="156" t="s">
        <v>134</v>
      </c>
      <c r="N34" s="155"/>
      <c r="O34" s="3"/>
    </row>
    <row r="35" spans="1:15" s="1" customFormat="1" ht="13.4" customHeight="1">
      <c r="A35" s="308" t="str">
        <f>'[2]shipper master'!C64</f>
        <v xml:space="preserve">  AFTER MANUFACTURED AT VIET NAM "</v>
      </c>
      <c r="B35" s="308"/>
      <c r="C35" s="308"/>
      <c r="D35" s="308"/>
      <c r="E35" s="4"/>
      <c r="F35" s="3"/>
      <c r="G35" s="3"/>
      <c r="H35" s="3"/>
      <c r="I35" s="3" t="s">
        <v>135</v>
      </c>
      <c r="J35" s="3"/>
      <c r="K35" s="3"/>
      <c r="L35" s="3"/>
      <c r="M35" s="156" t="s">
        <v>136</v>
      </c>
      <c r="N35" s="155"/>
      <c r="O35" s="157"/>
    </row>
    <row r="36" spans="1:15" s="1" customFormat="1" ht="13.4" customHeight="1">
      <c r="A36" s="3"/>
      <c r="B36" s="4"/>
      <c r="C36" s="4"/>
      <c r="D36" s="4">
        <f>'[2]shipper master'!C58</f>
        <v>0</v>
      </c>
      <c r="E36" s="4"/>
      <c r="F36" s="3"/>
      <c r="G36" s="3"/>
      <c r="H36" s="3"/>
      <c r="I36" s="3"/>
      <c r="J36" s="3"/>
      <c r="K36" s="3"/>
      <c r="L36" s="3"/>
      <c r="M36" s="146"/>
      <c r="N36" s="155"/>
      <c r="O36" s="3"/>
    </row>
    <row r="37" spans="1:15" s="1" customFormat="1" ht="13.4" customHeight="1">
      <c r="A37" s="4" t="str">
        <f>'[2]shipper master'!C60</f>
        <v>COUNTRY OF ORIGIN : JAPAN</v>
      </c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146"/>
      <c r="N37" s="155"/>
      <c r="O37" s="3"/>
    </row>
    <row r="38" spans="1:15" s="1" customFormat="1" ht="13.4" customHeight="1">
      <c r="A38" s="4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146"/>
      <c r="N38" s="155"/>
      <c r="O38" s="3"/>
    </row>
    <row r="39" spans="1:15" s="1" customFormat="1" ht="13.4" customHeight="1">
      <c r="A39" s="159" t="s">
        <v>137</v>
      </c>
      <c r="B39" s="160"/>
      <c r="C39" s="160"/>
      <c r="D39" s="161" t="s">
        <v>258</v>
      </c>
      <c r="E39" s="4"/>
      <c r="F39" s="3"/>
      <c r="G39" s="3"/>
      <c r="H39" s="3"/>
      <c r="I39" s="3"/>
      <c r="J39" s="3"/>
      <c r="K39" s="3"/>
      <c r="L39" s="3"/>
      <c r="M39" s="146"/>
      <c r="N39" s="155"/>
      <c r="O39" s="3"/>
    </row>
    <row r="40" spans="1:15" s="1" customFormat="1" ht="13.4" customHeight="1">
      <c r="A40" s="159" t="s">
        <v>138</v>
      </c>
      <c r="B40" s="160"/>
      <c r="C40" s="160"/>
      <c r="D40" s="162" t="s">
        <v>139</v>
      </c>
      <c r="E40" s="4"/>
      <c r="F40" s="3"/>
      <c r="G40" s="3"/>
      <c r="H40" s="3"/>
      <c r="I40" s="3"/>
      <c r="J40" s="3"/>
      <c r="K40" s="3"/>
      <c r="L40" s="3"/>
      <c r="M40" s="146"/>
      <c r="N40" s="155"/>
      <c r="O40" s="3"/>
    </row>
    <row r="41" spans="1:15" s="1" customFormat="1" ht="13.4" customHeight="1">
      <c r="A41" s="142"/>
      <c r="B41" s="136"/>
      <c r="C41" s="136"/>
      <c r="D41" s="163"/>
      <c r="E41" s="136"/>
      <c r="F41" s="164"/>
      <c r="G41" s="164"/>
      <c r="H41" s="164"/>
      <c r="I41" s="3"/>
      <c r="J41" s="3"/>
      <c r="K41" s="3"/>
      <c r="L41" s="3"/>
      <c r="M41" s="146"/>
      <c r="N41" s="155"/>
      <c r="O41" s="3"/>
    </row>
    <row r="42" spans="1:15" ht="18" customHeight="1">
      <c r="A42" s="142"/>
      <c r="B42" s="101"/>
      <c r="C42" s="101"/>
      <c r="D42" s="101"/>
      <c r="E42" s="101"/>
      <c r="F42" s="101"/>
      <c r="G42" s="101"/>
      <c r="H42" s="133"/>
      <c r="I42" s="101"/>
      <c r="J42" s="101"/>
      <c r="K42" s="101"/>
      <c r="L42" s="101"/>
      <c r="M42" s="133"/>
      <c r="N42" s="165"/>
      <c r="O42" s="101"/>
    </row>
    <row r="43" spans="1:15" ht="13.4" customHeight="1">
      <c r="A43" s="101"/>
      <c r="B43" s="166"/>
      <c r="C43" s="166"/>
      <c r="D43" s="101"/>
      <c r="E43" s="101"/>
      <c r="F43" s="101"/>
      <c r="G43" s="101"/>
      <c r="H43" s="101"/>
      <c r="I43" s="101"/>
      <c r="J43" s="101"/>
      <c r="K43" s="101"/>
      <c r="L43" s="101"/>
      <c r="M43" s="167"/>
      <c r="N43" s="165"/>
      <c r="O43" s="101"/>
    </row>
    <row r="44" spans="1:15" ht="13.4" customHeight="1">
      <c r="A44" s="101"/>
      <c r="B44" s="166"/>
      <c r="C44" s="166"/>
      <c r="D44" s="101"/>
      <c r="E44" s="101"/>
      <c r="F44" s="101"/>
      <c r="G44" s="101"/>
      <c r="H44" s="101"/>
      <c r="I44" s="101"/>
      <c r="J44" s="101"/>
      <c r="K44" s="101"/>
      <c r="L44" s="101"/>
      <c r="M44" s="167"/>
      <c r="N44" s="165"/>
      <c r="O44" s="101"/>
    </row>
    <row r="45" spans="1:15" ht="13.4" customHeight="1">
      <c r="A45" s="101"/>
      <c r="B45" s="101"/>
      <c r="C45" s="101"/>
      <c r="D45" s="101"/>
      <c r="E45" s="101"/>
      <c r="F45" s="101"/>
      <c r="G45" s="101"/>
      <c r="H45" s="120"/>
      <c r="I45" s="120"/>
      <c r="J45" s="120"/>
      <c r="K45" s="120"/>
      <c r="L45" s="120"/>
      <c r="M45" s="168"/>
      <c r="N45" s="169"/>
      <c r="O45" s="120"/>
    </row>
    <row r="46" spans="1:15" ht="13.4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67"/>
      <c r="N46" s="165"/>
      <c r="O46" s="101"/>
    </row>
    <row r="47" spans="1:15" ht="13.4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67"/>
      <c r="N47" s="165"/>
      <c r="O47" s="101"/>
    </row>
    <row r="48" spans="1:15" ht="13.4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67"/>
      <c r="N48" s="165"/>
      <c r="O48" s="101"/>
    </row>
    <row r="49" spans="1:1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67"/>
      <c r="N49" s="165"/>
      <c r="O49" s="101"/>
    </row>
    <row r="50" spans="1:1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67"/>
      <c r="N50" s="170"/>
      <c r="O50" s="101"/>
    </row>
    <row r="51" spans="1: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67"/>
      <c r="N51" s="170"/>
      <c r="O51" s="101"/>
    </row>
    <row r="52" spans="1: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67"/>
      <c r="N52" s="170"/>
      <c r="O52" s="101"/>
    </row>
    <row r="53" spans="1: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67"/>
      <c r="N53" s="170"/>
      <c r="O53" s="101"/>
    </row>
    <row r="54" spans="1: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67"/>
      <c r="N54" s="170"/>
      <c r="O54" s="101"/>
    </row>
    <row r="55" spans="1: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67"/>
      <c r="N55" s="170"/>
      <c r="O55" s="101"/>
    </row>
    <row r="56" spans="1: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67"/>
      <c r="N56" s="170"/>
      <c r="O56" s="101"/>
    </row>
    <row r="57" spans="1: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67"/>
      <c r="N57" s="170"/>
      <c r="O57" s="101"/>
    </row>
    <row r="58" spans="1: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67"/>
      <c r="N58" s="170"/>
      <c r="O58" s="101"/>
    </row>
    <row r="59" spans="1: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67"/>
      <c r="N59" s="170"/>
      <c r="O59" s="101"/>
    </row>
    <row r="60" spans="1: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67"/>
      <c r="N60" s="170"/>
      <c r="O60" s="101"/>
    </row>
    <row r="61" spans="1: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67"/>
      <c r="N61" s="170"/>
      <c r="O61" s="101"/>
    </row>
    <row r="62" spans="1: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67"/>
      <c r="N62" s="170"/>
      <c r="O62" s="101"/>
    </row>
    <row r="63" spans="1: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67"/>
      <c r="N63" s="170"/>
      <c r="O63" s="101"/>
    </row>
    <row r="64" spans="1:1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67"/>
      <c r="N64" s="170"/>
      <c r="O64" s="101"/>
    </row>
    <row r="65" spans="1:1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67"/>
      <c r="N65" s="170"/>
      <c r="O65" s="101"/>
    </row>
    <row r="66" spans="1:1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67"/>
      <c r="N66" s="170"/>
      <c r="O66" s="101"/>
    </row>
    <row r="67" spans="1:1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67"/>
      <c r="N67" s="170"/>
      <c r="O67" s="101"/>
    </row>
    <row r="68" spans="1:1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67"/>
      <c r="N68" s="170"/>
      <c r="O68" s="101"/>
    </row>
    <row r="69" spans="1:1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67"/>
      <c r="N69" s="170"/>
      <c r="O69" s="101"/>
    </row>
    <row r="70" spans="1:1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67"/>
      <c r="N70" s="170"/>
      <c r="O70" s="101"/>
    </row>
    <row r="71" spans="1:1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67"/>
      <c r="N71" s="170"/>
      <c r="O71" s="101"/>
    </row>
    <row r="72" spans="1:1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67"/>
      <c r="N72" s="170"/>
      <c r="O72" s="101"/>
    </row>
    <row r="73" spans="1:15">
      <c r="M73" s="171"/>
      <c r="N73" s="172"/>
    </row>
    <row r="74" spans="1:15">
      <c r="M74" s="171"/>
      <c r="N74" s="172"/>
    </row>
    <row r="75" spans="1:15">
      <c r="N75" s="172"/>
    </row>
    <row r="76" spans="1:15">
      <c r="N76" s="172"/>
    </row>
    <row r="77" spans="1:15">
      <c r="N77" s="172"/>
    </row>
    <row r="78" spans="1:15">
      <c r="N78" s="172"/>
    </row>
    <row r="79" spans="1:15">
      <c r="N79" s="172"/>
    </row>
    <row r="80" spans="1:15">
      <c r="N80" s="172"/>
    </row>
    <row r="81" spans="14:14">
      <c r="N81" s="172"/>
    </row>
    <row r="82" spans="14:14">
      <c r="N82" s="172"/>
    </row>
    <row r="83" spans="14:14">
      <c r="N83" s="172"/>
    </row>
    <row r="84" spans="14:14">
      <c r="N84" s="172"/>
    </row>
    <row r="85" spans="14:14">
      <c r="N85" s="172"/>
    </row>
    <row r="86" spans="14:14">
      <c r="N86" s="172"/>
    </row>
    <row r="87" spans="14:14">
      <c r="N87" s="172"/>
    </row>
    <row r="88" spans="14:14">
      <c r="N88" s="172"/>
    </row>
    <row r="89" spans="14:14">
      <c r="N89" s="172"/>
    </row>
    <row r="90" spans="14:14">
      <c r="N90" s="172"/>
    </row>
    <row r="91" spans="14:14">
      <c r="N91" s="172"/>
    </row>
    <row r="92" spans="14:14">
      <c r="N92" s="172"/>
    </row>
  </sheetData>
  <mergeCells count="7">
    <mergeCell ref="A35:D35"/>
    <mergeCell ref="A1:O1"/>
    <mergeCell ref="F11:M11"/>
    <mergeCell ref="F13:M13"/>
    <mergeCell ref="F15:M15"/>
    <mergeCell ref="F17:M17"/>
    <mergeCell ref="E31:H31"/>
  </mergeCells>
  <phoneticPr fontId="14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30"/>
  <sheetViews>
    <sheetView tabSelected="1" view="pageBreakPreview" topLeftCell="A28" zoomScale="70" zoomScaleNormal="90" zoomScaleSheetLayoutView="70" workbookViewId="0">
      <selection activeCell="D58" sqref="D58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23" t="s">
        <v>98</v>
      </c>
      <c r="B2" s="323"/>
      <c r="C2" s="323"/>
      <c r="D2" s="323"/>
      <c r="E2" s="323"/>
      <c r="F2" s="323"/>
      <c r="G2" s="323"/>
      <c r="H2" s="323"/>
      <c r="I2" s="35"/>
      <c r="L2" s="36"/>
      <c r="M2" s="36"/>
      <c r="N2" s="36"/>
    </row>
    <row r="3" spans="1:14" ht="15.5" thickBot="1">
      <c r="A3" s="37"/>
      <c r="B3" s="38"/>
      <c r="C3" s="37"/>
      <c r="D3" s="37"/>
      <c r="E3" s="37"/>
      <c r="F3" s="37"/>
      <c r="G3" s="37"/>
      <c r="H3" s="37"/>
      <c r="I3" s="35"/>
      <c r="L3" s="36"/>
      <c r="M3" s="36"/>
      <c r="N3" s="36"/>
    </row>
    <row r="4" spans="1:14" ht="21.75" customHeight="1" thickBot="1">
      <c r="A4" s="39" t="s">
        <v>36</v>
      </c>
      <c r="B4" s="24" t="s">
        <v>96</v>
      </c>
      <c r="C4" s="39" t="s">
        <v>86</v>
      </c>
      <c r="D4" s="23" t="s">
        <v>87</v>
      </c>
      <c r="E4" s="39" t="s">
        <v>88</v>
      </c>
      <c r="F4" s="324" t="s">
        <v>89</v>
      </c>
      <c r="G4" s="325"/>
      <c r="H4" s="40" t="s">
        <v>90</v>
      </c>
      <c r="I4" s="41" t="s">
        <v>91</v>
      </c>
      <c r="J4" s="42" t="s">
        <v>92</v>
      </c>
      <c r="K4" s="43" t="s">
        <v>93</v>
      </c>
      <c r="L4" s="44" t="s">
        <v>106</v>
      </c>
      <c r="M4" s="44" t="s">
        <v>94</v>
      </c>
      <c r="N4" s="45" t="s">
        <v>95</v>
      </c>
    </row>
    <row r="5" spans="1:14">
      <c r="A5" s="46"/>
      <c r="B5" s="47"/>
      <c r="C5" s="48"/>
      <c r="D5" s="49"/>
      <c r="E5" s="48"/>
      <c r="F5" s="48"/>
      <c r="G5" s="50"/>
      <c r="H5" s="50"/>
      <c r="I5" s="51"/>
      <c r="J5" s="52"/>
      <c r="K5" s="52"/>
      <c r="L5" s="52"/>
      <c r="M5" s="52"/>
      <c r="N5" s="53"/>
    </row>
    <row r="6" spans="1:14">
      <c r="A6" s="54"/>
      <c r="B6" s="55" t="s">
        <v>97</v>
      </c>
      <c r="C6" s="48"/>
      <c r="D6" s="56" t="str">
        <f>[3]invoice!B24</f>
        <v>FABRIC &amp; PARTS FOR WEAR &amp; SAMPLE CLOTHES</v>
      </c>
      <c r="E6" s="50"/>
      <c r="F6" s="50"/>
      <c r="G6" s="57" t="str">
        <f>'[1]shipper master'!C48</f>
        <v>F.O.B. TOKYO IN YEN</v>
      </c>
      <c r="H6" s="50"/>
      <c r="I6" s="58"/>
      <c r="J6" s="59"/>
      <c r="K6" s="59"/>
      <c r="L6" s="59"/>
      <c r="M6" s="59"/>
      <c r="N6" s="60"/>
    </row>
    <row r="7" spans="1:14" ht="15.5" thickBot="1">
      <c r="A7" s="61"/>
      <c r="B7" s="62"/>
      <c r="C7" s="63"/>
      <c r="D7" s="64" t="s">
        <v>107</v>
      </c>
      <c r="E7" s="63"/>
      <c r="F7" s="63"/>
      <c r="G7" s="65"/>
      <c r="H7" s="20"/>
      <c r="I7" s="66"/>
      <c r="J7" s="67"/>
      <c r="K7" s="67"/>
      <c r="L7" s="67"/>
      <c r="M7" s="68"/>
      <c r="N7" s="69"/>
    </row>
    <row r="8" spans="1:14" ht="15.65" customHeight="1">
      <c r="A8" s="317" t="s">
        <v>171</v>
      </c>
      <c r="B8" s="29"/>
      <c r="C8" s="29"/>
      <c r="D8" s="182" t="s">
        <v>166</v>
      </c>
      <c r="E8" s="70"/>
      <c r="F8" s="70"/>
      <c r="G8" s="71"/>
      <c r="H8" s="72"/>
      <c r="I8" s="203"/>
      <c r="J8" s="209"/>
      <c r="K8" s="72"/>
      <c r="L8" s="72"/>
      <c r="M8" s="72"/>
      <c r="N8" s="320">
        <v>1</v>
      </c>
    </row>
    <row r="9" spans="1:14">
      <c r="A9" s="318"/>
      <c r="B9" s="193" t="s">
        <v>161</v>
      </c>
      <c r="C9" s="190" t="s">
        <v>164</v>
      </c>
      <c r="D9" s="21" t="s">
        <v>152</v>
      </c>
      <c r="E9" s="195">
        <v>3</v>
      </c>
      <c r="F9" s="75" t="s">
        <v>146</v>
      </c>
      <c r="G9" s="191">
        <v>2100</v>
      </c>
      <c r="H9" s="192">
        <f>E9*G9</f>
        <v>6300</v>
      </c>
      <c r="I9" s="196"/>
      <c r="J9" s="210"/>
      <c r="K9" s="50"/>
      <c r="L9" s="78"/>
      <c r="M9" s="50"/>
      <c r="N9" s="326"/>
    </row>
    <row r="10" spans="1:14" ht="16.5">
      <c r="A10" s="318"/>
      <c r="B10" s="21" t="s">
        <v>148</v>
      </c>
      <c r="C10" s="73" t="s">
        <v>165</v>
      </c>
      <c r="D10" s="205" t="s">
        <v>167</v>
      </c>
      <c r="E10" s="74">
        <v>3</v>
      </c>
      <c r="F10" s="75" t="s">
        <v>146</v>
      </c>
      <c r="G10" s="191">
        <v>2100</v>
      </c>
      <c r="H10" s="192">
        <f>E10*G10</f>
        <v>6300</v>
      </c>
      <c r="I10" s="196" t="s">
        <v>169</v>
      </c>
      <c r="J10" s="210" t="s">
        <v>170</v>
      </c>
      <c r="K10" s="50"/>
      <c r="L10" s="50"/>
      <c r="M10" s="50"/>
      <c r="N10" s="326"/>
    </row>
    <row r="11" spans="1:14" ht="16.5">
      <c r="A11" s="318"/>
      <c r="B11" s="32" t="s">
        <v>162</v>
      </c>
      <c r="C11" s="73"/>
      <c r="D11" s="31" t="s">
        <v>168</v>
      </c>
      <c r="E11" s="74"/>
      <c r="F11" s="75"/>
      <c r="G11" s="76"/>
      <c r="H11" s="77"/>
      <c r="I11" s="196"/>
      <c r="J11" s="210"/>
      <c r="K11" s="50"/>
      <c r="L11" s="50"/>
      <c r="M11" s="50"/>
      <c r="N11" s="326"/>
    </row>
    <row r="12" spans="1:14" ht="15.5" thickBot="1">
      <c r="A12" s="319"/>
      <c r="B12" s="34" t="s">
        <v>163</v>
      </c>
      <c r="C12" s="79"/>
      <c r="D12" s="33"/>
      <c r="E12" s="80"/>
      <c r="F12" s="186"/>
      <c r="G12" s="81"/>
      <c r="H12" s="82"/>
      <c r="I12" s="204"/>
      <c r="J12" s="211"/>
      <c r="K12" s="19"/>
      <c r="L12" s="19"/>
      <c r="M12" s="19"/>
      <c r="N12" s="322"/>
    </row>
    <row r="13" spans="1:14" ht="15.5" thickBot="1">
      <c r="A13" s="208"/>
      <c r="B13" s="193"/>
      <c r="C13" s="243"/>
      <c r="D13" s="194"/>
      <c r="E13" s="223"/>
      <c r="F13" s="206"/>
      <c r="G13" s="83"/>
      <c r="H13" s="84"/>
      <c r="I13" s="196"/>
      <c r="J13" s="210"/>
      <c r="K13" s="16"/>
      <c r="L13" s="16"/>
      <c r="M13" s="16"/>
      <c r="N13" s="197"/>
    </row>
    <row r="14" spans="1:14" ht="15.65" customHeight="1">
      <c r="A14" s="317" t="s">
        <v>183</v>
      </c>
      <c r="B14" s="29"/>
      <c r="C14" s="72"/>
      <c r="D14" s="182" t="s">
        <v>176</v>
      </c>
      <c r="E14" s="70"/>
      <c r="F14" s="70"/>
      <c r="G14" s="71"/>
      <c r="H14" s="72"/>
      <c r="I14" s="203"/>
      <c r="J14" s="209"/>
      <c r="K14" s="72"/>
      <c r="L14" s="72"/>
      <c r="M14" s="72"/>
      <c r="N14" s="320">
        <v>6</v>
      </c>
    </row>
    <row r="15" spans="1:14">
      <c r="A15" s="318"/>
      <c r="B15" s="193" t="s">
        <v>172</v>
      </c>
      <c r="C15" s="73" t="s">
        <v>174</v>
      </c>
      <c r="D15" s="21" t="s">
        <v>145</v>
      </c>
      <c r="E15" s="195">
        <v>174.5</v>
      </c>
      <c r="F15" s="75" t="s">
        <v>146</v>
      </c>
      <c r="G15" s="191">
        <v>1570</v>
      </c>
      <c r="H15" s="192">
        <f>E15*G15</f>
        <v>273965</v>
      </c>
      <c r="I15" s="196" t="s">
        <v>179</v>
      </c>
      <c r="J15" s="210" t="s">
        <v>181</v>
      </c>
      <c r="K15" s="50"/>
      <c r="L15" s="78"/>
      <c r="M15" s="50"/>
      <c r="N15" s="326"/>
    </row>
    <row r="16" spans="1:14" ht="16.5">
      <c r="A16" s="318"/>
      <c r="B16" s="21" t="s">
        <v>145</v>
      </c>
      <c r="C16" s="190" t="s">
        <v>173</v>
      </c>
      <c r="D16" s="205" t="s">
        <v>177</v>
      </c>
      <c r="E16" s="74">
        <v>110</v>
      </c>
      <c r="F16" s="75" t="s">
        <v>146</v>
      </c>
      <c r="G16" s="191">
        <v>1570</v>
      </c>
      <c r="H16" s="192">
        <f>E16*G16</f>
        <v>172700</v>
      </c>
      <c r="I16" s="196" t="s">
        <v>180</v>
      </c>
      <c r="J16" s="210" t="s">
        <v>182</v>
      </c>
      <c r="K16" s="50"/>
      <c r="L16" s="50"/>
      <c r="M16" s="50"/>
      <c r="N16" s="326"/>
    </row>
    <row r="17" spans="1:14">
      <c r="A17" s="318"/>
      <c r="B17" s="32" t="s">
        <v>175</v>
      </c>
      <c r="C17" s="73"/>
      <c r="D17" s="31" t="s">
        <v>178</v>
      </c>
      <c r="E17" s="74"/>
      <c r="F17" s="75"/>
      <c r="G17" s="76"/>
      <c r="H17" s="77"/>
      <c r="I17" s="196"/>
      <c r="J17" s="210"/>
      <c r="K17" s="50"/>
      <c r="L17" s="50"/>
      <c r="M17" s="50"/>
      <c r="N17" s="326"/>
    </row>
    <row r="18" spans="1:14" ht="15.5" thickBot="1">
      <c r="A18" s="319"/>
      <c r="B18" s="34" t="s">
        <v>153</v>
      </c>
      <c r="C18" s="79"/>
      <c r="D18" s="33"/>
      <c r="E18" s="80"/>
      <c r="F18" s="80"/>
      <c r="G18" s="81"/>
      <c r="H18" s="82"/>
      <c r="I18" s="204"/>
      <c r="J18" s="211"/>
      <c r="K18" s="19"/>
      <c r="L18" s="19"/>
      <c r="M18" s="19"/>
      <c r="N18" s="322"/>
    </row>
    <row r="19" spans="1:14" ht="15.5" thickBot="1">
      <c r="A19" s="208"/>
      <c r="B19" s="187"/>
      <c r="C19" s="73"/>
      <c r="D19" s="31"/>
      <c r="E19" s="195"/>
      <c r="F19" s="75"/>
      <c r="G19" s="191"/>
      <c r="H19" s="192"/>
      <c r="I19" s="196"/>
      <c r="J19" s="210"/>
      <c r="K19" s="87"/>
      <c r="L19" s="87"/>
      <c r="M19" s="87"/>
      <c r="N19" s="197"/>
    </row>
    <row r="20" spans="1:14" ht="15.65" customHeight="1">
      <c r="A20" s="317" t="s">
        <v>274</v>
      </c>
      <c r="B20" s="29"/>
      <c r="C20" s="29"/>
      <c r="D20" s="182" t="s">
        <v>189</v>
      </c>
      <c r="E20" s="70"/>
      <c r="F20" s="70"/>
      <c r="G20" s="71"/>
      <c r="H20" s="72"/>
      <c r="I20" s="203"/>
      <c r="J20" s="209"/>
      <c r="K20" s="72"/>
      <c r="L20" s="72"/>
      <c r="M20" s="72"/>
      <c r="N20" s="320">
        <v>11</v>
      </c>
    </row>
    <row r="21" spans="1:14">
      <c r="A21" s="318"/>
      <c r="B21" s="193" t="s">
        <v>184</v>
      </c>
      <c r="C21" s="190" t="s">
        <v>186</v>
      </c>
      <c r="D21" s="21" t="s">
        <v>148</v>
      </c>
      <c r="E21" s="195">
        <v>116.7</v>
      </c>
      <c r="F21" s="75" t="s">
        <v>147</v>
      </c>
      <c r="G21" s="191">
        <v>980</v>
      </c>
      <c r="H21" s="77">
        <f>E21*G21</f>
        <v>114366</v>
      </c>
      <c r="I21" s="196"/>
      <c r="J21" s="210"/>
      <c r="K21" s="50"/>
      <c r="L21" s="50"/>
      <c r="M21" s="50"/>
      <c r="N21" s="321"/>
    </row>
    <row r="22" spans="1:14" ht="16.5">
      <c r="A22" s="318"/>
      <c r="B22" s="21" t="s">
        <v>148</v>
      </c>
      <c r="C22" s="73" t="s">
        <v>187</v>
      </c>
      <c r="D22" s="205" t="s">
        <v>191</v>
      </c>
      <c r="E22" s="195">
        <v>123.1</v>
      </c>
      <c r="F22" s="75" t="s">
        <v>147</v>
      </c>
      <c r="G22" s="191">
        <v>980</v>
      </c>
      <c r="H22" s="77">
        <f>E22*G22</f>
        <v>120638</v>
      </c>
      <c r="I22" s="196"/>
      <c r="J22" s="210"/>
      <c r="K22" s="50"/>
      <c r="L22" s="50"/>
      <c r="M22" s="50"/>
      <c r="N22" s="321"/>
    </row>
    <row r="23" spans="1:14" ht="16.5">
      <c r="A23" s="318"/>
      <c r="B23" s="32" t="s">
        <v>185</v>
      </c>
      <c r="C23" s="73" t="s">
        <v>188</v>
      </c>
      <c r="D23" s="31" t="s">
        <v>281</v>
      </c>
      <c r="E23" s="74">
        <v>121.8</v>
      </c>
      <c r="F23" s="75" t="s">
        <v>147</v>
      </c>
      <c r="G23" s="191">
        <v>980</v>
      </c>
      <c r="H23" s="77">
        <f>E23*G23</f>
        <v>119364</v>
      </c>
      <c r="I23" s="196"/>
      <c r="J23" s="210"/>
      <c r="K23" s="50"/>
      <c r="L23" s="50"/>
      <c r="M23" s="50"/>
      <c r="N23" s="321"/>
    </row>
    <row r="24" spans="1:14" ht="15.5" thickBot="1">
      <c r="A24" s="318"/>
      <c r="B24" s="34" t="s">
        <v>150</v>
      </c>
      <c r="C24" s="79"/>
      <c r="D24" s="33"/>
      <c r="E24" s="80"/>
      <c r="F24" s="80"/>
      <c r="G24" s="81"/>
      <c r="H24" s="82"/>
      <c r="I24" s="240" t="s">
        <v>200</v>
      </c>
      <c r="J24" s="242" t="s">
        <v>201</v>
      </c>
      <c r="K24" s="20"/>
      <c r="L24" s="20"/>
      <c r="M24" s="20"/>
      <c r="N24" s="321"/>
    </row>
    <row r="25" spans="1:14" ht="15.5" thickBot="1">
      <c r="A25" s="318"/>
      <c r="B25" s="187"/>
      <c r="C25" s="73"/>
      <c r="D25" s="31"/>
      <c r="E25" s="195"/>
      <c r="F25" s="75"/>
      <c r="G25" s="191"/>
      <c r="H25" s="192"/>
      <c r="I25" s="240"/>
      <c r="J25" s="242"/>
      <c r="K25" s="50"/>
      <c r="L25" s="50"/>
      <c r="M25" s="50"/>
      <c r="N25" s="321"/>
    </row>
    <row r="26" spans="1:14" ht="15.65" customHeight="1">
      <c r="A26" s="318"/>
      <c r="B26" s="29"/>
      <c r="C26" s="29"/>
      <c r="D26" s="182" t="s">
        <v>198</v>
      </c>
      <c r="E26" s="70"/>
      <c r="F26" s="70"/>
      <c r="G26" s="71"/>
      <c r="H26" s="72"/>
      <c r="I26" s="240"/>
      <c r="J26" s="242"/>
      <c r="K26" s="87"/>
      <c r="L26" s="87"/>
      <c r="M26" s="87"/>
      <c r="N26" s="321"/>
    </row>
    <row r="27" spans="1:14">
      <c r="A27" s="318"/>
      <c r="B27" s="193" t="s">
        <v>193</v>
      </c>
      <c r="C27" s="190" t="s">
        <v>195</v>
      </c>
      <c r="D27" s="21" t="s">
        <v>152</v>
      </c>
      <c r="E27" s="195">
        <v>11</v>
      </c>
      <c r="F27" s="75" t="s">
        <v>147</v>
      </c>
      <c r="G27" s="191">
        <v>1300</v>
      </c>
      <c r="H27" s="77">
        <f>E27*G27</f>
        <v>14300</v>
      </c>
      <c r="I27" s="196"/>
      <c r="J27" s="210"/>
      <c r="K27" s="50"/>
      <c r="L27" s="50"/>
      <c r="M27" s="50"/>
      <c r="N27" s="321"/>
    </row>
    <row r="28" spans="1:14">
      <c r="A28" s="318"/>
      <c r="B28" s="21" t="s">
        <v>148</v>
      </c>
      <c r="C28" s="73" t="s">
        <v>196</v>
      </c>
      <c r="D28" s="194" t="s">
        <v>190</v>
      </c>
      <c r="E28" s="74">
        <v>11</v>
      </c>
      <c r="F28" s="75" t="s">
        <v>147</v>
      </c>
      <c r="G28" s="191">
        <v>1300</v>
      </c>
      <c r="H28" s="77">
        <f t="shared" ref="H28:H29" si="0">E28*G28</f>
        <v>14300</v>
      </c>
      <c r="I28" s="196"/>
      <c r="J28" s="210"/>
      <c r="K28" s="50"/>
      <c r="L28" s="50"/>
      <c r="M28" s="50"/>
      <c r="N28" s="321"/>
    </row>
    <row r="29" spans="1:14">
      <c r="A29" s="318"/>
      <c r="B29" s="32" t="s">
        <v>194</v>
      </c>
      <c r="C29" s="73" t="s">
        <v>197</v>
      </c>
      <c r="D29" s="30" t="s">
        <v>199</v>
      </c>
      <c r="E29" s="74">
        <v>11</v>
      </c>
      <c r="F29" s="75" t="s">
        <v>147</v>
      </c>
      <c r="G29" s="191">
        <v>1300</v>
      </c>
      <c r="H29" s="77">
        <f t="shared" si="0"/>
        <v>14300</v>
      </c>
      <c r="I29" s="196"/>
      <c r="J29" s="210"/>
      <c r="K29" s="50"/>
      <c r="L29" s="50"/>
      <c r="M29" s="50"/>
      <c r="N29" s="321"/>
    </row>
    <row r="30" spans="1:14" ht="15.5" thickBot="1">
      <c r="A30" s="319"/>
      <c r="B30" s="34" t="s">
        <v>153</v>
      </c>
      <c r="C30" s="79"/>
      <c r="D30" s="33"/>
      <c r="E30" s="80"/>
      <c r="F30" s="80"/>
      <c r="G30" s="81"/>
      <c r="H30" s="82"/>
      <c r="I30" s="204"/>
      <c r="J30" s="211"/>
      <c r="K30" s="19"/>
      <c r="L30" s="19"/>
      <c r="M30" s="19"/>
      <c r="N30" s="322"/>
    </row>
    <row r="31" spans="1:14" ht="15.5" thickBot="1">
      <c r="A31" s="208"/>
      <c r="B31" s="193"/>
      <c r="C31" s="243"/>
      <c r="D31" s="194"/>
      <c r="E31" s="223"/>
      <c r="F31" s="206"/>
      <c r="G31" s="83"/>
      <c r="H31" s="84"/>
      <c r="I31" s="196"/>
      <c r="J31" s="210"/>
      <c r="K31" s="16"/>
      <c r="L31" s="16"/>
      <c r="M31" s="16"/>
      <c r="N31" s="197"/>
    </row>
    <row r="32" spans="1:14" ht="15.65" customHeight="1">
      <c r="A32" s="317" t="s">
        <v>213</v>
      </c>
      <c r="B32" s="29"/>
      <c r="C32" s="72"/>
      <c r="D32" s="182" t="s">
        <v>166</v>
      </c>
      <c r="E32" s="70"/>
      <c r="F32" s="70"/>
      <c r="G32" s="71"/>
      <c r="H32" s="72"/>
      <c r="I32" s="203"/>
      <c r="J32" s="209"/>
      <c r="K32" s="72"/>
      <c r="L32" s="72"/>
      <c r="M32" s="72"/>
      <c r="N32" s="320">
        <v>2</v>
      </c>
    </row>
    <row r="33" spans="1:14">
      <c r="A33" s="318"/>
      <c r="B33" s="193" t="s">
        <v>202</v>
      </c>
      <c r="C33" s="73" t="s">
        <v>204</v>
      </c>
      <c r="D33" s="21" t="s">
        <v>145</v>
      </c>
      <c r="E33" s="195">
        <v>58</v>
      </c>
      <c r="F33" s="75" t="s">
        <v>146</v>
      </c>
      <c r="G33" s="191">
        <v>870</v>
      </c>
      <c r="H33" s="192">
        <f>E33*G33</f>
        <v>50460</v>
      </c>
      <c r="I33" s="240"/>
      <c r="J33" s="242"/>
      <c r="K33" s="50"/>
      <c r="L33" s="78"/>
      <c r="M33" s="50"/>
      <c r="N33" s="321"/>
    </row>
    <row r="34" spans="1:14" ht="16.5">
      <c r="A34" s="318"/>
      <c r="B34" s="21" t="s">
        <v>145</v>
      </c>
      <c r="C34" s="190"/>
      <c r="D34" s="205" t="s">
        <v>177</v>
      </c>
      <c r="E34" s="74"/>
      <c r="F34" s="75"/>
      <c r="G34" s="191"/>
      <c r="H34" s="192"/>
      <c r="I34" s="240"/>
      <c r="J34" s="242"/>
      <c r="K34" s="50"/>
      <c r="L34" s="50"/>
      <c r="M34" s="50"/>
      <c r="N34" s="321"/>
    </row>
    <row r="35" spans="1:14">
      <c r="A35" s="318"/>
      <c r="B35" s="32" t="s">
        <v>203</v>
      </c>
      <c r="C35" s="73"/>
      <c r="D35" s="31" t="s">
        <v>205</v>
      </c>
      <c r="E35" s="74"/>
      <c r="F35" s="75"/>
      <c r="G35" s="76"/>
      <c r="H35" s="77"/>
      <c r="I35" s="240" t="s">
        <v>212</v>
      </c>
      <c r="J35" s="242"/>
      <c r="K35" s="50"/>
      <c r="L35" s="50"/>
      <c r="M35" s="50"/>
      <c r="N35" s="321"/>
    </row>
    <row r="36" spans="1:14" ht="15.5" thickBot="1">
      <c r="A36" s="318"/>
      <c r="B36" s="34" t="s">
        <v>153</v>
      </c>
      <c r="C36" s="79"/>
      <c r="D36" s="33"/>
      <c r="E36" s="80"/>
      <c r="F36" s="80"/>
      <c r="G36" s="81"/>
      <c r="H36" s="82"/>
      <c r="I36" s="240"/>
      <c r="J36" s="242"/>
      <c r="K36" s="19"/>
      <c r="L36" s="19"/>
      <c r="M36" s="19"/>
      <c r="N36" s="321"/>
    </row>
    <row r="37" spans="1:14" ht="15.5" thickBot="1">
      <c r="A37" s="318"/>
      <c r="B37" s="193"/>
      <c r="C37" s="243"/>
      <c r="D37" s="194"/>
      <c r="E37" s="223"/>
      <c r="F37" s="206"/>
      <c r="G37" s="83"/>
      <c r="H37" s="84"/>
      <c r="I37" s="240"/>
      <c r="J37" s="242" t="s">
        <v>201</v>
      </c>
      <c r="K37" s="16"/>
      <c r="L37" s="16"/>
      <c r="M37" s="16"/>
      <c r="N37" s="321"/>
    </row>
    <row r="38" spans="1:14" ht="15.65" customHeight="1">
      <c r="A38" s="318"/>
      <c r="B38" s="29"/>
      <c r="C38" s="72"/>
      <c r="D38" s="182" t="s">
        <v>210</v>
      </c>
      <c r="E38" s="70"/>
      <c r="F38" s="70"/>
      <c r="G38" s="71"/>
      <c r="H38" s="72"/>
      <c r="I38" s="240"/>
      <c r="J38" s="242"/>
      <c r="K38" s="72"/>
      <c r="L38" s="72"/>
      <c r="M38" s="72"/>
      <c r="N38" s="321"/>
    </row>
    <row r="39" spans="1:14">
      <c r="A39" s="318"/>
      <c r="B39" s="193" t="s">
        <v>206</v>
      </c>
      <c r="C39" s="73" t="s">
        <v>208</v>
      </c>
      <c r="D39" s="21" t="s">
        <v>145</v>
      </c>
      <c r="E39" s="195">
        <v>61</v>
      </c>
      <c r="F39" s="75" t="s">
        <v>146</v>
      </c>
      <c r="G39" s="191">
        <v>1040</v>
      </c>
      <c r="H39" s="192">
        <f>E39*G39</f>
        <v>63440</v>
      </c>
      <c r="I39" s="240"/>
      <c r="J39" s="242"/>
      <c r="K39" s="50"/>
      <c r="L39" s="78"/>
      <c r="M39" s="50"/>
      <c r="N39" s="321"/>
    </row>
    <row r="40" spans="1:14" ht="16.5">
      <c r="A40" s="318"/>
      <c r="B40" s="21" t="s">
        <v>145</v>
      </c>
      <c r="C40" s="190" t="s">
        <v>209</v>
      </c>
      <c r="D40" s="205" t="s">
        <v>177</v>
      </c>
      <c r="E40" s="195">
        <v>65</v>
      </c>
      <c r="F40" s="75" t="s">
        <v>146</v>
      </c>
      <c r="G40" s="191">
        <v>1040</v>
      </c>
      <c r="H40" s="192">
        <f>E40*G40</f>
        <v>67600</v>
      </c>
      <c r="I40" s="240"/>
      <c r="J40" s="242"/>
      <c r="K40" s="50"/>
      <c r="L40" s="50"/>
      <c r="M40" s="50"/>
      <c r="N40" s="321"/>
    </row>
    <row r="41" spans="1:14">
      <c r="A41" s="318"/>
      <c r="B41" s="32" t="s">
        <v>207</v>
      </c>
      <c r="C41" s="73"/>
      <c r="D41" s="31" t="s">
        <v>211</v>
      </c>
      <c r="E41" s="74"/>
      <c r="F41" s="75"/>
      <c r="G41" s="76"/>
      <c r="H41" s="77"/>
      <c r="I41" s="240"/>
      <c r="J41" s="242"/>
      <c r="K41" s="50"/>
      <c r="L41" s="50"/>
      <c r="M41" s="50"/>
      <c r="N41" s="321"/>
    </row>
    <row r="42" spans="1:14" ht="15.5" thickBot="1">
      <c r="A42" s="319"/>
      <c r="B42" s="34" t="s">
        <v>153</v>
      </c>
      <c r="C42" s="79"/>
      <c r="D42" s="33"/>
      <c r="E42" s="80"/>
      <c r="F42" s="80"/>
      <c r="G42" s="81"/>
      <c r="H42" s="82"/>
      <c r="I42" s="204"/>
      <c r="J42" s="211"/>
      <c r="K42" s="19"/>
      <c r="L42" s="19"/>
      <c r="M42" s="19"/>
      <c r="N42" s="322"/>
    </row>
    <row r="43" spans="1:14" ht="15.5" thickBot="1">
      <c r="A43" s="208"/>
      <c r="B43" s="193"/>
      <c r="C43" s="243"/>
      <c r="D43" s="194"/>
      <c r="E43" s="223"/>
      <c r="F43" s="206"/>
      <c r="G43" s="83"/>
      <c r="H43" s="84"/>
      <c r="I43" s="196"/>
      <c r="J43" s="210"/>
      <c r="K43" s="16"/>
      <c r="L43" s="16"/>
      <c r="M43" s="16"/>
      <c r="N43" s="197"/>
    </row>
    <row r="44" spans="1:14" ht="15.65" customHeight="1">
      <c r="A44" s="317" t="s">
        <v>214</v>
      </c>
      <c r="B44" s="29"/>
      <c r="C44" s="72"/>
      <c r="D44" s="182" t="s">
        <v>166</v>
      </c>
      <c r="E44" s="70"/>
      <c r="F44" s="70"/>
      <c r="G44" s="71"/>
      <c r="H44" s="72"/>
      <c r="I44" s="203"/>
      <c r="J44" s="209"/>
      <c r="K44" s="72"/>
      <c r="L44" s="72"/>
      <c r="M44" s="72"/>
      <c r="N44" s="320">
        <v>1</v>
      </c>
    </row>
    <row r="45" spans="1:14">
      <c r="A45" s="318"/>
      <c r="B45" s="193" t="s">
        <v>215</v>
      </c>
      <c r="C45" s="73" t="s">
        <v>217</v>
      </c>
      <c r="D45" s="21" t="s">
        <v>145</v>
      </c>
      <c r="E45" s="195">
        <v>50</v>
      </c>
      <c r="F45" s="75" t="s">
        <v>146</v>
      </c>
      <c r="G45" s="191">
        <v>1680</v>
      </c>
      <c r="H45" s="192">
        <f>E45*G45</f>
        <v>84000</v>
      </c>
      <c r="I45" s="196" t="s">
        <v>219</v>
      </c>
      <c r="J45" s="210" t="s">
        <v>181</v>
      </c>
      <c r="K45" s="50"/>
      <c r="L45" s="78"/>
      <c r="M45" s="50"/>
      <c r="N45" s="326"/>
    </row>
    <row r="46" spans="1:14" ht="16.5">
      <c r="A46" s="318"/>
      <c r="B46" s="21" t="s">
        <v>145</v>
      </c>
      <c r="C46" s="190"/>
      <c r="D46" s="205" t="s">
        <v>177</v>
      </c>
      <c r="E46" s="74"/>
      <c r="F46" s="75"/>
      <c r="G46" s="191"/>
      <c r="H46" s="192"/>
      <c r="I46" s="196"/>
      <c r="J46" s="210"/>
      <c r="K46" s="50"/>
      <c r="L46" s="50"/>
      <c r="M46" s="50"/>
      <c r="N46" s="326"/>
    </row>
    <row r="47" spans="1:14">
      <c r="A47" s="318"/>
      <c r="B47" s="32" t="s">
        <v>216</v>
      </c>
      <c r="C47" s="73"/>
      <c r="D47" s="31" t="s">
        <v>218</v>
      </c>
      <c r="E47" s="74"/>
      <c r="F47" s="75"/>
      <c r="G47" s="76"/>
      <c r="H47" s="77"/>
      <c r="I47" s="196"/>
      <c r="J47" s="210"/>
      <c r="K47" s="50"/>
      <c r="L47" s="50"/>
      <c r="M47" s="50"/>
      <c r="N47" s="326"/>
    </row>
    <row r="48" spans="1:14" ht="15.5" thickBot="1">
      <c r="A48" s="319"/>
      <c r="B48" s="34" t="s">
        <v>153</v>
      </c>
      <c r="C48" s="79"/>
      <c r="D48" s="33"/>
      <c r="E48" s="80"/>
      <c r="F48" s="80"/>
      <c r="G48" s="81"/>
      <c r="H48" s="82"/>
      <c r="I48" s="204"/>
      <c r="J48" s="211"/>
      <c r="K48" s="19"/>
      <c r="L48" s="19"/>
      <c r="M48" s="19"/>
      <c r="N48" s="322"/>
    </row>
    <row r="49" spans="1:14" ht="15.5" thickBot="1">
      <c r="A49" s="208"/>
      <c r="B49" s="247"/>
      <c r="C49" s="243"/>
      <c r="D49" s="248"/>
      <c r="E49" s="244"/>
      <c r="F49" s="245"/>
      <c r="G49" s="238"/>
      <c r="H49" s="239"/>
      <c r="I49" s="240"/>
      <c r="J49" s="242"/>
      <c r="K49" s="241"/>
      <c r="L49" s="241"/>
      <c r="M49" s="241"/>
      <c r="N49" s="246"/>
    </row>
    <row r="50" spans="1:14" ht="15.65" customHeight="1">
      <c r="A50" s="327" t="s">
        <v>250</v>
      </c>
      <c r="B50" s="271"/>
      <c r="C50" s="29"/>
      <c r="D50" s="182" t="s">
        <v>241</v>
      </c>
      <c r="E50" s="70"/>
      <c r="F50" s="70"/>
      <c r="G50" s="71"/>
      <c r="H50" s="72"/>
      <c r="I50" s="203"/>
      <c r="J50" s="209"/>
      <c r="K50" s="72"/>
      <c r="L50" s="72"/>
      <c r="M50" s="72"/>
      <c r="N50" s="320">
        <v>1</v>
      </c>
    </row>
    <row r="51" spans="1:14">
      <c r="A51" s="328"/>
      <c r="B51" s="272" t="s">
        <v>240</v>
      </c>
      <c r="C51" s="190" t="s">
        <v>242</v>
      </c>
      <c r="D51" s="21" t="s">
        <v>160</v>
      </c>
      <c r="E51" s="195">
        <v>270</v>
      </c>
      <c r="F51" s="75" t="s">
        <v>85</v>
      </c>
      <c r="G51" s="191">
        <v>50</v>
      </c>
      <c r="H51" s="77">
        <f>E51*G51</f>
        <v>13500</v>
      </c>
      <c r="I51" s="240"/>
      <c r="J51" s="242"/>
      <c r="K51" s="50"/>
      <c r="L51" s="50"/>
      <c r="M51" s="50"/>
      <c r="N51" s="321"/>
    </row>
    <row r="52" spans="1:14" ht="16.5">
      <c r="A52" s="328"/>
      <c r="B52" s="273" t="s">
        <v>158</v>
      </c>
      <c r="C52" s="73"/>
      <c r="D52" s="205"/>
      <c r="E52" s="74"/>
      <c r="F52" s="75"/>
      <c r="G52" s="191"/>
      <c r="H52" s="77"/>
      <c r="I52" s="240"/>
      <c r="J52" s="242"/>
      <c r="K52" s="50"/>
      <c r="L52" s="50"/>
      <c r="M52" s="50"/>
      <c r="N52" s="321"/>
    </row>
    <row r="53" spans="1:14">
      <c r="A53" s="328"/>
      <c r="B53" s="274" t="s">
        <v>159</v>
      </c>
      <c r="C53" s="73"/>
      <c r="D53" s="31"/>
      <c r="E53" s="74"/>
      <c r="F53" s="75"/>
      <c r="G53" s="76"/>
      <c r="H53" s="77"/>
      <c r="I53" s="240"/>
      <c r="J53" s="242"/>
      <c r="K53" s="50"/>
      <c r="L53" s="50"/>
      <c r="M53" s="50"/>
      <c r="N53" s="321"/>
    </row>
    <row r="54" spans="1:14" ht="15.5" thickBot="1">
      <c r="A54" s="328"/>
      <c r="B54" s="275" t="s">
        <v>239</v>
      </c>
      <c r="C54" s="79"/>
      <c r="D54" s="33"/>
      <c r="E54" s="80"/>
      <c r="F54" s="80"/>
      <c r="G54" s="81"/>
      <c r="H54" s="82"/>
      <c r="I54" s="240"/>
      <c r="J54" s="242"/>
      <c r="K54" s="50"/>
      <c r="L54" s="50"/>
      <c r="M54" s="50"/>
      <c r="N54" s="321"/>
    </row>
    <row r="55" spans="1:14" ht="15.5" thickBot="1">
      <c r="A55" s="328"/>
      <c r="B55" s="247"/>
      <c r="C55" s="243"/>
      <c r="D55" s="248"/>
      <c r="E55" s="244"/>
      <c r="F55" s="245"/>
      <c r="G55" s="238"/>
      <c r="H55" s="239"/>
      <c r="I55" s="240"/>
      <c r="J55" s="242"/>
      <c r="K55" s="50"/>
      <c r="L55" s="50"/>
      <c r="M55" s="50"/>
      <c r="N55" s="321"/>
    </row>
    <row r="56" spans="1:14" ht="15.65" customHeight="1">
      <c r="A56" s="328"/>
      <c r="B56" s="271"/>
      <c r="C56" s="29"/>
      <c r="D56" s="182" t="s">
        <v>247</v>
      </c>
      <c r="E56" s="70"/>
      <c r="F56" s="70"/>
      <c r="G56" s="71"/>
      <c r="H56" s="72"/>
      <c r="I56" s="240" t="s">
        <v>251</v>
      </c>
      <c r="J56" s="242" t="s">
        <v>252</v>
      </c>
      <c r="K56" s="50"/>
      <c r="L56" s="50"/>
      <c r="M56" s="50"/>
      <c r="N56" s="321"/>
    </row>
    <row r="57" spans="1:14">
      <c r="A57" s="328"/>
      <c r="B57" s="272" t="s">
        <v>243</v>
      </c>
      <c r="C57" s="190" t="s">
        <v>246</v>
      </c>
      <c r="D57" s="21" t="s">
        <v>280</v>
      </c>
      <c r="E57" s="195">
        <v>250</v>
      </c>
      <c r="F57" s="75" t="s">
        <v>85</v>
      </c>
      <c r="G57" s="191">
        <v>30</v>
      </c>
      <c r="H57" s="77">
        <f>E57*G57</f>
        <v>7500</v>
      </c>
      <c r="I57" s="240"/>
      <c r="J57" s="242"/>
      <c r="K57" s="50"/>
      <c r="L57" s="50"/>
      <c r="M57" s="50"/>
      <c r="N57" s="321"/>
    </row>
    <row r="58" spans="1:14" ht="16.5">
      <c r="A58" s="328"/>
      <c r="B58" s="273" t="s">
        <v>244</v>
      </c>
      <c r="C58" s="73"/>
      <c r="D58" s="205"/>
      <c r="E58" s="74"/>
      <c r="F58" s="75"/>
      <c r="G58" s="191"/>
      <c r="H58" s="77"/>
      <c r="I58" s="240"/>
      <c r="J58" s="242"/>
      <c r="K58" s="50"/>
      <c r="L58" s="50"/>
      <c r="M58" s="50"/>
      <c r="N58" s="321"/>
    </row>
    <row r="59" spans="1:14" ht="15.5" thickBot="1">
      <c r="A59" s="328"/>
      <c r="B59" s="282" t="s">
        <v>245</v>
      </c>
      <c r="C59" s="79"/>
      <c r="D59" s="33"/>
      <c r="E59" s="283"/>
      <c r="F59" s="186"/>
      <c r="G59" s="81"/>
      <c r="H59" s="82"/>
      <c r="I59" s="240"/>
      <c r="J59" s="242"/>
      <c r="K59" s="50"/>
      <c r="L59" s="50"/>
      <c r="M59" s="50"/>
      <c r="N59" s="321"/>
    </row>
    <row r="60" spans="1:14" ht="15.5" thickBot="1">
      <c r="A60" s="328"/>
      <c r="B60" s="247"/>
      <c r="C60" s="243"/>
      <c r="D60" s="248"/>
      <c r="E60" s="244"/>
      <c r="F60" s="245"/>
      <c r="G60" s="238"/>
      <c r="H60" s="239"/>
      <c r="I60" s="240"/>
      <c r="J60" s="242"/>
      <c r="K60" s="50"/>
      <c r="L60" s="50"/>
      <c r="M60" s="50"/>
      <c r="N60" s="321"/>
    </row>
    <row r="61" spans="1:14" ht="15.65" customHeight="1">
      <c r="A61" s="328"/>
      <c r="B61" s="271"/>
      <c r="C61" s="29"/>
      <c r="D61" s="182" t="s">
        <v>256</v>
      </c>
      <c r="E61" s="70"/>
      <c r="F61" s="70"/>
      <c r="G61" s="71"/>
      <c r="H61" s="72"/>
      <c r="I61" s="240"/>
      <c r="J61" s="242"/>
      <c r="K61" s="50"/>
      <c r="L61" s="50"/>
      <c r="M61" s="50"/>
      <c r="N61" s="321"/>
    </row>
    <row r="62" spans="1:14">
      <c r="A62" s="328"/>
      <c r="B62" s="272" t="s">
        <v>253</v>
      </c>
      <c r="C62" s="190" t="s">
        <v>154</v>
      </c>
      <c r="D62" s="21" t="s">
        <v>257</v>
      </c>
      <c r="E62" s="195">
        <v>210</v>
      </c>
      <c r="F62" s="75" t="s">
        <v>85</v>
      </c>
      <c r="G62" s="191">
        <v>10</v>
      </c>
      <c r="H62" s="77">
        <f>E62*G62</f>
        <v>2100</v>
      </c>
      <c r="I62" s="240"/>
      <c r="J62" s="242"/>
      <c r="K62" s="50"/>
      <c r="L62" s="50"/>
      <c r="M62" s="50"/>
      <c r="N62" s="321"/>
    </row>
    <row r="63" spans="1:14" ht="16.5">
      <c r="A63" s="328"/>
      <c r="B63" s="273" t="s">
        <v>254</v>
      </c>
      <c r="C63" s="73"/>
      <c r="D63" s="205"/>
      <c r="E63" s="74"/>
      <c r="F63" s="75"/>
      <c r="G63" s="191"/>
      <c r="H63" s="77"/>
      <c r="I63" s="240"/>
      <c r="J63" s="242"/>
      <c r="K63" s="50"/>
      <c r="L63" s="50"/>
      <c r="M63" s="50"/>
      <c r="N63" s="321"/>
    </row>
    <row r="64" spans="1:14" ht="15.5" thickBot="1">
      <c r="A64" s="328"/>
      <c r="B64" s="282" t="s">
        <v>255</v>
      </c>
      <c r="C64" s="79"/>
      <c r="D64" s="33"/>
      <c r="E64" s="283"/>
      <c r="F64" s="186"/>
      <c r="G64" s="81"/>
      <c r="H64" s="82"/>
      <c r="I64" s="240"/>
      <c r="J64" s="242"/>
      <c r="K64" s="50"/>
      <c r="L64" s="50"/>
      <c r="M64" s="50"/>
      <c r="N64" s="321"/>
    </row>
    <row r="65" spans="1:14" ht="15.5" thickBot="1">
      <c r="A65" s="328"/>
      <c r="B65" s="276"/>
      <c r="C65" s="277"/>
      <c r="D65" s="278"/>
      <c r="E65" s="279"/>
      <c r="F65" s="279"/>
      <c r="G65" s="280"/>
      <c r="H65" s="281"/>
      <c r="I65" s="284"/>
      <c r="J65" s="242"/>
      <c r="K65" s="50"/>
      <c r="L65" s="50"/>
      <c r="M65" s="50"/>
      <c r="N65" s="321"/>
    </row>
    <row r="66" spans="1:14" ht="18" thickBot="1">
      <c r="A66" s="328"/>
      <c r="B66" s="257" t="s">
        <v>223</v>
      </c>
      <c r="C66" s="258"/>
      <c r="D66" s="259" t="s">
        <v>231</v>
      </c>
      <c r="E66" s="260">
        <v>1</v>
      </c>
      <c r="F66" s="183" t="s">
        <v>85</v>
      </c>
      <c r="G66" s="261">
        <v>3000</v>
      </c>
      <c r="H66" s="261">
        <f t="shared" ref="H66:H68" si="1">E66*G66</f>
        <v>3000</v>
      </c>
      <c r="I66" s="240"/>
      <c r="J66" s="242"/>
      <c r="K66" s="50"/>
      <c r="L66" s="262"/>
      <c r="M66" s="50"/>
      <c r="N66" s="321"/>
    </row>
    <row r="67" spans="1:14" ht="18" thickBot="1">
      <c r="A67" s="328"/>
      <c r="B67" s="257" t="s">
        <v>225</v>
      </c>
      <c r="C67" s="258"/>
      <c r="D67" s="259" t="s">
        <v>233</v>
      </c>
      <c r="E67" s="260">
        <v>1</v>
      </c>
      <c r="F67" s="183" t="s">
        <v>85</v>
      </c>
      <c r="G67" s="261">
        <v>3000</v>
      </c>
      <c r="H67" s="261">
        <f t="shared" si="1"/>
        <v>3000</v>
      </c>
      <c r="I67" s="240"/>
      <c r="J67" s="242"/>
      <c r="K67" s="50"/>
      <c r="L67" s="262"/>
      <c r="M67" s="50"/>
      <c r="N67" s="321"/>
    </row>
    <row r="68" spans="1:14" ht="18" thickBot="1">
      <c r="A68" s="328"/>
      <c r="B68" s="257" t="s">
        <v>227</v>
      </c>
      <c r="C68" s="258"/>
      <c r="D68" s="259" t="s">
        <v>235</v>
      </c>
      <c r="E68" s="260">
        <v>1</v>
      </c>
      <c r="F68" s="183" t="s">
        <v>85</v>
      </c>
      <c r="G68" s="261">
        <v>3000</v>
      </c>
      <c r="H68" s="261">
        <f t="shared" si="1"/>
        <v>3000</v>
      </c>
      <c r="I68" s="240"/>
      <c r="J68" s="242"/>
      <c r="K68" s="50"/>
      <c r="L68" s="262"/>
      <c r="M68" s="50"/>
      <c r="N68" s="321"/>
    </row>
    <row r="69" spans="1:14" ht="18" thickBot="1">
      <c r="A69" s="328"/>
      <c r="B69" s="257" t="s">
        <v>229</v>
      </c>
      <c r="C69" s="258"/>
      <c r="D69" s="259" t="s">
        <v>237</v>
      </c>
      <c r="E69" s="260">
        <v>1</v>
      </c>
      <c r="F69" s="183" t="s">
        <v>85</v>
      </c>
      <c r="G69" s="261">
        <v>3000</v>
      </c>
      <c r="H69" s="261">
        <f t="shared" ref="H69" si="2">E69*G69</f>
        <v>3000</v>
      </c>
      <c r="I69" s="240"/>
      <c r="J69" s="242"/>
      <c r="K69" s="50"/>
      <c r="L69" s="262"/>
      <c r="M69" s="50"/>
      <c r="N69" s="321"/>
    </row>
    <row r="70" spans="1:14" ht="15.65" customHeight="1" thickBot="1">
      <c r="A70" s="328"/>
      <c r="B70" s="263"/>
      <c r="C70" s="29"/>
      <c r="D70" s="230"/>
      <c r="E70" s="70"/>
      <c r="F70" s="70"/>
      <c r="G70" s="71"/>
      <c r="H70" s="72"/>
      <c r="I70" s="240"/>
      <c r="J70" s="242"/>
      <c r="K70" s="50"/>
      <c r="L70" s="50"/>
      <c r="M70" s="50"/>
      <c r="N70" s="321"/>
    </row>
    <row r="71" spans="1:14" ht="15.65" customHeight="1" thickBot="1">
      <c r="A71" s="328"/>
      <c r="B71" s="285"/>
      <c r="C71" s="29"/>
      <c r="D71" s="252" t="s">
        <v>249</v>
      </c>
      <c r="E71" s="70"/>
      <c r="F71" s="70"/>
      <c r="G71" s="71"/>
      <c r="H71" s="72"/>
      <c r="I71" s="240"/>
      <c r="J71" s="242"/>
      <c r="K71" s="50"/>
      <c r="L71" s="50"/>
      <c r="M71" s="50"/>
      <c r="N71" s="321"/>
    </row>
    <row r="72" spans="1:14" ht="18.5" customHeight="1" thickBot="1">
      <c r="A72" s="328"/>
      <c r="B72" s="264" t="s">
        <v>220</v>
      </c>
      <c r="C72" s="265"/>
      <c r="D72" s="266" t="s">
        <v>221</v>
      </c>
      <c r="E72" s="267">
        <v>500</v>
      </c>
      <c r="F72" s="268" t="s">
        <v>85</v>
      </c>
      <c r="G72" s="269">
        <v>50</v>
      </c>
      <c r="H72" s="269">
        <f t="shared" ref="H72" si="3">E72*G72</f>
        <v>25000</v>
      </c>
      <c r="I72" s="240"/>
      <c r="J72" s="242"/>
      <c r="K72" s="50"/>
      <c r="L72" s="262"/>
      <c r="M72" s="50"/>
      <c r="N72" s="321"/>
    </row>
    <row r="73" spans="1:14" ht="18.5" customHeight="1" thickBot="1">
      <c r="A73" s="329"/>
      <c r="B73" s="264" t="s">
        <v>238</v>
      </c>
      <c r="C73" s="265"/>
      <c r="D73" s="266" t="s">
        <v>238</v>
      </c>
      <c r="E73" s="267">
        <v>500</v>
      </c>
      <c r="F73" s="268" t="s">
        <v>85</v>
      </c>
      <c r="G73" s="269">
        <v>5</v>
      </c>
      <c r="H73" s="269">
        <f t="shared" ref="H73" si="4">E73*G73</f>
        <v>2500</v>
      </c>
      <c r="I73" s="204"/>
      <c r="J73" s="211"/>
      <c r="K73" s="19"/>
      <c r="L73" s="270"/>
      <c r="M73" s="19"/>
      <c r="N73" s="322"/>
    </row>
    <row r="74" spans="1:14" ht="15.5" thickBot="1">
      <c r="A74" s="208"/>
      <c r="B74" s="193"/>
      <c r="C74" s="243"/>
      <c r="D74" s="194"/>
      <c r="E74" s="223"/>
      <c r="F74" s="206"/>
      <c r="G74" s="83"/>
      <c r="H74" s="84"/>
      <c r="I74" s="196"/>
      <c r="J74" s="210"/>
      <c r="K74" s="16"/>
      <c r="L74" s="16"/>
      <c r="M74" s="16"/>
      <c r="N74" s="197"/>
    </row>
    <row r="75" spans="1:14">
      <c r="A75" s="221"/>
      <c r="B75" s="212"/>
      <c r="C75" s="230"/>
      <c r="D75" s="213"/>
      <c r="E75" s="222">
        <f>SUMIF($F$8:$F$73,"M.",$E$8:$E$73)</f>
        <v>919.09999999999991</v>
      </c>
      <c r="F75" s="183" t="s">
        <v>146</v>
      </c>
      <c r="G75" s="218"/>
      <c r="H75" s="227">
        <f>SUMIF($F$8:$F$73,"M.",$H$8:$H$74)</f>
        <v>1122033</v>
      </c>
      <c r="I75" s="218"/>
      <c r="J75" s="253"/>
      <c r="K75" s="72"/>
      <c r="L75" s="72"/>
      <c r="M75" s="72"/>
      <c r="N75" s="254"/>
    </row>
    <row r="76" spans="1:14">
      <c r="A76" s="50"/>
      <c r="B76" s="21"/>
      <c r="C76" s="50"/>
      <c r="D76" s="88"/>
      <c r="E76" s="86">
        <f>SUMIF($F$8:$F$73,"PCS.",$E$8:$E$73)</f>
        <v>1734</v>
      </c>
      <c r="F76" s="85" t="s">
        <v>85</v>
      </c>
      <c r="G76" s="50"/>
      <c r="H76" s="228">
        <f>SUMIF($F$8:$F$73,"PCS.",$H$8:$H$73)</f>
        <v>62600</v>
      </c>
      <c r="I76" s="50"/>
      <c r="J76" s="89"/>
      <c r="K76" s="50"/>
      <c r="L76" s="50"/>
      <c r="M76" s="50"/>
      <c r="N76" s="90"/>
    </row>
    <row r="77" spans="1:14">
      <c r="A77" s="20"/>
      <c r="B77" s="62"/>
      <c r="C77" s="20"/>
      <c r="D77" s="231"/>
      <c r="E77" s="86"/>
      <c r="F77" s="85"/>
      <c r="G77" s="50"/>
      <c r="H77" s="228"/>
      <c r="I77" s="50"/>
      <c r="J77" s="89"/>
      <c r="K77" s="50"/>
      <c r="L77" s="50"/>
      <c r="M77" s="50"/>
      <c r="N77" s="90"/>
    </row>
    <row r="78" spans="1:14" ht="14" customHeight="1" thickBot="1">
      <c r="A78" s="232"/>
      <c r="B78" s="233" t="s">
        <v>143</v>
      </c>
      <c r="C78" s="234" t="s">
        <v>258</v>
      </c>
      <c r="D78" s="235"/>
      <c r="E78" s="233"/>
      <c r="F78" s="236"/>
      <c r="G78" s="19" t="s">
        <v>149</v>
      </c>
      <c r="H78" s="237">
        <f>SUM(H8:H73)</f>
        <v>1184633</v>
      </c>
      <c r="I78" s="204"/>
      <c r="J78" s="214"/>
      <c r="K78" s="215"/>
      <c r="L78" s="216"/>
      <c r="M78" s="202"/>
      <c r="N78" s="217"/>
    </row>
    <row r="82" spans="3:3">
      <c r="C82" s="3"/>
    </row>
    <row r="83" spans="3:3">
      <c r="C83" s="3"/>
    </row>
    <row r="130" spans="1:1">
      <c r="A130" s="7" t="s">
        <v>99</v>
      </c>
    </row>
  </sheetData>
  <mergeCells count="14">
    <mergeCell ref="A44:A48"/>
    <mergeCell ref="N44:N48"/>
    <mergeCell ref="A50:A73"/>
    <mergeCell ref="N50:N73"/>
    <mergeCell ref="A32:A42"/>
    <mergeCell ref="N32:N42"/>
    <mergeCell ref="A20:A30"/>
    <mergeCell ref="N20:N30"/>
    <mergeCell ref="A2:H2"/>
    <mergeCell ref="F4:G4"/>
    <mergeCell ref="A8:A12"/>
    <mergeCell ref="N8:N12"/>
    <mergeCell ref="A14:A18"/>
    <mergeCell ref="N14:N18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AA30-AEBA-411D-862A-A9F51C8583D4}">
  <sheetPr>
    <tabColor rgb="FFFF0000"/>
    <pageSetUpPr fitToPage="1"/>
  </sheetPr>
  <dimension ref="A1:I10"/>
  <sheetViews>
    <sheetView view="pageBreakPreview" zoomScale="30" zoomScaleNormal="90" zoomScaleSheetLayoutView="30" workbookViewId="0">
      <selection activeCell="M8" sqref="M8"/>
    </sheetView>
  </sheetViews>
  <sheetFormatPr defaultRowHeight="31.5"/>
  <cols>
    <col min="1" max="1" width="14.453125" customWidth="1"/>
    <col min="2" max="2" width="40.90625" style="286" customWidth="1"/>
    <col min="3" max="3" width="41.36328125" style="287" customWidth="1"/>
    <col min="4" max="4" width="86.08984375" style="287" customWidth="1"/>
    <col min="5" max="5" width="42.08984375" style="287" customWidth="1"/>
    <col min="6" max="6" width="38.1796875" style="289" customWidth="1"/>
    <col min="7" max="7" width="67.26953125" style="289" customWidth="1"/>
    <col min="8" max="8" width="42.1796875" style="290" customWidth="1"/>
    <col min="9" max="9" width="34.90625" style="291" customWidth="1"/>
    <col min="10" max="16" width="34.90625" customWidth="1"/>
  </cols>
  <sheetData>
    <row r="1" spans="1:9">
      <c r="D1" s="288" t="s">
        <v>259</v>
      </c>
    </row>
    <row r="2" spans="1:9" s="296" customFormat="1" ht="88.4" customHeight="1" thickBot="1">
      <c r="A2" s="292"/>
      <c r="B2" s="293" t="s">
        <v>260</v>
      </c>
      <c r="C2" s="294" t="s">
        <v>261</v>
      </c>
      <c r="D2" s="294"/>
      <c r="E2" s="294" t="s">
        <v>262</v>
      </c>
      <c r="F2" s="295" t="s">
        <v>263</v>
      </c>
      <c r="G2" s="295" t="s">
        <v>264</v>
      </c>
      <c r="H2" s="294" t="s">
        <v>265</v>
      </c>
      <c r="I2" s="295" t="s">
        <v>266</v>
      </c>
    </row>
    <row r="3" spans="1:9" ht="194.9" customHeight="1" thickBot="1">
      <c r="A3" s="297"/>
      <c r="B3" s="298" t="s">
        <v>222</v>
      </c>
      <c r="C3" s="299" t="s">
        <v>268</v>
      </c>
      <c r="D3" s="300" t="s">
        <v>230</v>
      </c>
      <c r="E3" s="301" t="s">
        <v>267</v>
      </c>
      <c r="F3" s="302" t="s">
        <v>148</v>
      </c>
      <c r="G3" s="302"/>
      <c r="H3" s="302" t="s">
        <v>191</v>
      </c>
      <c r="I3" s="330">
        <v>22</v>
      </c>
    </row>
    <row r="4" spans="1:9" ht="194.9" customHeight="1" thickBot="1">
      <c r="A4" s="297"/>
      <c r="B4" s="298" t="s">
        <v>224</v>
      </c>
      <c r="C4" s="299" t="s">
        <v>269</v>
      </c>
      <c r="D4" s="300" t="s">
        <v>232</v>
      </c>
      <c r="E4" s="301" t="s">
        <v>267</v>
      </c>
      <c r="F4" s="302" t="s">
        <v>148</v>
      </c>
      <c r="G4" s="302"/>
      <c r="H4" s="302" t="s">
        <v>191</v>
      </c>
      <c r="I4" s="331"/>
    </row>
    <row r="5" spans="1:9" ht="194.9" customHeight="1" thickBot="1">
      <c r="A5" s="297"/>
      <c r="B5" s="298" t="s">
        <v>226</v>
      </c>
      <c r="C5" s="299" t="s">
        <v>270</v>
      </c>
      <c r="D5" s="300" t="s">
        <v>234</v>
      </c>
      <c r="E5" s="301" t="s">
        <v>267</v>
      </c>
      <c r="F5" s="302" t="s">
        <v>148</v>
      </c>
      <c r="G5" s="302"/>
      <c r="H5" s="302" t="s">
        <v>272</v>
      </c>
      <c r="I5" s="331"/>
    </row>
    <row r="6" spans="1:9" ht="194.9" customHeight="1" thickBot="1">
      <c r="A6" s="297"/>
      <c r="B6" s="298" t="s">
        <v>228</v>
      </c>
      <c r="C6" s="299" t="s">
        <v>271</v>
      </c>
      <c r="D6" s="300" t="s">
        <v>236</v>
      </c>
      <c r="E6" s="301" t="s">
        <v>267</v>
      </c>
      <c r="F6" s="302" t="s">
        <v>148</v>
      </c>
      <c r="G6" s="302"/>
      <c r="H6" s="302" t="s">
        <v>272</v>
      </c>
      <c r="I6" s="332"/>
    </row>
    <row r="7" spans="1:9" ht="194.9" customHeight="1" thickBot="1">
      <c r="A7" s="297"/>
      <c r="B7" s="298"/>
      <c r="C7" s="299"/>
      <c r="D7" s="300"/>
      <c r="E7" s="301"/>
      <c r="F7" s="302"/>
      <c r="G7" s="302"/>
      <c r="H7" s="302"/>
      <c r="I7" s="303"/>
    </row>
    <row r="8" spans="1:9" ht="194.9" customHeight="1">
      <c r="A8" s="297"/>
      <c r="B8" s="298"/>
      <c r="C8" s="299"/>
      <c r="D8" s="300"/>
      <c r="E8" s="301"/>
      <c r="F8" s="302"/>
      <c r="G8" s="302"/>
      <c r="H8" s="302"/>
      <c r="I8" s="303"/>
    </row>
    <row r="9" spans="1:9" ht="134.15" customHeight="1"/>
    <row r="10" spans="1:9" ht="134.15" customHeight="1"/>
  </sheetData>
  <mergeCells count="1">
    <mergeCell ref="I3:I6"/>
  </mergeCells>
  <phoneticPr fontId="14"/>
  <pageMargins left="0.51181102362204722" right="0" top="0.74803149606299213" bottom="0.74803149606299213" header="0.31496062992125984" footer="0.31496062992125984"/>
  <pageSetup paperSize="9" scale="23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80"/>
  <sheetViews>
    <sheetView view="pageBreakPreview" topLeftCell="A37" zoomScale="60" zoomScaleNormal="70" workbookViewId="0">
      <selection activeCell="J66" sqref="J66"/>
    </sheetView>
  </sheetViews>
  <sheetFormatPr defaultRowHeight="15"/>
  <cols>
    <col min="1" max="1" width="7.90625" customWidth="1"/>
    <col min="2" max="2" width="38.08984375" style="173" customWidth="1"/>
    <col min="3" max="3" width="81.6328125" customWidth="1"/>
    <col min="4" max="4" width="23.6328125" customWidth="1"/>
  </cols>
  <sheetData>
    <row r="1" spans="1:4" ht="17.5" customHeight="1">
      <c r="A1" s="142"/>
    </row>
    <row r="2" spans="1:4" ht="15" customHeight="1">
      <c r="A2" s="333" t="s">
        <v>140</v>
      </c>
      <c r="B2" s="333"/>
      <c r="C2" s="174"/>
    </row>
    <row r="3" spans="1:4" ht="15.65" customHeight="1" thickBot="1">
      <c r="A3" s="175"/>
      <c r="B3" s="176"/>
      <c r="C3" s="175"/>
    </row>
    <row r="4" spans="1:4" ht="21.75" customHeight="1" thickBot="1">
      <c r="A4" s="177" t="s">
        <v>36</v>
      </c>
      <c r="B4" s="24" t="s">
        <v>96</v>
      </c>
      <c r="C4" s="42" t="s">
        <v>87</v>
      </c>
      <c r="D4" s="178" t="s">
        <v>141</v>
      </c>
    </row>
    <row r="5" spans="1:4" ht="16" customHeight="1">
      <c r="A5" s="317" t="s">
        <v>171</v>
      </c>
      <c r="B5" s="29"/>
      <c r="C5" s="182" t="s">
        <v>166</v>
      </c>
      <c r="D5" s="179"/>
    </row>
    <row r="6" spans="1:4" ht="16" customHeight="1">
      <c r="A6" s="318"/>
      <c r="B6" s="193" t="s">
        <v>161</v>
      </c>
      <c r="C6" s="21" t="s">
        <v>152</v>
      </c>
      <c r="D6" s="224" t="s">
        <v>157</v>
      </c>
    </row>
    <row r="7" spans="1:4" ht="16" customHeight="1">
      <c r="A7" s="318"/>
      <c r="B7" s="21" t="s">
        <v>148</v>
      </c>
      <c r="C7" s="205" t="s">
        <v>167</v>
      </c>
      <c r="D7" s="180" t="s">
        <v>65</v>
      </c>
    </row>
    <row r="8" spans="1:4" ht="16" customHeight="1">
      <c r="A8" s="318"/>
      <c r="B8" s="32" t="s">
        <v>162</v>
      </c>
      <c r="C8" s="31" t="s">
        <v>168</v>
      </c>
      <c r="D8" s="224"/>
    </row>
    <row r="9" spans="1:4" ht="16" customHeight="1" thickBot="1">
      <c r="A9" s="319"/>
      <c r="B9" s="34" t="s">
        <v>163</v>
      </c>
      <c r="C9" s="33"/>
      <c r="D9" s="225"/>
    </row>
    <row r="10" spans="1:4" ht="15" customHeight="1" thickBot="1">
      <c r="A10" s="207"/>
      <c r="B10" s="193"/>
      <c r="C10" s="194"/>
      <c r="D10" s="219"/>
    </row>
    <row r="11" spans="1:4" ht="21.75" customHeight="1" thickBot="1">
      <c r="A11" s="177" t="s">
        <v>36</v>
      </c>
      <c r="B11" s="24" t="s">
        <v>96</v>
      </c>
      <c r="C11" s="226" t="s">
        <v>87</v>
      </c>
      <c r="D11" s="178" t="s">
        <v>141</v>
      </c>
    </row>
    <row r="12" spans="1:4" ht="17" customHeight="1">
      <c r="A12" s="317" t="s">
        <v>183</v>
      </c>
      <c r="B12" s="29"/>
      <c r="C12" s="182" t="s">
        <v>176</v>
      </c>
      <c r="D12" s="188"/>
    </row>
    <row r="13" spans="1:4" ht="16.399999999999999" customHeight="1">
      <c r="A13" s="318"/>
      <c r="B13" s="193" t="s">
        <v>172</v>
      </c>
      <c r="C13" s="21" t="s">
        <v>145</v>
      </c>
      <c r="D13" s="180" t="s">
        <v>156</v>
      </c>
    </row>
    <row r="14" spans="1:4" ht="15" customHeight="1">
      <c r="A14" s="318"/>
      <c r="B14" s="21" t="s">
        <v>145</v>
      </c>
      <c r="C14" s="205" t="s">
        <v>177</v>
      </c>
      <c r="D14" s="180" t="s">
        <v>65</v>
      </c>
    </row>
    <row r="15" spans="1:4" ht="15" customHeight="1">
      <c r="A15" s="318"/>
      <c r="B15" s="32" t="s">
        <v>175</v>
      </c>
      <c r="C15" s="31" t="s">
        <v>178</v>
      </c>
      <c r="D15" s="180"/>
    </row>
    <row r="16" spans="1:4" ht="15" customHeight="1" thickBot="1">
      <c r="A16" s="319"/>
      <c r="B16" s="34" t="s">
        <v>153</v>
      </c>
      <c r="C16" s="33"/>
      <c r="D16" s="220"/>
    </row>
    <row r="17" spans="1:4" ht="15" customHeight="1" thickBot="1">
      <c r="A17" s="208"/>
      <c r="B17" s="34"/>
      <c r="C17" s="249"/>
      <c r="D17" s="250"/>
    </row>
    <row r="18" spans="1:4" ht="21.75" customHeight="1" thickBot="1">
      <c r="A18" s="177" t="s">
        <v>36</v>
      </c>
      <c r="B18" s="24" t="s">
        <v>96</v>
      </c>
      <c r="C18" s="226" t="s">
        <v>87</v>
      </c>
      <c r="D18" s="178" t="s">
        <v>141</v>
      </c>
    </row>
    <row r="19" spans="1:4" ht="16.5" customHeight="1">
      <c r="A19" s="317" t="s">
        <v>273</v>
      </c>
      <c r="B19" s="29"/>
      <c r="C19" s="182" t="s">
        <v>189</v>
      </c>
      <c r="D19" s="180"/>
    </row>
    <row r="20" spans="1:4" ht="16.399999999999999" customHeight="1">
      <c r="A20" s="318"/>
      <c r="B20" s="193" t="s">
        <v>184</v>
      </c>
      <c r="C20" s="21" t="s">
        <v>148</v>
      </c>
      <c r="D20" s="180" t="s">
        <v>156</v>
      </c>
    </row>
    <row r="21" spans="1:4" ht="15" customHeight="1">
      <c r="A21" s="318"/>
      <c r="B21" s="21" t="s">
        <v>148</v>
      </c>
      <c r="C21" s="205" t="s">
        <v>191</v>
      </c>
      <c r="D21" s="180" t="s">
        <v>155</v>
      </c>
    </row>
    <row r="22" spans="1:4" ht="15" customHeight="1">
      <c r="A22" s="318"/>
      <c r="B22" s="32" t="s">
        <v>185</v>
      </c>
      <c r="C22" s="31" t="s">
        <v>192</v>
      </c>
      <c r="D22" s="180"/>
    </row>
    <row r="23" spans="1:4" ht="15" customHeight="1" thickBot="1">
      <c r="A23" s="318"/>
      <c r="B23" s="34" t="s">
        <v>150</v>
      </c>
      <c r="C23" s="33"/>
      <c r="D23" s="181"/>
    </row>
    <row r="24" spans="1:4" ht="16.5" customHeight="1" thickBot="1">
      <c r="A24" s="318"/>
      <c r="B24" s="187"/>
      <c r="C24" s="230"/>
      <c r="D24" s="180"/>
    </row>
    <row r="25" spans="1:4" ht="16.399999999999999" customHeight="1">
      <c r="A25" s="318"/>
      <c r="B25" s="29"/>
      <c r="C25" s="182" t="s">
        <v>198</v>
      </c>
      <c r="D25" s="180" t="s">
        <v>156</v>
      </c>
    </row>
    <row r="26" spans="1:4" ht="15" customHeight="1">
      <c r="A26" s="318"/>
      <c r="B26" s="193" t="s">
        <v>193</v>
      </c>
      <c r="C26" s="21" t="s">
        <v>152</v>
      </c>
      <c r="D26" s="180" t="s">
        <v>155</v>
      </c>
    </row>
    <row r="27" spans="1:4" ht="15" customHeight="1">
      <c r="A27" s="318"/>
      <c r="B27" s="21" t="s">
        <v>148</v>
      </c>
      <c r="C27" s="194" t="s">
        <v>190</v>
      </c>
      <c r="D27" s="180"/>
    </row>
    <row r="28" spans="1:4" ht="15" customHeight="1" thickBot="1">
      <c r="A28" s="318"/>
      <c r="B28" s="32" t="s">
        <v>194</v>
      </c>
      <c r="C28" s="30" t="s">
        <v>199</v>
      </c>
      <c r="D28" s="181"/>
    </row>
    <row r="29" spans="1:4" ht="15" customHeight="1" thickBot="1">
      <c r="A29" s="319"/>
      <c r="B29" s="34" t="s">
        <v>153</v>
      </c>
      <c r="C29" s="33"/>
      <c r="D29" s="250"/>
    </row>
    <row r="30" spans="1:4" ht="15" customHeight="1" thickBot="1">
      <c r="A30" s="208"/>
      <c r="B30" s="34"/>
      <c r="C30" s="249"/>
      <c r="D30" s="250"/>
    </row>
    <row r="31" spans="1:4" ht="21.75" customHeight="1" thickBot="1">
      <c r="A31" s="177" t="s">
        <v>36</v>
      </c>
      <c r="B31" s="24" t="s">
        <v>96</v>
      </c>
      <c r="C31" s="226" t="s">
        <v>87</v>
      </c>
      <c r="D31" s="178" t="s">
        <v>141</v>
      </c>
    </row>
    <row r="32" spans="1:4" ht="16.5" customHeight="1">
      <c r="A32" s="317" t="s">
        <v>213</v>
      </c>
      <c r="B32" s="29"/>
      <c r="C32" s="182" t="s">
        <v>166</v>
      </c>
      <c r="D32" s="180"/>
    </row>
    <row r="33" spans="1:4" ht="16.399999999999999" customHeight="1">
      <c r="A33" s="318"/>
      <c r="B33" s="193" t="s">
        <v>202</v>
      </c>
      <c r="C33" s="21" t="s">
        <v>145</v>
      </c>
      <c r="D33" s="180" t="s">
        <v>156</v>
      </c>
    </row>
    <row r="34" spans="1:4" ht="15" customHeight="1">
      <c r="A34" s="318"/>
      <c r="B34" s="21" t="s">
        <v>145</v>
      </c>
      <c r="C34" s="205" t="s">
        <v>177</v>
      </c>
      <c r="D34" s="180" t="s">
        <v>155</v>
      </c>
    </row>
    <row r="35" spans="1:4" ht="15" customHeight="1">
      <c r="A35" s="318"/>
      <c r="B35" s="32" t="s">
        <v>203</v>
      </c>
      <c r="C35" s="31" t="s">
        <v>205</v>
      </c>
      <c r="D35" s="180"/>
    </row>
    <row r="36" spans="1:4" ht="15" customHeight="1" thickBot="1">
      <c r="A36" s="318"/>
      <c r="B36" s="34" t="s">
        <v>153</v>
      </c>
      <c r="C36" s="33"/>
      <c r="D36" s="181"/>
    </row>
    <row r="37" spans="1:4" ht="16.5" customHeight="1" thickBot="1">
      <c r="A37" s="318"/>
      <c r="B37" s="193"/>
      <c r="C37" s="305"/>
      <c r="D37" s="180"/>
    </row>
    <row r="38" spans="1:4" ht="16.399999999999999" customHeight="1">
      <c r="A38" s="318"/>
      <c r="B38" s="29"/>
      <c r="C38" s="182" t="s">
        <v>210</v>
      </c>
      <c r="D38" s="180" t="s">
        <v>156</v>
      </c>
    </row>
    <row r="39" spans="1:4" ht="15" customHeight="1">
      <c r="A39" s="318"/>
      <c r="B39" s="193" t="s">
        <v>206</v>
      </c>
      <c r="C39" s="21" t="s">
        <v>145</v>
      </c>
      <c r="D39" s="180" t="s">
        <v>155</v>
      </c>
    </row>
    <row r="40" spans="1:4" ht="15" customHeight="1">
      <c r="A40" s="318"/>
      <c r="B40" s="21" t="s">
        <v>145</v>
      </c>
      <c r="C40" s="205" t="s">
        <v>177</v>
      </c>
      <c r="D40" s="180"/>
    </row>
    <row r="41" spans="1:4" ht="15" customHeight="1">
      <c r="A41" s="318"/>
      <c r="B41" s="32" t="s">
        <v>207</v>
      </c>
      <c r="C41" s="31" t="s">
        <v>211</v>
      </c>
      <c r="D41" s="304"/>
    </row>
    <row r="42" spans="1:4" ht="15" customHeight="1" thickBot="1">
      <c r="A42" s="319"/>
      <c r="B42" s="34" t="s">
        <v>153</v>
      </c>
      <c r="C42" s="33"/>
      <c r="D42" s="181"/>
    </row>
    <row r="43" spans="1:4" ht="15" customHeight="1" thickBot="1">
      <c r="A43" s="208"/>
      <c r="B43" s="34"/>
      <c r="C43" s="249"/>
      <c r="D43" s="250"/>
    </row>
    <row r="44" spans="1:4" ht="21.75" customHeight="1" thickBot="1">
      <c r="A44" s="177" t="s">
        <v>36</v>
      </c>
      <c r="B44" s="24" t="s">
        <v>96</v>
      </c>
      <c r="C44" s="226" t="s">
        <v>87</v>
      </c>
      <c r="D44" s="178" t="s">
        <v>141</v>
      </c>
    </row>
    <row r="45" spans="1:4" ht="16.5" customHeight="1">
      <c r="A45" s="317" t="s">
        <v>214</v>
      </c>
      <c r="B45" s="29"/>
      <c r="C45" s="182" t="s">
        <v>166</v>
      </c>
      <c r="D45" s="180"/>
    </row>
    <row r="46" spans="1:4" ht="16.399999999999999" customHeight="1">
      <c r="A46" s="318"/>
      <c r="B46" s="193" t="s">
        <v>215</v>
      </c>
      <c r="C46" s="21" t="s">
        <v>145</v>
      </c>
      <c r="D46" s="180" t="s">
        <v>156</v>
      </c>
    </row>
    <row r="47" spans="1:4" ht="15" customHeight="1">
      <c r="A47" s="318"/>
      <c r="B47" s="21" t="s">
        <v>145</v>
      </c>
      <c r="C47" s="205" t="s">
        <v>177</v>
      </c>
      <c r="D47" s="180" t="s">
        <v>155</v>
      </c>
    </row>
    <row r="48" spans="1:4" ht="15" customHeight="1">
      <c r="A48" s="318"/>
      <c r="B48" s="32" t="s">
        <v>216</v>
      </c>
      <c r="C48" s="31" t="s">
        <v>218</v>
      </c>
      <c r="D48" s="180"/>
    </row>
    <row r="49" spans="1:4" ht="15" customHeight="1" thickBot="1">
      <c r="A49" s="319"/>
      <c r="B49" s="34" t="s">
        <v>153</v>
      </c>
      <c r="C49" s="33"/>
      <c r="D49" s="181"/>
    </row>
    <row r="50" spans="1:4" ht="15" customHeight="1" thickBot="1">
      <c r="A50" s="208"/>
      <c r="B50" s="34"/>
      <c r="C50" s="249"/>
      <c r="D50" s="250"/>
    </row>
    <row r="51" spans="1:4" ht="21.75" customHeight="1" thickBot="1">
      <c r="A51" s="177" t="s">
        <v>36</v>
      </c>
      <c r="B51" s="24" t="s">
        <v>96</v>
      </c>
      <c r="C51" s="226" t="s">
        <v>87</v>
      </c>
      <c r="D51" s="178" t="s">
        <v>141</v>
      </c>
    </row>
    <row r="52" spans="1:4" ht="16.5" customHeight="1">
      <c r="A52" s="327" t="s">
        <v>250</v>
      </c>
      <c r="B52" s="271"/>
      <c r="C52" s="182" t="s">
        <v>241</v>
      </c>
      <c r="D52" s="180"/>
    </row>
    <row r="53" spans="1:4" ht="16.5" customHeight="1">
      <c r="A53" s="328"/>
      <c r="B53" s="272" t="s">
        <v>240</v>
      </c>
      <c r="C53" s="21" t="s">
        <v>160</v>
      </c>
      <c r="D53" s="180"/>
    </row>
    <row r="54" spans="1:4" ht="16.5" customHeight="1">
      <c r="A54" s="328"/>
      <c r="B54" s="273" t="s">
        <v>158</v>
      </c>
      <c r="C54" s="205"/>
      <c r="D54" s="180"/>
    </row>
    <row r="55" spans="1:4" ht="16.5" customHeight="1">
      <c r="A55" s="328"/>
      <c r="B55" s="274" t="s">
        <v>159</v>
      </c>
      <c r="C55" s="31"/>
      <c r="D55" s="180"/>
    </row>
    <row r="56" spans="1:4" ht="16.5" customHeight="1" thickBot="1">
      <c r="A56" s="328"/>
      <c r="B56" s="275" t="s">
        <v>239</v>
      </c>
      <c r="C56" s="33"/>
      <c r="D56" s="180"/>
    </row>
    <row r="57" spans="1:4" ht="16.5" customHeight="1" thickBot="1">
      <c r="A57" s="328"/>
      <c r="B57" s="247"/>
      <c r="C57" s="248"/>
      <c r="D57" s="180"/>
    </row>
    <row r="58" spans="1:4" ht="16.5" customHeight="1">
      <c r="A58" s="328"/>
      <c r="B58" s="271"/>
      <c r="C58" s="182" t="s">
        <v>247</v>
      </c>
      <c r="D58" s="180"/>
    </row>
    <row r="59" spans="1:4" ht="16.5" customHeight="1">
      <c r="A59" s="328"/>
      <c r="B59" s="272" t="s">
        <v>243</v>
      </c>
      <c r="C59" s="21" t="s">
        <v>248</v>
      </c>
      <c r="D59" s="180"/>
    </row>
    <row r="60" spans="1:4" ht="16.5" customHeight="1">
      <c r="A60" s="328"/>
      <c r="B60" s="273" t="s">
        <v>244</v>
      </c>
      <c r="C60" s="205"/>
      <c r="D60" s="180" t="s">
        <v>156</v>
      </c>
    </row>
    <row r="61" spans="1:4" ht="16.5" customHeight="1" thickBot="1">
      <c r="A61" s="328"/>
      <c r="B61" s="282" t="s">
        <v>245</v>
      </c>
      <c r="C61" s="33"/>
      <c r="D61" s="180" t="s">
        <v>155</v>
      </c>
    </row>
    <row r="62" spans="1:4" ht="16.5" customHeight="1" thickBot="1">
      <c r="A62" s="328"/>
      <c r="B62" s="247"/>
      <c r="C62" s="248"/>
      <c r="D62" s="180"/>
    </row>
    <row r="63" spans="1:4" ht="16.5" customHeight="1">
      <c r="A63" s="328"/>
      <c r="B63" s="271"/>
      <c r="C63" s="182" t="s">
        <v>256</v>
      </c>
      <c r="D63" s="180"/>
    </row>
    <row r="64" spans="1:4" ht="16.5" customHeight="1">
      <c r="A64" s="328"/>
      <c r="B64" s="272" t="s">
        <v>253</v>
      </c>
      <c r="C64" s="21" t="s">
        <v>257</v>
      </c>
      <c r="D64" s="180"/>
    </row>
    <row r="65" spans="1:4" ht="16.5" customHeight="1">
      <c r="A65" s="328"/>
      <c r="B65" s="273" t="s">
        <v>254</v>
      </c>
      <c r="C65" s="205"/>
      <c r="D65" s="180"/>
    </row>
    <row r="66" spans="1:4" ht="16.5" customHeight="1" thickBot="1">
      <c r="A66" s="328"/>
      <c r="B66" s="282" t="s">
        <v>255</v>
      </c>
      <c r="C66" s="33"/>
      <c r="D66" s="180"/>
    </row>
    <row r="67" spans="1:4" ht="16.5" customHeight="1" thickBot="1">
      <c r="A67" s="328"/>
      <c r="B67" s="276"/>
      <c r="C67" s="278"/>
      <c r="D67" s="180"/>
    </row>
    <row r="68" spans="1:4" ht="16.5" customHeight="1" thickBot="1">
      <c r="A68" s="328"/>
      <c r="B68" s="257" t="s">
        <v>223</v>
      </c>
      <c r="C68" s="259" t="s">
        <v>231</v>
      </c>
      <c r="D68" s="180"/>
    </row>
    <row r="69" spans="1:4" ht="16.5" customHeight="1" thickBot="1">
      <c r="A69" s="328"/>
      <c r="B69" s="307" t="s">
        <v>225</v>
      </c>
      <c r="C69" s="259" t="s">
        <v>233</v>
      </c>
      <c r="D69" s="180"/>
    </row>
    <row r="70" spans="1:4" ht="16.5" customHeight="1" thickBot="1">
      <c r="A70" s="328"/>
      <c r="B70" s="257" t="s">
        <v>227</v>
      </c>
      <c r="C70" s="259" t="s">
        <v>235</v>
      </c>
      <c r="D70" s="180"/>
    </row>
    <row r="71" spans="1:4" ht="16.5" customHeight="1" thickBot="1">
      <c r="A71" s="328"/>
      <c r="B71" s="257" t="s">
        <v>229</v>
      </c>
      <c r="C71" s="259" t="s">
        <v>237</v>
      </c>
      <c r="D71" s="180"/>
    </row>
    <row r="72" spans="1:4" ht="16.5" customHeight="1" thickBot="1">
      <c r="A72" s="328"/>
      <c r="B72" s="263"/>
      <c r="C72" s="230"/>
      <c r="D72" s="180"/>
    </row>
    <row r="73" spans="1:4" ht="16.399999999999999" customHeight="1" thickBot="1">
      <c r="A73" s="328"/>
      <c r="B73" s="285"/>
      <c r="C73" s="252" t="s">
        <v>249</v>
      </c>
      <c r="D73" s="180"/>
    </row>
    <row r="74" spans="1:4" ht="15" customHeight="1" thickBot="1">
      <c r="A74" s="328"/>
      <c r="B74" s="264" t="s">
        <v>220</v>
      </c>
      <c r="C74" s="266" t="s">
        <v>221</v>
      </c>
      <c r="D74" s="180"/>
    </row>
    <row r="75" spans="1:4" ht="15" customHeight="1" thickBot="1">
      <c r="A75" s="329"/>
      <c r="B75" s="264" t="s">
        <v>238</v>
      </c>
      <c r="C75" s="266" t="s">
        <v>238</v>
      </c>
      <c r="D75" s="220"/>
    </row>
    <row r="76" spans="1:4" ht="15" customHeight="1" thickBot="1">
      <c r="A76" s="208"/>
      <c r="B76" s="306"/>
      <c r="C76" s="249"/>
      <c r="D76" s="250"/>
    </row>
    <row r="77" spans="1:4">
      <c r="A77" s="159"/>
      <c r="B77" s="159"/>
      <c r="C77" s="159"/>
      <c r="D77" s="159"/>
    </row>
    <row r="78" spans="1:4">
      <c r="A78" s="159"/>
      <c r="B78" s="159"/>
      <c r="C78" s="159"/>
      <c r="D78" s="159"/>
    </row>
    <row r="79" spans="1:4">
      <c r="A79" s="159"/>
      <c r="B79" s="159"/>
      <c r="C79" s="159"/>
      <c r="D79" s="159"/>
    </row>
    <row r="80" spans="1:4">
      <c r="A80" s="159"/>
      <c r="B80" s="159"/>
      <c r="C80" s="159"/>
      <c r="D80" s="159"/>
    </row>
  </sheetData>
  <mergeCells count="7">
    <mergeCell ref="A52:A75"/>
    <mergeCell ref="A45:A49"/>
    <mergeCell ref="A2:B2"/>
    <mergeCell ref="A5:A9"/>
    <mergeCell ref="A12:A16"/>
    <mergeCell ref="A19:A29"/>
    <mergeCell ref="A32:A42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2026-04-27T05:43:57Z</dcterms:modified>
</cp:coreProperties>
</file>