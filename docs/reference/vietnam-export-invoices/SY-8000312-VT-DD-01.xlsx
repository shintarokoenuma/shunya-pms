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70414815-14FE-4E98-8E77-DB58A3B65D35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9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LABEL!$A$1:$D$21</definedName>
    <definedName name="_xlnm.Print_Area" localSheetId="3">'NARITA '!$A$1:$N$22</definedName>
    <definedName name="_xlnm.Print_Area" localSheetId="4">サンプル製品カタログ!$A$2:$I$16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E21" i="60" l="1"/>
  <c r="M27" i="65" s="1"/>
  <c r="E20" i="60" l="1"/>
  <c r="M26" i="65" s="1"/>
  <c r="H20" i="60"/>
  <c r="O26" i="65" s="1"/>
  <c r="H16" i="60"/>
  <c r="H17" i="60"/>
  <c r="L33" i="65" l="1"/>
  <c r="M33" i="65"/>
  <c r="K33" i="65"/>
  <c r="D33" i="65"/>
  <c r="B33" i="65"/>
  <c r="F33" i="65" l="1"/>
  <c r="H15" i="60" l="1"/>
  <c r="H9" i="60" l="1"/>
  <c r="H11" i="60"/>
  <c r="H10" i="60"/>
  <c r="H22" i="60" l="1"/>
  <c r="H21" i="60" l="1"/>
  <c r="O27" i="65" s="1"/>
  <c r="F9" i="65" l="1"/>
  <c r="F11" i="65" l="1"/>
  <c r="F7" i="65"/>
  <c r="O33" i="65" l="1"/>
  <c r="C45" i="17" s="1"/>
  <c r="N8" i="65"/>
  <c r="I13" i="64"/>
  <c r="A13" i="64"/>
  <c r="I2" i="64"/>
  <c r="A2" i="64"/>
  <c r="A39" i="65"/>
  <c r="D38" i="65"/>
  <c r="A37" i="65"/>
  <c r="A36" i="65"/>
  <c r="B31" i="65"/>
  <c r="B26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N10" i="65"/>
  <c r="A10" i="65"/>
  <c r="N9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<sst xmlns="http://schemas.openxmlformats.org/spreadsheetml/2006/main" count="252" uniqueCount="192">
  <si>
    <t>SHIPPER NAME</t>
    <phoneticPr fontId="9" type="noConversion"/>
  </si>
  <si>
    <t>S/CODE</t>
    <phoneticPr fontId="9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</si>
  <si>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</si>
  <si>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</si>
  <si>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</si>
  <si>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</si>
  <si>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</si>
  <si>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</si>
  <si>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</si>
  <si>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</si>
  <si>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</si>
  <si>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</si>
  <si>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</si>
  <si>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</si>
  <si>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</si>
  <si>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</si>
  <si>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</si>
  <si>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</si>
  <si>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</si>
  <si>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</si>
  <si>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</si>
  <si>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</si>
  <si>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</si>
  <si>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</si>
  <si>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</si>
  <si>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</si>
  <si>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</si>
  <si>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</si>
  <si>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</si>
  <si>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</si>
  <si>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</si>
  <si>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</si>
  <si>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</si>
  <si>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</si>
  <si>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</si>
  <si>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</si>
  <si>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</si>
  <si>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</si>
  <si>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</si>
  <si>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</si>
  <si>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</si>
  <si>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</si>
  <si>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</si>
  <si>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</si>
  <si>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</si>
  <si>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</si>
  <si>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</si>
  <si>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</si>
  <si>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</si>
  <si>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</si>
  <si>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</si>
  <si>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</si>
  <si>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</si>
  <si>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</si>
  <si>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</si>
  <si>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</si>
  <si>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</si>
  <si>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</si>
  <si>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</si>
  <si>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</si>
  <si>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</si>
  <si>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</si>
  <si>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</si>
  <si>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</si>
  <si>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</si>
  <si>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</si>
  <si>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</si>
  <si>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</si>
  <si>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</si>
  <si>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</si>
  <si>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</si>
  <si>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</si>
  <si>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</si>
  <si>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</si>
  <si>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</si>
  <si>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</si>
  <si>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</si>
  <si>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</si>
  <si>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</si>
  <si>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</si>
  <si>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</si>
  <si>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</si>
  <si>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</si>
  <si>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</si>
  <si>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</si>
  <si>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</si>
  <si>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</si>
  <si>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</si>
  <si>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</si>
  <si>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</si>
  <si>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</si>
  <si>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</si>
  <si>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</si>
  <si>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</si>
  <si>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</si>
  <si>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</si>
  <si>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4"/>
  </si>
  <si>
    <t>(H.S. CODE)</t>
    <phoneticPr fontId="14"/>
  </si>
  <si>
    <t>- ATTACHED SHEET -</t>
    <phoneticPr fontId="14"/>
  </si>
  <si>
    <t xml:space="preserve"> </t>
    <phoneticPr fontId="14"/>
  </si>
  <si>
    <t>VIVAN GARMENTS VIET NAM COMPANY LIMITED</t>
    <phoneticPr fontId="14"/>
  </si>
  <si>
    <t>Hamlet 3 , Long Hau Commune , Can Giuoc District,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</si>
  <si>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</si>
  <si>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</si>
  <si>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</si>
  <si>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</si>
  <si>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</si>
  <si>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</si>
  <si>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</si>
  <si>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</si>
  <si>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</si>
  <si>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</si>
  <si>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</si>
  <si>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</si>
  <si>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</si>
  <si>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</si>
  <si>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</si>
  <si>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MADE  IN JAPAN</t>
    <phoneticPr fontId="14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</si>
  <si>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</si>
  <si>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</si>
  <si>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</si>
  <si>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</si>
  <si>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</si>
  <si>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</si>
  <si>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</si>
  <si>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</si>
  <si>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</si>
  <si>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</si>
  <si>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</si>
  <si>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</si>
  <si>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</si>
  <si>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</si>
  <si>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</si>
  <si>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</si>
  <si>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</si>
  <si>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</si>
  <si>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</si>
  <si>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</si>
  <si>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</si>
  <si>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</si>
  <si>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</si>
  <si>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</si>
  <si>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D17 Street , Sai Gon South Residential Area</t>
    <phoneticPr fontId="14"/>
  </si>
  <si>
    <t>TOTAL :</t>
  </si>
  <si>
    <t>PCS.</t>
  </si>
  <si>
    <t>M.</t>
    <phoneticPr fontId="14"/>
  </si>
  <si>
    <t>M.</t>
  </si>
  <si>
    <t>KNIT FABRIC</t>
    <phoneticPr fontId="14"/>
  </si>
  <si>
    <t>TOTAL</t>
    <phoneticPr fontId="52"/>
  </si>
  <si>
    <t>COUNTRY OF ORIGIN : JAPAN,USA</t>
    <phoneticPr fontId="14"/>
  </si>
  <si>
    <t>1-2</t>
    <phoneticPr fontId="14"/>
  </si>
  <si>
    <t>COTTON 100%</t>
    <phoneticPr fontId="14"/>
  </si>
  <si>
    <t>MADE IN JAPAN</t>
  </si>
  <si>
    <t>KG.</t>
    <phoneticPr fontId="14"/>
  </si>
  <si>
    <t>5001-01</t>
    <phoneticPr fontId="14"/>
  </si>
  <si>
    <t>men's crew neck T-shirt</t>
    <phoneticPr fontId="14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</si>
  <si>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天竺 テクスチャード加工無し</t>
    </r>
    <rPh sb="0" eb="1">
      <t>タン</t>
    </rPh>
    <rPh sb="1" eb="3">
      <t>センイ</t>
    </rPh>
    <rPh sb="4" eb="6">
      <t>テンジク</t>
    </rPh>
    <rPh sb="13" eb="15">
      <t>カコウ</t>
    </rPh>
    <rPh sb="15" eb="16">
      <t>ナ</t>
    </rPh>
    <phoneticPr fontId="14"/>
  </si>
  <si>
    <t>12/9</t>
    <phoneticPr fontId="14"/>
  </si>
  <si>
    <t>ROLL.</t>
    <phoneticPr fontId="14"/>
  </si>
  <si>
    <t>made in CHINA</t>
    <phoneticPr fontId="14"/>
  </si>
  <si>
    <t>3CARTONS</t>
    <phoneticPr fontId="14"/>
  </si>
  <si>
    <t>MADE  IN CHINA</t>
    <phoneticPr fontId="14"/>
  </si>
  <si>
    <t>C/#001 WHITE</t>
    <phoneticPr fontId="14"/>
  </si>
  <si>
    <t>C/#086 NAVY</t>
    <phoneticPr fontId="14"/>
  </si>
  <si>
    <t>C/#369 YELLOW</t>
    <phoneticPr fontId="14"/>
  </si>
  <si>
    <t>STYLE: bd26-005</t>
    <phoneticPr fontId="52"/>
  </si>
  <si>
    <t>入庫NO.22079579</t>
    <rPh sb="0" eb="2">
      <t>ニュウコ</t>
    </rPh>
    <phoneticPr fontId="14"/>
  </si>
  <si>
    <t>3/4</t>
    <phoneticPr fontId="14"/>
  </si>
  <si>
    <t>bardog woven name</t>
  </si>
  <si>
    <t>bardog woven name</t>
    <phoneticPr fontId="14"/>
  </si>
  <si>
    <t>badog paper hang tag</t>
    <phoneticPr fontId="14"/>
  </si>
  <si>
    <t>men's T-shirt  SAMPLE CLOTHES</t>
    <phoneticPr fontId="14"/>
  </si>
  <si>
    <t>3</t>
    <phoneticPr fontId="14"/>
  </si>
  <si>
    <t>bd26-005 sample</t>
    <phoneticPr fontId="14"/>
  </si>
  <si>
    <t>入庫NO.22079798</t>
    <phoneticPr fontId="14"/>
  </si>
  <si>
    <t>ITEM</t>
    <phoneticPr fontId="14"/>
  </si>
  <si>
    <t>NAME</t>
    <phoneticPr fontId="14"/>
  </si>
  <si>
    <t>color</t>
    <phoneticPr fontId="14"/>
  </si>
  <si>
    <t>lady's or men's</t>
    <phoneticPr fontId="14"/>
  </si>
  <si>
    <t>WOVEN or  KNIT</t>
    <phoneticPr fontId="14"/>
  </si>
  <si>
    <t>picture</t>
    <phoneticPr fontId="14"/>
  </si>
  <si>
    <t>Composition</t>
    <phoneticPr fontId="14"/>
  </si>
  <si>
    <t>packingNo.</t>
    <phoneticPr fontId="14"/>
  </si>
  <si>
    <t>men's</t>
    <phoneticPr fontId="14"/>
  </si>
  <si>
    <t>C/#WHITE
c/#YELLOW</t>
    <phoneticPr fontId="14"/>
  </si>
  <si>
    <t>KNITFABRIC</t>
    <phoneticPr fontId="14"/>
  </si>
  <si>
    <t xml:space="preserve"> C/NO. 1-3</t>
    <phoneticPr fontId="14"/>
  </si>
  <si>
    <t>Mar, 12 2026</t>
    <phoneticPr fontId="14"/>
  </si>
  <si>
    <t xml:space="preserve"> SY-8000312-VT-DD-01</t>
    <phoneticPr fontId="14"/>
  </si>
  <si>
    <t>3PACKAGES</t>
    <phoneticPr fontId="14"/>
  </si>
  <si>
    <t>MADE IN CHINA</t>
    <phoneticPr fontId="14"/>
  </si>
  <si>
    <t>481PCS.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</si>
</sst>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b/>
      <i/>
      <sz val="10"/>
      <color theme="1"/>
      <name val="Century Gothic"/>
      <family val="2"/>
    </font>
    <font>
      <b/>
      <sz val="10"/>
      <color rgb="FFFF0000"/>
      <name val="Yu Gothic"/>
      <family val="2"/>
      <charset val="128"/>
    </font>
    <font>
      <b/>
      <sz val="9"/>
      <color rgb="FFFF0000"/>
      <name val="Century Gothic"/>
      <family val="2"/>
    </font>
    <font>
      <b/>
      <sz val="11"/>
      <color rgb="FFFF0000"/>
      <name val="Century Gothic"/>
      <family val="2"/>
    </font>
    <font>
      <b/>
      <u/>
      <sz val="12"/>
      <name val="Century Gothic"/>
      <family val="2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2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FF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45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2" fillId="0" borderId="0" xfId="0" applyNumberFormat="1" applyFont="1" applyAlignment="1">
      <alignment vertical="center" shrinkToFit="1"/>
    </xf>
    <xf numFmtId="0" fontId="18" fillId="0" borderId="0" xfId="1" applyNumberFormat="1" applyFont="1" applyFill="1" applyBorder="1" applyAlignment="1" applyProtection="1"/>
    <xf numFmtId="26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 shrinkToFit="1"/>
    </xf>
    <xf numFmtId="177" fontId="21" fillId="3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79" fontId="24" fillId="0" borderId="10" xfId="0" applyNumberFormat="1" applyFont="1" applyBorder="1" applyAlignment="1">
      <alignment vertical="center" shrinkToFit="1"/>
    </xf>
    <xf numFmtId="179" fontId="24" fillId="0" borderId="11" xfId="0" applyNumberFormat="1" applyFont="1" applyBorder="1" applyAlignment="1">
      <alignment vertical="center" shrinkToFit="1"/>
    </xf>
    <xf numFmtId="49" fontId="29" fillId="0" borderId="11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7" fillId="0" borderId="10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49" fontId="25" fillId="0" borderId="10" xfId="0" applyNumberFormat="1" applyFont="1" applyBorder="1" applyAlignment="1">
      <alignment horizontal="left" vertical="center"/>
    </xf>
    <xf numFmtId="0" fontId="16" fillId="0" borderId="10" xfId="0" applyFont="1" applyBorder="1">
      <alignment vertical="center"/>
    </xf>
    <xf numFmtId="26" fontId="16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26" fontId="16" fillId="0" borderId="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179" fontId="24" fillId="0" borderId="11" xfId="0" applyNumberFormat="1" applyFont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8" fontId="24" fillId="0" borderId="4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80" fontId="12" fillId="0" borderId="8" xfId="2" applyNumberFormat="1" applyFont="1" applyFill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shrinkToFi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5" fillId="0" borderId="37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35" fillId="0" borderId="38" xfId="0" applyFont="1" applyBorder="1">
      <alignment vertical="center"/>
    </xf>
    <xf numFmtId="0" fontId="35" fillId="0" borderId="39" xfId="0" applyFont="1" applyBorder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2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4" fillId="0" borderId="0" xfId="0" applyFont="1">
      <alignment vertical="center"/>
    </xf>
    <xf numFmtId="0" fontId="42" fillId="0" borderId="2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2" xfId="0" applyFont="1" applyBorder="1">
      <alignment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>
      <alignment vertical="center"/>
    </xf>
    <xf numFmtId="0" fontId="42" fillId="0" borderId="42" xfId="0" applyFont="1" applyBorder="1">
      <alignment vertical="center"/>
    </xf>
    <xf numFmtId="0" fontId="44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49" fontId="12" fillId="0" borderId="41" xfId="0" applyNumberFormat="1" applyFont="1" applyBorder="1">
      <alignment vertical="center"/>
    </xf>
    <xf numFmtId="49" fontId="12" fillId="0" borderId="43" xfId="0" applyNumberFormat="1" applyFont="1" applyBorder="1">
      <alignment vertical="center"/>
    </xf>
    <xf numFmtId="0" fontId="42" fillId="0" borderId="44" xfId="0" applyFont="1" applyBorder="1">
      <alignment vertical="center"/>
    </xf>
    <xf numFmtId="0" fontId="25" fillId="5" borderId="42" xfId="0" applyFont="1" applyFill="1" applyBorder="1" applyAlignment="1">
      <alignment horizontal="left" vertical="center"/>
    </xf>
    <xf numFmtId="0" fontId="44" fillId="0" borderId="42" xfId="0" applyFont="1" applyBorder="1">
      <alignment vertical="center"/>
    </xf>
    <xf numFmtId="0" fontId="12" fillId="0" borderId="7" xfId="0" applyFont="1" applyBorder="1">
      <alignment vertical="center"/>
    </xf>
    <xf numFmtId="0" fontId="42" fillId="0" borderId="41" xfId="0" applyFont="1" applyBorder="1">
      <alignment vertical="center"/>
    </xf>
    <xf numFmtId="0" fontId="42" fillId="0" borderId="40" xfId="0" applyFont="1" applyBorder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>
      <alignment vertical="center"/>
    </xf>
    <xf numFmtId="0" fontId="46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6" xfId="0" applyFont="1" applyBorder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26" fontId="16" fillId="0" borderId="42" xfId="0" applyNumberFormat="1" applyFont="1" applyBorder="1" applyAlignment="1">
      <alignment horizontal="left" vertical="center"/>
    </xf>
    <xf numFmtId="0" fontId="12" fillId="0" borderId="42" xfId="0" applyFont="1" applyBorder="1">
      <alignment vertical="center"/>
    </xf>
    <xf numFmtId="26" fontId="16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/>
    </xf>
    <xf numFmtId="49" fontId="12" fillId="0" borderId="0" xfId="0" applyNumberFormat="1" applyFont="1">
      <alignment vertical="center"/>
    </xf>
    <xf numFmtId="180" fontId="24" fillId="0" borderId="4" xfId="2" applyNumberFormat="1" applyFont="1" applyFill="1" applyBorder="1" applyAlignment="1">
      <alignment horizontal="right" vertical="center"/>
    </xf>
    <xf numFmtId="1" fontId="24" fillId="0" borderId="4" xfId="2" applyNumberFormat="1" applyFont="1" applyFill="1" applyBorder="1" applyAlignment="1">
      <alignment horizontal="left" vertical="center"/>
    </xf>
    <xf numFmtId="177" fontId="24" fillId="0" borderId="42" xfId="2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24" fillId="0" borderId="4" xfId="2" applyNumberFormat="1" applyFont="1" applyFill="1" applyBorder="1" applyAlignment="1">
      <alignment horizontal="right" vertical="center"/>
    </xf>
    <xf numFmtId="177" fontId="24" fillId="3" borderId="42" xfId="2" applyNumberFormat="1" applyFont="1" applyFill="1" applyBorder="1" applyAlignment="1">
      <alignment horizontal="right" vertical="center"/>
    </xf>
    <xf numFmtId="181" fontId="12" fillId="0" borderId="47" xfId="2" applyNumberFormat="1" applyFont="1" applyFill="1" applyBorder="1" applyAlignment="1">
      <alignment horizontal="left" vertical="center" indent="1"/>
    </xf>
    <xf numFmtId="182" fontId="24" fillId="0" borderId="47" xfId="0" applyNumberFormat="1" applyFont="1" applyBorder="1" applyAlignment="1">
      <alignment horizontal="left" vertical="center"/>
    </xf>
    <xf numFmtId="178" fontId="24" fillId="0" borderId="47" xfId="0" applyNumberFormat="1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/>
    </xf>
    <xf numFmtId="26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83" fontId="12" fillId="0" borderId="0" xfId="0" applyNumberFormat="1" applyFont="1">
      <alignment vertical="center"/>
    </xf>
    <xf numFmtId="0" fontId="46" fillId="0" borderId="0" xfId="0" applyFo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49" fontId="25" fillId="5" borderId="0" xfId="0" applyNumberFormat="1" applyFont="1" applyFill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49" fontId="42" fillId="0" borderId="0" xfId="0" applyNumberFormat="1" applyFont="1" applyAlignment="1">
      <alignment horizontal="right"/>
    </xf>
    <xf numFmtId="0" fontId="48" fillId="0" borderId="0" xfId="0" applyFont="1">
      <alignment vertical="center"/>
    </xf>
    <xf numFmtId="0" fontId="42" fillId="0" borderId="0" xfId="0" applyFont="1" applyAlignment="1">
      <alignment horizontal="center"/>
    </xf>
    <xf numFmtId="0" fontId="48" fillId="0" borderId="41" xfId="0" applyFont="1" applyBorder="1" applyAlignment="1">
      <alignment horizontal="left"/>
    </xf>
    <xf numFmtId="49" fontId="42" fillId="0" borderId="41" xfId="0" applyNumberFormat="1" applyFont="1" applyBorder="1" applyAlignment="1">
      <alignment horizontal="right"/>
    </xf>
    <xf numFmtId="49" fontId="42" fillId="0" borderId="0" xfId="0" applyNumberFormat="1" applyFont="1">
      <alignment vertical="center"/>
    </xf>
    <xf numFmtId="0" fontId="41" fillId="0" borderId="0" xfId="0" applyFont="1" applyAlignment="1">
      <alignment horizontal="center"/>
    </xf>
    <xf numFmtId="49" fontId="4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9" fillId="0" borderId="0" xfId="0" applyNumberFormat="1" applyFont="1">
      <alignment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25" fillId="5" borderId="5" xfId="0" applyFont="1" applyFill="1" applyBorder="1" applyAlignment="1">
      <alignment horizontal="left" vertical="center"/>
    </xf>
    <xf numFmtId="1" fontId="12" fillId="0" borderId="5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vertical="center"/>
    </xf>
    <xf numFmtId="0" fontId="12" fillId="0" borderId="47" xfId="0" applyFont="1" applyBorder="1">
      <alignment vertical="center"/>
    </xf>
    <xf numFmtId="1" fontId="12" fillId="0" borderId="12" xfId="0" applyNumberFormat="1" applyFont="1" applyBorder="1" applyAlignment="1">
      <alignment horizontal="center" vertical="center"/>
    </xf>
    <xf numFmtId="49" fontId="24" fillId="0" borderId="10" xfId="0" quotePrefix="1" applyNumberFormat="1" applyFont="1" applyBorder="1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178" fontId="24" fillId="0" borderId="8" xfId="0" applyNumberFormat="1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49" fontId="24" fillId="0" borderId="8" xfId="0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2" fillId="0" borderId="30" xfId="0" applyFont="1" applyBorder="1">
      <alignment vertical="center"/>
    </xf>
    <xf numFmtId="0" fontId="42" fillId="0" borderId="23" xfId="0" applyFont="1" applyBorder="1">
      <alignment vertical="center"/>
    </xf>
    <xf numFmtId="0" fontId="12" fillId="0" borderId="43" xfId="0" applyFont="1" applyBorder="1">
      <alignment vertical="center"/>
    </xf>
    <xf numFmtId="0" fontId="42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0" fontId="15" fillId="0" borderId="24" xfId="0" applyFont="1" applyBorder="1">
      <alignment vertical="center"/>
    </xf>
    <xf numFmtId="0" fontId="15" fillId="0" borderId="12" xfId="0" applyFont="1" applyBorder="1">
      <alignment vertical="center"/>
    </xf>
    <xf numFmtId="1" fontId="12" fillId="0" borderId="4" xfId="0" applyNumberFormat="1" applyFont="1" applyBorder="1" applyAlignment="1">
      <alignment horizontal="center" vertical="center"/>
    </xf>
    <xf numFmtId="49" fontId="25" fillId="3" borderId="31" xfId="0" applyNumberFormat="1" applyFont="1" applyFill="1" applyBorder="1">
      <alignment vertical="center"/>
    </xf>
    <xf numFmtId="49" fontId="25" fillId="3" borderId="29" xfId="0" applyNumberFormat="1" applyFont="1" applyFill="1" applyBorder="1">
      <alignment vertical="center"/>
    </xf>
    <xf numFmtId="49" fontId="33" fillId="0" borderId="24" xfId="0" applyNumberFormat="1" applyFont="1" applyBorder="1">
      <alignment vertical="center"/>
    </xf>
    <xf numFmtId="49" fontId="33" fillId="0" borderId="4" xfId="0" applyNumberFormat="1" applyFont="1" applyBorder="1">
      <alignment vertical="center"/>
    </xf>
    <xf numFmtId="49" fontId="33" fillId="0" borderId="12" xfId="0" applyNumberFormat="1" applyFont="1" applyBorder="1">
      <alignment vertical="center"/>
    </xf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>
      <alignment vertical="center"/>
    </xf>
    <xf numFmtId="56" fontId="15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2" fillId="0" borderId="49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7" fillId="0" borderId="40" xfId="0" applyFont="1" applyBorder="1">
      <alignment vertical="center"/>
    </xf>
    <xf numFmtId="0" fontId="0" fillId="0" borderId="54" xfId="0" applyBorder="1">
      <alignment vertical="center"/>
    </xf>
    <xf numFmtId="0" fontId="12" fillId="0" borderId="5" xfId="0" applyFont="1" applyBorder="1" applyAlignment="1">
      <alignment horizontal="center"/>
    </xf>
    <xf numFmtId="180" fontId="12" fillId="0" borderId="5" xfId="2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53" fillId="0" borderId="2" xfId="0" applyFont="1" applyBorder="1" applyAlignment="1">
      <alignment horizontal="center" vertical="center"/>
    </xf>
    <xf numFmtId="6" fontId="12" fillId="0" borderId="5" xfId="12" applyFont="1" applyFill="1" applyBorder="1" applyAlignment="1">
      <alignment horizontal="right" vertical="center"/>
    </xf>
    <xf numFmtId="6" fontId="12" fillId="0" borderId="8" xfId="12" applyFont="1" applyFill="1" applyBorder="1" applyAlignment="1">
      <alignment horizontal="right" vertical="center"/>
    </xf>
    <xf numFmtId="49" fontId="50" fillId="3" borderId="0" xfId="0" applyNumberFormat="1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0" fontId="12" fillId="0" borderId="55" xfId="0" applyFont="1" applyBorder="1">
      <alignment vertical="center"/>
    </xf>
    <xf numFmtId="0" fontId="12" fillId="0" borderId="56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12" fillId="0" borderId="56" xfId="0" applyFont="1" applyBorder="1">
      <alignment vertical="center"/>
    </xf>
    <xf numFmtId="176" fontId="12" fillId="0" borderId="56" xfId="0" applyNumberFormat="1" applyFont="1" applyBorder="1" applyAlignment="1">
      <alignment horizontal="right" vertical="center"/>
    </xf>
    <xf numFmtId="177" fontId="12" fillId="0" borderId="52" xfId="0" applyNumberFormat="1" applyFont="1" applyBorder="1">
      <alignment vertical="center"/>
    </xf>
    <xf numFmtId="178" fontId="24" fillId="0" borderId="57" xfId="0" applyNumberFormat="1" applyFont="1" applyBorder="1" applyAlignment="1">
      <alignment horizontal="right" vertical="center"/>
    </xf>
    <xf numFmtId="177" fontId="12" fillId="0" borderId="57" xfId="0" applyNumberFormat="1" applyFont="1" applyBorder="1" applyAlignment="1">
      <alignment horizontal="right" vertical="center"/>
    </xf>
    <xf numFmtId="0" fontId="15" fillId="0" borderId="57" xfId="0" applyFont="1" applyBorder="1">
      <alignment vertical="center"/>
    </xf>
    <xf numFmtId="0" fontId="12" fillId="0" borderId="57" xfId="0" applyFont="1" applyBorder="1" applyAlignment="1">
      <alignment horizontal="center" vertical="center"/>
    </xf>
    <xf numFmtId="49" fontId="33" fillId="0" borderId="57" xfId="0" applyNumberFormat="1" applyFont="1" applyBorder="1">
      <alignment vertical="center"/>
    </xf>
    <xf numFmtId="0" fontId="24" fillId="0" borderId="57" xfId="0" applyFont="1" applyBorder="1" applyAlignment="1">
      <alignment horizontal="left" vertical="center"/>
    </xf>
    <xf numFmtId="0" fontId="24" fillId="0" borderId="57" xfId="0" applyFont="1" applyBorder="1" applyAlignment="1">
      <alignment horizontal="center" vertical="center" wrapText="1"/>
    </xf>
    <xf numFmtId="1" fontId="12" fillId="0" borderId="57" xfId="0" applyNumberFormat="1" applyFont="1" applyBorder="1" applyAlignment="1">
      <alignment horizontal="center" vertical="center"/>
    </xf>
    <xf numFmtId="0" fontId="12" fillId="0" borderId="58" xfId="0" applyFont="1" applyBorder="1">
      <alignment vertical="center"/>
    </xf>
    <xf numFmtId="49" fontId="24" fillId="0" borderId="57" xfId="0" quotePrefix="1" applyNumberFormat="1" applyFont="1" applyBorder="1" applyAlignment="1">
      <alignment horizontal="left" vertical="center"/>
    </xf>
    <xf numFmtId="179" fontId="24" fillId="0" borderId="57" xfId="0" applyNumberFormat="1" applyFont="1" applyBorder="1" applyAlignment="1">
      <alignment vertical="center" shrinkToFit="1"/>
    </xf>
    <xf numFmtId="179" fontId="24" fillId="0" borderId="12" xfId="0" applyNumberFormat="1" applyFont="1" applyBorder="1" applyAlignment="1">
      <alignment vertical="center" shrinkToFit="1"/>
    </xf>
    <xf numFmtId="49" fontId="25" fillId="0" borderId="36" xfId="0" applyNumberFormat="1" applyFont="1" applyBorder="1">
      <alignment vertical="center"/>
    </xf>
    <xf numFmtId="0" fontId="31" fillId="0" borderId="50" xfId="0" applyFont="1" applyBorder="1" applyAlignment="1">
      <alignment horizontal="left" vertical="center"/>
    </xf>
    <xf numFmtId="49" fontId="24" fillId="0" borderId="51" xfId="0" applyNumberFormat="1" applyFont="1" applyBorder="1" applyAlignment="1">
      <alignment horizontal="left" vertical="center"/>
    </xf>
    <xf numFmtId="49" fontId="24" fillId="0" borderId="51" xfId="0" quotePrefix="1" applyNumberFormat="1" applyFont="1" applyBorder="1" applyAlignment="1">
      <alignment horizontal="left" vertical="center"/>
    </xf>
    <xf numFmtId="49" fontId="25" fillId="0" borderId="59" xfId="0" quotePrefix="1" applyNumberFormat="1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 wrapText="1"/>
    </xf>
    <xf numFmtId="178" fontId="24" fillId="0" borderId="12" xfId="0" applyNumberFormat="1" applyFont="1" applyBorder="1" applyAlignment="1">
      <alignment horizontal="right" vertical="center"/>
    </xf>
    <xf numFmtId="177" fontId="12" fillId="0" borderId="12" xfId="0" applyNumberFormat="1" applyFont="1" applyBorder="1" applyAlignment="1">
      <alignment horizontal="right" vertical="center"/>
    </xf>
    <xf numFmtId="1" fontId="24" fillId="0" borderId="57" xfId="2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180" fontId="24" fillId="0" borderId="47" xfId="0" applyNumberFormat="1" applyFont="1" applyBorder="1" applyAlignment="1">
      <alignment horizontal="right" vertical="center"/>
    </xf>
    <xf numFmtId="49" fontId="12" fillId="0" borderId="10" xfId="0" quotePrefix="1" applyNumberFormat="1" applyFont="1" applyBorder="1" applyAlignment="1">
      <alignment horizontal="left" vertical="center"/>
    </xf>
    <xf numFmtId="0" fontId="24" fillId="3" borderId="10" xfId="0" applyFont="1" applyFill="1" applyBorder="1" applyAlignment="1">
      <alignment vertical="center" wrapText="1"/>
    </xf>
    <xf numFmtId="0" fontId="24" fillId="0" borderId="10" xfId="0" quotePrefix="1" applyFont="1" applyBorder="1" applyAlignment="1">
      <alignment vertical="center" wrapText="1"/>
    </xf>
    <xf numFmtId="49" fontId="58" fillId="0" borderId="0" xfId="0" applyNumberFormat="1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59" fillId="0" borderId="0" xfId="0" applyFont="1">
      <alignment vertical="center"/>
    </xf>
    <xf numFmtId="0" fontId="59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/>
    </xf>
    <xf numFmtId="49" fontId="62" fillId="0" borderId="0" xfId="0" applyNumberFormat="1" applyFont="1" applyAlignment="1">
      <alignment horizontal="center" vertical="center"/>
    </xf>
    <xf numFmtId="49" fontId="62" fillId="0" borderId="6" xfId="0" applyNumberFormat="1" applyFont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3" borderId="53" xfId="0" applyFont="1" applyFill="1" applyBorder="1" applyAlignment="1">
      <alignment horizontal="center" vertical="center"/>
    </xf>
    <xf numFmtId="49" fontId="65" fillId="0" borderId="5" xfId="0" quotePrefix="1" applyNumberFormat="1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65" fillId="0" borderId="5" xfId="0" quotePrefix="1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 wrapText="1"/>
    </xf>
    <xf numFmtId="0" fontId="62" fillId="0" borderId="25" xfId="0" applyFont="1" applyBorder="1" applyAlignment="1">
      <alignment horizontal="center" vertical="center"/>
    </xf>
    <xf numFmtId="0" fontId="66" fillId="0" borderId="58" xfId="0" applyFont="1" applyBorder="1">
      <alignment vertical="center"/>
    </xf>
    <xf numFmtId="0" fontId="66" fillId="0" borderId="32" xfId="0" applyFont="1" applyBorder="1">
      <alignment vertical="center"/>
    </xf>
    <xf numFmtId="0" fontId="66" fillId="0" borderId="61" xfId="0" applyFont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>
      <alignment vertical="center"/>
    </xf>
    <xf numFmtId="0" fontId="24" fillId="3" borderId="0" xfId="0" applyFont="1" applyFill="1">
      <alignment vertical="center"/>
    </xf>
    <xf numFmtId="0" fontId="12" fillId="7" borderId="0" xfId="0" applyFont="1" applyFill="1">
      <alignment vertical="center"/>
    </xf>
    <xf numFmtId="0" fontId="17" fillId="3" borderId="60" xfId="0" applyFont="1" applyFill="1" applyBorder="1" applyAlignment="1">
      <alignment horizontal="center" vertical="center"/>
    </xf>
    <xf numFmtId="49" fontId="17" fillId="3" borderId="0" xfId="0" applyNumberFormat="1" applyFont="1" applyFill="1" applyAlignment="1">
      <alignment horizontal="left" vertical="center"/>
    </xf>
    <xf numFmtId="0" fontId="53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7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17" fillId="3" borderId="0" xfId="0" applyFont="1" applyFill="1">
      <alignment vertical="center"/>
    </xf>
    <xf numFmtId="49" fontId="25" fillId="3" borderId="0" xfId="0" applyNumberFormat="1" applyFont="1" applyFill="1">
      <alignment vertical="center"/>
    </xf>
    <xf numFmtId="0" fontId="25" fillId="3" borderId="0" xfId="0" applyFont="1" applyFill="1">
      <alignment vertical="center"/>
    </xf>
    <xf numFmtId="49" fontId="24" fillId="3" borderId="0" xfId="0" applyNumberFormat="1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49" fontId="24" fillId="3" borderId="0" xfId="14" applyNumberFormat="1" applyFont="1" applyFill="1" applyAlignment="1">
      <alignment horizontal="left" vertical="center"/>
    </xf>
    <xf numFmtId="0" fontId="12" fillId="3" borderId="0" xfId="14" applyFont="1" applyFill="1">
      <alignment vertical="center"/>
    </xf>
    <xf numFmtId="0" fontId="53" fillId="3" borderId="2" xfId="0" applyFont="1" applyFill="1" applyBorder="1" applyAlignment="1">
      <alignment horizontal="center" vertical="center"/>
    </xf>
    <xf numFmtId="49" fontId="29" fillId="0" borderId="57" xfId="0" quotePrefix="1" applyNumberFormat="1" applyFont="1" applyBorder="1" applyAlignment="1">
      <alignment horizontal="left" vertical="center"/>
    </xf>
    <xf numFmtId="49" fontId="25" fillId="0" borderId="58" xfId="0" applyNumberFormat="1" applyFont="1" applyBorder="1">
      <alignment vertical="center"/>
    </xf>
    <xf numFmtId="0" fontId="17" fillId="3" borderId="2" xfId="0" applyFont="1" applyFill="1" applyBorder="1" applyAlignment="1">
      <alignment horizontal="center" vertical="center"/>
    </xf>
    <xf numFmtId="49" fontId="17" fillId="3" borderId="2" xfId="0" applyNumberFormat="1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left" vertical="center"/>
    </xf>
    <xf numFmtId="0" fontId="51" fillId="3" borderId="0" xfId="0" applyFont="1" applyFill="1" applyAlignment="1">
      <alignment vertical="center" wrapText="1"/>
    </xf>
    <xf numFmtId="49" fontId="32" fillId="3" borderId="0" xfId="0" quotePrefix="1" applyNumberFormat="1" applyFont="1" applyFill="1" applyAlignment="1">
      <alignment horizontal="left" vertical="center"/>
    </xf>
    <xf numFmtId="179" fontId="24" fillId="3" borderId="0" xfId="0" applyNumberFormat="1" applyFont="1" applyFill="1" applyAlignment="1">
      <alignment vertical="center" shrinkToFit="1"/>
    </xf>
    <xf numFmtId="49" fontId="29" fillId="3" borderId="0" xfId="0" quotePrefix="1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49" fontId="24" fillId="3" borderId="0" xfId="0" quotePrefix="1" applyNumberFormat="1" applyFont="1" applyFill="1" applyAlignment="1">
      <alignment horizontal="left" vertical="center"/>
    </xf>
    <xf numFmtId="49" fontId="25" fillId="3" borderId="0" xfId="0" quotePrefix="1" applyNumberFormat="1" applyFont="1" applyFill="1" applyAlignment="1">
      <alignment horizontal="left" vertical="center"/>
    </xf>
    <xf numFmtId="0" fontId="55" fillId="3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 wrapText="1"/>
    </xf>
    <xf numFmtId="49" fontId="24" fillId="3" borderId="0" xfId="0" quotePrefix="1" applyNumberFormat="1" applyFont="1" applyFill="1" applyAlignment="1">
      <alignment horizontal="left" vertical="center" wrapText="1"/>
    </xf>
    <xf numFmtId="179" fontId="12" fillId="3" borderId="0" xfId="0" applyNumberFormat="1" applyFont="1" applyFill="1" applyAlignment="1">
      <alignment vertical="center" shrinkToFit="1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181" fontId="24" fillId="0" borderId="47" xfId="2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31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25" fillId="6" borderId="28" xfId="0" applyNumberFormat="1" applyFont="1" applyFill="1" applyBorder="1" applyAlignment="1">
      <alignment horizontal="center" vertical="center"/>
    </xf>
    <xf numFmtId="49" fontId="25" fillId="6" borderId="29" xfId="0" applyNumberFormat="1" applyFont="1" applyFill="1" applyBorder="1" applyAlignment="1">
      <alignment horizontal="center" vertical="center"/>
    </xf>
    <xf numFmtId="49" fontId="25" fillId="6" borderId="31" xfId="0" applyNumberFormat="1" applyFont="1" applyFill="1" applyBorder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56" fillId="3" borderId="0" xfId="0" applyNumberFormat="1" applyFont="1" applyFill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</cellXfs>
  <cellStyles count="15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38</xdr:row>
      <xdr:rowOff>48895</xdr:rowOff>
    </xdr:from>
    <xdr:to>
      <xdr:col>14</xdr:col>
      <xdr:colOff>691977</xdr:colOff>
      <xdr:row>46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296333</xdr:colOff>
      <xdr:row>2</xdr:row>
      <xdr:rowOff>232834</xdr:rowOff>
    </xdr:from>
    <xdr:to>
      <xdr:col>6</xdr:col>
      <xdr:colOff>4148667</xdr:colOff>
      <xdr:row>2</xdr:row>
      <xdr:rowOff>2284502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44FF0D0-F53F-AAB9-012B-8C8F8F86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90166" y="1756834"/>
          <a:ext cx="3852334" cy="20516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31" workbookViewId="0">
      <selection activeCell="C45" sqref="C45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100</v>
      </c>
    </row>
    <row r="10" spans="1:3" s="8" customFormat="1">
      <c r="A10" s="7">
        <f t="shared" si="0"/>
        <v>10</v>
      </c>
      <c r="B10" s="9" t="s">
        <v>77</v>
      </c>
      <c r="C10" s="4" t="s">
        <v>142</v>
      </c>
    </row>
    <row r="11" spans="1:3" s="8" customFormat="1">
      <c r="A11" s="7">
        <f t="shared" si="0"/>
        <v>11</v>
      </c>
      <c r="B11" s="9" t="s">
        <v>78</v>
      </c>
      <c r="C11" s="2" t="s">
        <v>101</v>
      </c>
    </row>
    <row r="12" spans="1:3" s="8" customFormat="1">
      <c r="A12" s="7">
        <f t="shared" si="0"/>
        <v>12</v>
      </c>
      <c r="B12" s="9" t="s">
        <v>79</v>
      </c>
      <c r="C12" s="2" t="s">
        <v>102</v>
      </c>
    </row>
    <row r="13" spans="1:3" s="8" customFormat="1">
      <c r="A13" s="7">
        <f t="shared" si="0"/>
        <v>13</v>
      </c>
      <c r="B13" s="9" t="s">
        <v>9</v>
      </c>
      <c r="C13" s="3" t="s">
        <v>105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187</v>
      </c>
    </row>
    <row r="26" spans="1:3">
      <c r="A26" s="7">
        <f t="shared" si="0"/>
        <v>26</v>
      </c>
      <c r="B26" s="9" t="s">
        <v>21</v>
      </c>
      <c r="C26" s="26" t="s">
        <v>188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SY-8000312-VT-DD-01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104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191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invoice!O33</f>
        <v>76978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SY-8000312-VT-DD-01</v>
      </c>
    </row>
    <row r="50" spans="1:3">
      <c r="A50" s="7">
        <f t="shared" si="0"/>
        <v>50</v>
      </c>
      <c r="B50" s="9" t="s">
        <v>45</v>
      </c>
      <c r="C50" s="4" t="s">
        <v>100</v>
      </c>
    </row>
    <row r="51" spans="1:3">
      <c r="A51" s="7">
        <f t="shared" si="0"/>
        <v>51</v>
      </c>
      <c r="B51" s="9" t="s">
        <v>46</v>
      </c>
      <c r="C51" s="4" t="s">
        <v>142</v>
      </c>
    </row>
    <row r="52" spans="1:3">
      <c r="A52" s="7">
        <f t="shared" si="0"/>
        <v>52</v>
      </c>
      <c r="B52" s="9" t="s">
        <v>47</v>
      </c>
      <c r="C52" s="2" t="s">
        <v>101</v>
      </c>
    </row>
    <row r="53" spans="1:3">
      <c r="A53" s="7">
        <f t="shared" si="0"/>
        <v>53</v>
      </c>
      <c r="B53" s="9" t="s">
        <v>48</v>
      </c>
      <c r="C53" s="2" t="s">
        <v>102</v>
      </c>
    </row>
    <row r="54" spans="1:3">
      <c r="A54" s="7">
        <f t="shared" si="0"/>
        <v>54</v>
      </c>
      <c r="B54" s="9" t="s">
        <v>49</v>
      </c>
      <c r="C54" s="3" t="s">
        <v>103</v>
      </c>
    </row>
    <row r="55" spans="1:3">
      <c r="A55" s="7">
        <f t="shared" si="0"/>
        <v>55</v>
      </c>
      <c r="B55" s="28" t="s">
        <v>50</v>
      </c>
      <c r="C55" s="26" t="s">
        <v>189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149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27" t="s">
        <v>187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1" customFormat="1" ht="32.25" customHeight="1">
      <c r="H1" s="92"/>
    </row>
    <row r="2" spans="1:15" s="91" customFormat="1" ht="32.5">
      <c r="A2" s="91" t="str">
        <f>'shipper master'!C26</f>
        <v xml:space="preserve"> SY-8000312-VT-DD-01</v>
      </c>
      <c r="H2" s="92"/>
      <c r="I2" s="91" t="str">
        <f>'shipper master'!C26</f>
        <v xml:space="preserve"> SY-8000312-VT-DD-01</v>
      </c>
    </row>
    <row r="3" spans="1:15" s="91" customFormat="1" ht="32.5">
      <c r="A3" s="91" t="str">
        <f>'[1]shipper master'!C50</f>
        <v xml:space="preserve">VIVAN GARMENTS VIET NAM </v>
      </c>
      <c r="H3" s="92"/>
      <c r="I3" s="91" t="str">
        <f>'[1]shipper master'!C50</f>
        <v xml:space="preserve">VIVAN GARMENTS VIET NAM </v>
      </c>
    </row>
    <row r="4" spans="1:15" s="91" customFormat="1" ht="32.5">
      <c r="A4" s="91" t="str">
        <f>'[1]shipper master'!C51</f>
        <v xml:space="preserve"> COMPANY LIMITED</v>
      </c>
      <c r="H4" s="92"/>
      <c r="I4" s="91" t="str">
        <f>'[1]shipper master'!C51</f>
        <v xml:space="preserve"> COMPANY LIMITED</v>
      </c>
    </row>
    <row r="5" spans="1:15" s="91" customFormat="1" ht="32.5">
      <c r="A5" s="91" t="str">
        <f>'[1]shipper master'!C52</f>
        <v xml:space="preserve"> HOCHIMINH-CITY, VIETNAM</v>
      </c>
      <c r="H5" s="92"/>
      <c r="I5" s="91" t="str">
        <f>'[1]shipper master'!C52</f>
        <v xml:space="preserve"> HOCHIMINH-CITY, VIETNAM</v>
      </c>
    </row>
    <row r="6" spans="1:15" s="91" customFormat="1" ht="32.5">
      <c r="A6" s="91" t="s">
        <v>108</v>
      </c>
      <c r="C6" s="91">
        <v>1</v>
      </c>
      <c r="D6" s="93"/>
      <c r="H6" s="92"/>
      <c r="I6" s="91" t="s">
        <v>108</v>
      </c>
      <c r="K6" s="91">
        <v>2</v>
      </c>
    </row>
    <row r="7" spans="1:15" s="91" customFormat="1" ht="32.25" customHeight="1">
      <c r="A7" s="91" t="str">
        <f>'[1]shipper master'!C54</f>
        <v xml:space="preserve"> MADE IN JAPAN</v>
      </c>
      <c r="H7" s="92"/>
      <c r="I7" s="91" t="str">
        <f>'[1]shipper master'!C54</f>
        <v xml:space="preserve"> MADE IN JAPAN</v>
      </c>
    </row>
    <row r="8" spans="1:15" s="91" customFormat="1" ht="19.5" customHeight="1">
      <c r="H8" s="92"/>
    </row>
    <row r="9" spans="1:15" s="91" customFormat="1" ht="19.5" customHeight="1">
      <c r="H9" s="92"/>
    </row>
    <row r="10" spans="1:15" s="91" customFormat="1" ht="19.5" customHeight="1">
      <c r="A10" s="94"/>
      <c r="B10" s="94"/>
      <c r="C10" s="94"/>
      <c r="D10" s="94"/>
      <c r="E10" s="94"/>
      <c r="F10" s="94"/>
      <c r="G10" s="94"/>
      <c r="H10" s="95"/>
      <c r="I10" s="94"/>
      <c r="J10" s="94"/>
      <c r="K10" s="94"/>
      <c r="L10" s="94"/>
      <c r="M10" s="94"/>
      <c r="N10" s="94"/>
      <c r="O10" s="94"/>
    </row>
    <row r="11" spans="1:15" s="91" customFormat="1" ht="19.5" customHeight="1">
      <c r="H11" s="92"/>
    </row>
    <row r="12" spans="1:15" s="91" customFormat="1" ht="19.5" customHeight="1">
      <c r="H12" s="92"/>
    </row>
    <row r="13" spans="1:15" s="91" customFormat="1" ht="32.5">
      <c r="A13" s="91" t="str">
        <f>'shipper master'!C26</f>
        <v xml:space="preserve"> SY-8000312-VT-DD-01</v>
      </c>
      <c r="H13" s="92"/>
      <c r="I13" s="91" t="str">
        <f>'shipper master'!C26</f>
        <v xml:space="preserve"> SY-8000312-VT-DD-01</v>
      </c>
    </row>
    <row r="14" spans="1:15" s="91" customFormat="1" ht="32.5">
      <c r="A14" s="91" t="str">
        <f>'[1]shipper master'!C50</f>
        <v xml:space="preserve">VIVAN GARMENTS VIET NAM </v>
      </c>
      <c r="H14" s="92"/>
      <c r="I14" s="91" t="str">
        <f>'[1]shipper master'!C50</f>
        <v xml:space="preserve">VIVAN GARMENTS VIET NAM </v>
      </c>
    </row>
    <row r="15" spans="1:15" s="91" customFormat="1" ht="32.5">
      <c r="A15" s="91" t="str">
        <f>'[1]shipper master'!C51</f>
        <v xml:space="preserve"> COMPANY LIMITED</v>
      </c>
      <c r="H15" s="92"/>
      <c r="I15" s="91" t="str">
        <f>'[1]shipper master'!C51</f>
        <v xml:space="preserve"> COMPANY LIMITED</v>
      </c>
    </row>
    <row r="16" spans="1:15" s="91" customFormat="1" ht="32.5">
      <c r="A16" s="91" t="str">
        <f>'[1]shipper master'!C52</f>
        <v xml:space="preserve"> HOCHIMINH-CITY, VIETNAM</v>
      </c>
      <c r="H16" s="92"/>
      <c r="I16" s="91" t="str">
        <f>'[1]shipper master'!C52</f>
        <v xml:space="preserve"> HOCHIMINH-CITY, VIETNAM</v>
      </c>
    </row>
    <row r="17" spans="1:11" s="91" customFormat="1" ht="32.5">
      <c r="A17" s="91" t="s">
        <v>108</v>
      </c>
      <c r="C17" s="91">
        <v>3</v>
      </c>
      <c r="H17" s="92"/>
      <c r="I17" s="91" t="s">
        <v>108</v>
      </c>
      <c r="K17" s="91">
        <v>4</v>
      </c>
    </row>
    <row r="18" spans="1:11" s="91" customFormat="1" ht="32.5">
      <c r="A18" s="91" t="str">
        <f>'[1]shipper master'!C54</f>
        <v xml:space="preserve"> MADE IN JAPAN</v>
      </c>
      <c r="H18" s="92"/>
      <c r="I18" s="91" t="str">
        <f>'[1]shipper master'!C54</f>
        <v xml:space="preserve"> MADE IN JAPAN</v>
      </c>
    </row>
    <row r="19" spans="1:11" s="96" customFormat="1" ht="34">
      <c r="A19" s="91"/>
    </row>
    <row r="20" spans="1:11" s="96" customFormat="1" ht="34"/>
    <row r="21" spans="1:11" s="96" customFormat="1" ht="34"/>
    <row r="22" spans="1:11" s="96" customFormat="1" ht="34"/>
    <row r="23" spans="1:11" s="96" customFormat="1" ht="34"/>
    <row r="24" spans="1:11" s="96" customFormat="1" ht="34"/>
    <row r="25" spans="1:11" s="96" customFormat="1" ht="34"/>
    <row r="26" spans="1:11" s="91" customFormat="1" ht="32.5"/>
    <row r="27" spans="1:11" s="91" customFormat="1" ht="32.5"/>
    <row r="28" spans="1:11" s="91" customFormat="1" ht="32.5"/>
    <row r="29" spans="1:11" s="91" customFormat="1" ht="32.5"/>
    <row r="30" spans="1:11" s="91" customFormat="1" ht="32.5"/>
    <row r="31" spans="1:11" s="91" customFormat="1" ht="32.5"/>
    <row r="32" spans="1:11" s="91" customFormat="1" ht="32.5"/>
    <row r="33" s="91" customFormat="1" ht="32.5"/>
    <row r="34" s="91" customFormat="1" ht="32.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4"/>
  <sheetViews>
    <sheetView showZeros="0" view="pageBreakPreview" topLeftCell="A10" zoomScale="110" zoomScaleNormal="115" zoomScaleSheetLayoutView="110" workbookViewId="0">
      <selection activeCell="S42" sqref="S42"/>
    </sheetView>
  </sheetViews>
  <sheetFormatPr defaultColWidth="9" defaultRowHeight="16"/>
  <cols>
    <col min="1" max="1" width="8.6328125" style="100" customWidth="1"/>
    <col min="2" max="2" width="11.6328125" style="100" customWidth="1"/>
    <col min="3" max="3" width="4.81640625" style="100" customWidth="1"/>
    <col min="4" max="4" width="19.1796875" style="100" customWidth="1"/>
    <col min="5" max="5" width="6.08984375" style="100" customWidth="1"/>
    <col min="6" max="7" width="3.08984375" style="100" customWidth="1"/>
    <col min="8" max="8" width="2.90625" style="100" customWidth="1"/>
    <col min="9" max="9" width="3.08984375" style="100" hidden="1" customWidth="1"/>
    <col min="10" max="12" width="8.453125" style="100" customWidth="1"/>
    <col min="13" max="13" width="9.90625" style="100" customWidth="1"/>
    <col min="14" max="14" width="13" style="100" customWidth="1"/>
    <col min="15" max="15" width="13.90625" style="100" customWidth="1"/>
    <col min="16" max="16384" width="9" style="100"/>
  </cols>
  <sheetData>
    <row r="1" spans="1:15" s="97" customFormat="1" ht="32.25" customHeight="1">
      <c r="A1" s="322" t="s">
        <v>109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</row>
    <row r="2" spans="1:15" ht="23.25" customHeight="1">
      <c r="A2" s="98" t="str">
        <f>'[2]shipper master'!C2</f>
        <v xml:space="preserve"> SHUNYA CO., LTD.</v>
      </c>
      <c r="B2" s="99"/>
      <c r="C2" s="99"/>
      <c r="D2" s="99"/>
      <c r="E2" s="99"/>
      <c r="N2" s="101"/>
    </row>
    <row r="3" spans="1:15" ht="15.75" customHeight="1">
      <c r="A3" s="3" t="str">
        <f>'[2]shipper master'!C3</f>
        <v xml:space="preserve"> KENSHIN BLDG., 1F, 1-22-10 DOUGENZAKA,</v>
      </c>
      <c r="B3" s="99"/>
      <c r="C3" s="99"/>
      <c r="D3" s="99"/>
      <c r="E3" s="99"/>
      <c r="N3" s="101"/>
    </row>
    <row r="4" spans="1:15" ht="18" customHeight="1">
      <c r="A4" s="3" t="str">
        <f>'[2]shipper master'!C4</f>
        <v xml:space="preserve"> SHIBUYA-KU 150-0043</v>
      </c>
      <c r="B4" s="99"/>
      <c r="C4" s="99"/>
      <c r="D4" s="99"/>
      <c r="E4" s="99"/>
      <c r="F4" s="102"/>
      <c r="G4" s="102"/>
      <c r="H4" s="102"/>
      <c r="I4" s="102"/>
      <c r="J4" s="102"/>
      <c r="K4" s="102"/>
      <c r="L4" s="102"/>
      <c r="N4" s="3">
        <f>'[2]shipper master'!C6</f>
        <v>0</v>
      </c>
    </row>
    <row r="5" spans="1:15" ht="16.5" thickBot="1">
      <c r="A5" s="103" t="str">
        <f>'[2]shipper master'!C5</f>
        <v xml:space="preserve"> TEL : +81(0)3-5459-1177</v>
      </c>
      <c r="B5" s="99"/>
      <c r="C5" s="99"/>
      <c r="D5" s="99"/>
      <c r="N5" s="3">
        <f>'[2]shipper master'!C7</f>
        <v>0</v>
      </c>
      <c r="O5" s="104"/>
    </row>
    <row r="6" spans="1:15" ht="13.4" customHeight="1">
      <c r="A6" s="105" t="s">
        <v>110</v>
      </c>
      <c r="B6" s="106"/>
      <c r="C6" s="106"/>
      <c r="D6" s="106"/>
      <c r="E6" s="106"/>
      <c r="F6" s="107" t="s">
        <v>111</v>
      </c>
      <c r="G6" s="108"/>
      <c r="H6" s="108"/>
      <c r="I6" s="108"/>
      <c r="J6" s="106"/>
      <c r="K6" s="106"/>
      <c r="L6" s="106"/>
      <c r="M6" s="197"/>
      <c r="N6" s="107" t="s">
        <v>112</v>
      </c>
      <c r="O6" s="101"/>
    </row>
    <row r="7" spans="1:15" ht="13.4" customHeight="1">
      <c r="A7" s="3" t="str">
        <f>'[2]shipper master'!C9</f>
        <v>VIVAN GARMENTS VIET NAM COMPANY LIMITED</v>
      </c>
      <c r="B7" s="101"/>
      <c r="C7" s="101"/>
      <c r="D7" s="101"/>
      <c r="E7" s="101"/>
      <c r="F7" s="109" t="str">
        <f>'shipper master'!C26</f>
        <v xml:space="preserve"> SY-8000312-VT-DD-01</v>
      </c>
      <c r="G7" s="110"/>
      <c r="H7" s="110"/>
      <c r="I7" s="110"/>
      <c r="J7" s="110"/>
      <c r="K7" s="110"/>
      <c r="L7" s="110"/>
      <c r="M7" s="198"/>
      <c r="N7" s="111"/>
      <c r="O7" s="101"/>
    </row>
    <row r="8" spans="1:15" ht="13.4" customHeight="1">
      <c r="A8" s="3" t="str">
        <f>'[2]shipper master'!C10</f>
        <v>D17 Street , Sai Gon South Residential Area</v>
      </c>
      <c r="B8" s="101"/>
      <c r="C8" s="101"/>
      <c r="D8" s="101"/>
      <c r="E8" s="101"/>
      <c r="F8" s="112" t="s">
        <v>113</v>
      </c>
      <c r="G8" s="105"/>
      <c r="H8" s="105"/>
      <c r="I8" s="105"/>
      <c r="J8" s="101"/>
      <c r="K8" s="101"/>
      <c r="L8" s="101"/>
      <c r="M8" s="199"/>
      <c r="N8" s="113" t="str">
        <f>'shipper master'!C26</f>
        <v xml:space="preserve"> SY-8000312-VT-DD-01</v>
      </c>
      <c r="O8" s="101"/>
    </row>
    <row r="9" spans="1:15" ht="13.4" customHeight="1">
      <c r="A9" s="3" t="str">
        <f>'[2]shipper master'!C11</f>
        <v>Hamlet 3 , Long Hau Commune , Can Giuoc District,</v>
      </c>
      <c r="B9" s="101"/>
      <c r="C9" s="101"/>
      <c r="D9" s="101"/>
      <c r="E9" s="101"/>
      <c r="F9" s="200" t="str">
        <f>'shipper master'!C25</f>
        <v>Mar, 12 2026</v>
      </c>
      <c r="G9" s="114"/>
      <c r="H9" s="114"/>
      <c r="I9" s="114"/>
      <c r="J9" s="114"/>
      <c r="K9" s="114"/>
      <c r="L9" s="114"/>
      <c r="M9" s="115"/>
      <c r="N9" s="113" t="str">
        <f>'[1]shipper master'!C50</f>
        <v xml:space="preserve">VIVAN GARMENTS VIET NAM </v>
      </c>
      <c r="O9" s="101"/>
    </row>
    <row r="10" spans="1:15" ht="13.4" customHeight="1">
      <c r="A10" s="3" t="str">
        <f>'[2]shipper master'!C12</f>
        <v xml:space="preserve"> Long An Province , VietNam</v>
      </c>
      <c r="B10" s="101"/>
      <c r="C10" s="101"/>
      <c r="D10" s="101"/>
      <c r="E10" s="101"/>
      <c r="F10" s="112" t="s">
        <v>114</v>
      </c>
      <c r="G10" s="105"/>
      <c r="H10" s="105"/>
      <c r="I10" s="105"/>
      <c r="J10" s="101"/>
      <c r="K10" s="101"/>
      <c r="L10" s="101"/>
      <c r="M10" s="199"/>
      <c r="N10" s="113" t="str">
        <f>'[1]shipper master'!C51</f>
        <v xml:space="preserve"> COMPANY LIMITED</v>
      </c>
      <c r="O10" s="101"/>
    </row>
    <row r="11" spans="1:15" ht="13.4" customHeight="1">
      <c r="A11" s="110" t="str">
        <f>'[2]shipper master'!C13</f>
        <v xml:space="preserve"> TEL : ( 084 ) 097 22 00 798  ATTN : MR. TUAN</v>
      </c>
      <c r="B11" s="101"/>
      <c r="C11" s="101"/>
      <c r="D11" s="101"/>
      <c r="E11" s="120"/>
      <c r="F11" s="323" t="str">
        <f>'shipper master'!C26</f>
        <v xml:space="preserve"> SY-8000312-VT-DD-01</v>
      </c>
      <c r="G11" s="324"/>
      <c r="H11" s="324"/>
      <c r="I11" s="324"/>
      <c r="J11" s="324"/>
      <c r="K11" s="324"/>
      <c r="L11" s="324"/>
      <c r="M11" s="325"/>
      <c r="N11" s="113" t="str">
        <f>'[1]shipper master'!C52</f>
        <v xml:space="preserve"> HOCHIMINH-CITY, VIETNAM</v>
      </c>
      <c r="O11" s="101"/>
    </row>
    <row r="12" spans="1:15" ht="13.4" customHeight="1">
      <c r="A12" s="105" t="s">
        <v>115</v>
      </c>
      <c r="B12" s="116"/>
      <c r="C12" s="116"/>
      <c r="D12" s="116"/>
      <c r="E12" s="101"/>
      <c r="F12" s="112" t="s">
        <v>116</v>
      </c>
      <c r="G12" s="105"/>
      <c r="H12" s="105"/>
      <c r="I12" s="105"/>
      <c r="J12" s="101"/>
      <c r="K12" s="101"/>
      <c r="L12" s="101"/>
      <c r="M12" s="101"/>
      <c r="N12" s="117" t="s">
        <v>186</v>
      </c>
      <c r="O12" s="101"/>
    </row>
    <row r="13" spans="1:15" ht="13.4" customHeight="1">
      <c r="A13" s="3" t="str">
        <f>'[2]shipper master'!C15</f>
        <v xml:space="preserve"> - SAME AS BUYER -</v>
      </c>
      <c r="B13" s="101"/>
      <c r="C13" s="101"/>
      <c r="D13" s="101"/>
      <c r="E13" s="101"/>
      <c r="F13" s="323">
        <f>'[2]shipper master'!C30</f>
        <v>0</v>
      </c>
      <c r="G13" s="324"/>
      <c r="H13" s="324"/>
      <c r="I13" s="324"/>
      <c r="J13" s="324"/>
      <c r="K13" s="324"/>
      <c r="L13" s="324"/>
      <c r="M13" s="325"/>
      <c r="N13" s="113" t="s">
        <v>117</v>
      </c>
      <c r="O13" s="101"/>
    </row>
    <row r="14" spans="1:15" ht="13.4" customHeight="1">
      <c r="A14" s="3">
        <f>'[2]shipper master'!C16</f>
        <v>0</v>
      </c>
      <c r="B14" s="101"/>
      <c r="C14" s="101"/>
      <c r="D14" s="101"/>
      <c r="E14" s="101"/>
      <c r="F14" s="118" t="s">
        <v>24</v>
      </c>
      <c r="G14" s="3"/>
      <c r="H14" s="3"/>
      <c r="I14" s="3"/>
      <c r="J14" s="3"/>
      <c r="K14" s="3"/>
      <c r="L14" s="3"/>
      <c r="M14" s="119"/>
      <c r="N14" s="113" t="s">
        <v>161</v>
      </c>
      <c r="O14" s="101"/>
    </row>
    <row r="15" spans="1:15" ht="13.4" customHeight="1">
      <c r="A15" s="3">
        <f>'[2]shipper master'!C17</f>
        <v>0</v>
      </c>
      <c r="B15" s="101"/>
      <c r="C15" s="101"/>
      <c r="D15" s="101"/>
      <c r="E15" s="101"/>
      <c r="F15" s="323">
        <f>'[2]shipper master'!C29</f>
        <v>0</v>
      </c>
      <c r="G15" s="324"/>
      <c r="H15" s="324"/>
      <c r="I15" s="324"/>
      <c r="J15" s="324"/>
      <c r="K15" s="324"/>
      <c r="L15" s="324"/>
      <c r="M15" s="325"/>
      <c r="N15" s="113"/>
      <c r="O15" s="101"/>
    </row>
    <row r="16" spans="1:15" ht="13.4" customHeight="1">
      <c r="A16" s="3">
        <f>'[2]shipper master'!C18</f>
        <v>0</v>
      </c>
      <c r="B16" s="101"/>
      <c r="C16" s="101"/>
      <c r="D16" s="101"/>
      <c r="E16" s="101"/>
      <c r="F16" s="112" t="s">
        <v>118</v>
      </c>
      <c r="G16" s="105"/>
      <c r="H16" s="105"/>
      <c r="I16" s="105"/>
      <c r="J16" s="101"/>
      <c r="K16" s="101"/>
      <c r="L16" s="101"/>
      <c r="M16" s="101"/>
      <c r="N16" s="111"/>
      <c r="O16" s="101"/>
    </row>
    <row r="17" spans="1:15" ht="13.4" customHeight="1">
      <c r="A17" s="110">
        <f>'[2]shipper master'!C19</f>
        <v>0</v>
      </c>
      <c r="B17" s="120"/>
      <c r="C17" s="120"/>
      <c r="D17" s="120"/>
      <c r="E17" s="120"/>
      <c r="F17" s="326"/>
      <c r="G17" s="327"/>
      <c r="H17" s="327"/>
      <c r="I17" s="327"/>
      <c r="J17" s="327"/>
      <c r="K17" s="327"/>
      <c r="L17" s="327"/>
      <c r="M17" s="328"/>
      <c r="N17" s="111"/>
      <c r="O17" s="101"/>
    </row>
    <row r="18" spans="1:15" ht="13.4" customHeight="1">
      <c r="A18" s="105" t="s">
        <v>119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11"/>
      <c r="O18" s="101"/>
    </row>
    <row r="19" spans="1:15" ht="13.4" customHeight="1">
      <c r="A19" s="110" t="str">
        <f>'[2]shipper master'!C21</f>
        <v xml:space="preserve"> NO COMMERCIAL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1"/>
      <c r="O19" s="120"/>
    </row>
    <row r="20" spans="1:15" ht="13.4" customHeight="1">
      <c r="A20" s="105" t="s">
        <v>120</v>
      </c>
      <c r="B20" s="101"/>
      <c r="C20" s="101"/>
      <c r="D20" s="122" t="s">
        <v>121</v>
      </c>
      <c r="E20" s="123"/>
      <c r="F20" s="105" t="s">
        <v>122</v>
      </c>
      <c r="G20" s="105"/>
      <c r="H20" s="105"/>
      <c r="I20" s="105"/>
      <c r="J20" s="124" t="s">
        <v>123</v>
      </c>
      <c r="K20" s="124" t="s">
        <v>123</v>
      </c>
      <c r="L20" s="124" t="s">
        <v>123</v>
      </c>
      <c r="M20" s="125"/>
      <c r="N20" s="105" t="s">
        <v>124</v>
      </c>
      <c r="O20" s="101"/>
    </row>
    <row r="21" spans="1:15" s="1" customFormat="1" ht="13.4" customHeight="1" thickBot="1">
      <c r="A21" s="3" t="str">
        <f>'[2]shipper master'!C24</f>
        <v xml:space="preserve"> AIRCRAFT</v>
      </c>
      <c r="B21" s="103"/>
      <c r="C21" s="3"/>
      <c r="D21" s="126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3"/>
      <c r="K21" s="103"/>
      <c r="L21" s="103"/>
      <c r="M21" s="103"/>
      <c r="N21" s="4"/>
      <c r="O21" s="103"/>
    </row>
    <row r="22" spans="1:15" s="131" customFormat="1" ht="16.399999999999999" customHeight="1">
      <c r="A22" s="127" t="s">
        <v>125</v>
      </c>
      <c r="B22" s="127" t="s">
        <v>126</v>
      </c>
      <c r="C22" s="127"/>
      <c r="D22" s="128" t="s">
        <v>127</v>
      </c>
      <c r="E22" s="127" t="s">
        <v>128</v>
      </c>
      <c r="F22" s="128"/>
      <c r="G22" s="128"/>
      <c r="H22" s="128" t="s">
        <v>129</v>
      </c>
      <c r="I22" s="128"/>
      <c r="J22" s="128"/>
      <c r="K22" s="128"/>
      <c r="L22" s="128"/>
      <c r="M22" s="129" t="s">
        <v>130</v>
      </c>
      <c r="N22" s="127" t="s">
        <v>131</v>
      </c>
      <c r="O22" s="130" t="s">
        <v>132</v>
      </c>
    </row>
    <row r="23" spans="1:15" ht="13.4" customHeight="1">
      <c r="A23" s="132"/>
      <c r="B23" s="133"/>
      <c r="C23" s="133"/>
      <c r="D23" s="101"/>
      <c r="E23" s="133"/>
      <c r="F23" s="101"/>
      <c r="G23" s="101"/>
      <c r="H23" s="101"/>
      <c r="I23" s="101"/>
      <c r="J23" s="101"/>
      <c r="K23" s="101"/>
      <c r="L23" s="101"/>
      <c r="M23" s="134"/>
      <c r="N23" s="101"/>
      <c r="O23" s="111"/>
    </row>
    <row r="24" spans="1:15" s="1" customFormat="1" ht="13.4" customHeight="1">
      <c r="A24" s="135"/>
      <c r="B24" s="136" t="str">
        <f>'[2]shipper master'!C36</f>
        <v>FABRIC &amp; PARTS FOR WEAR &amp; SAMPLE CLOTHES</v>
      </c>
      <c r="C24" s="136"/>
      <c r="D24" s="4"/>
      <c r="E24" s="4"/>
      <c r="F24" s="4"/>
      <c r="G24" s="4"/>
      <c r="H24" s="4"/>
      <c r="I24" s="4"/>
      <c r="J24" s="4"/>
      <c r="K24" s="4"/>
      <c r="L24" s="4"/>
      <c r="M24" s="137"/>
      <c r="N24" s="138" t="str">
        <f>'[2]shipper master'!C48</f>
        <v>F.O.B. TOKYO IN YEN</v>
      </c>
      <c r="O24" s="139"/>
    </row>
    <row r="25" spans="1:15" s="1" customFormat="1" ht="13.4" customHeight="1">
      <c r="A25" s="135"/>
      <c r="B25" s="136"/>
      <c r="C25" s="136"/>
      <c r="D25" s="4"/>
      <c r="E25" s="4"/>
      <c r="F25" s="4"/>
      <c r="G25" s="4"/>
      <c r="H25" s="4"/>
      <c r="I25" s="4"/>
      <c r="J25" s="4"/>
      <c r="K25" s="4"/>
      <c r="L25" s="4"/>
      <c r="M25" s="137"/>
      <c r="N25" s="140"/>
      <c r="O25" s="139"/>
    </row>
    <row r="26" spans="1:15" s="1" customFormat="1" ht="13.4" customHeight="1">
      <c r="A26" s="141"/>
      <c r="B26" s="136">
        <f>'[2]shipper master'!C37</f>
        <v>0</v>
      </c>
      <c r="C26" s="136"/>
      <c r="D26" s="4"/>
      <c r="E26" s="4"/>
      <c r="F26" s="3"/>
      <c r="G26" s="3"/>
      <c r="H26" s="3"/>
      <c r="I26" s="3"/>
      <c r="J26" s="3"/>
      <c r="K26" s="3"/>
      <c r="L26" s="3"/>
      <c r="M26" s="143">
        <f>'NARITA '!E20</f>
        <v>0</v>
      </c>
      <c r="N26" s="144" t="s">
        <v>146</v>
      </c>
      <c r="O26" s="145">
        <f>'NARITA '!H20</f>
        <v>0</v>
      </c>
    </row>
    <row r="27" spans="1:15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4"/>
      <c r="L27" s="4"/>
      <c r="M27" s="143">
        <f>'NARITA '!E21</f>
        <v>481</v>
      </c>
      <c r="N27" s="144" t="s">
        <v>144</v>
      </c>
      <c r="O27" s="145">
        <f>'NARITA '!H21</f>
        <v>76978</v>
      </c>
    </row>
    <row r="28" spans="1:15" s="1" customFormat="1" ht="13.4" customHeight="1">
      <c r="A28" s="5"/>
      <c r="B28" s="4"/>
      <c r="C28" s="4"/>
      <c r="D28" s="3"/>
      <c r="E28" s="4"/>
      <c r="F28" s="4"/>
      <c r="G28" s="4"/>
      <c r="H28" s="4"/>
      <c r="I28" s="4"/>
      <c r="J28" s="4"/>
      <c r="K28" s="4"/>
      <c r="L28" s="4"/>
      <c r="M28" s="143"/>
      <c r="N28" s="256"/>
      <c r="O28" s="145"/>
    </row>
    <row r="29" spans="1:15" s="1" customFormat="1" ht="13.4" customHeight="1">
      <c r="A29" s="5"/>
      <c r="B29" s="4"/>
      <c r="C29" s="4"/>
      <c r="D29" s="3"/>
      <c r="E29" s="4"/>
      <c r="F29" s="4"/>
      <c r="G29" s="4"/>
      <c r="H29" s="4"/>
      <c r="I29" s="4"/>
      <c r="J29" s="4"/>
      <c r="K29" s="4"/>
      <c r="L29" s="4"/>
      <c r="M29" s="143"/>
      <c r="N29" s="256"/>
      <c r="O29" s="145"/>
    </row>
    <row r="30" spans="1:15" s="1" customFormat="1" ht="13.4" customHeight="1">
      <c r="A30" s="5"/>
      <c r="B30" s="4"/>
      <c r="C30" s="4"/>
      <c r="D30" s="3"/>
      <c r="E30" s="4"/>
      <c r="F30" s="4"/>
      <c r="G30" s="4"/>
      <c r="H30" s="4"/>
      <c r="I30" s="4"/>
      <c r="J30" s="4"/>
      <c r="K30" s="4"/>
      <c r="L30" s="4"/>
      <c r="M30" s="143"/>
      <c r="N30" s="256"/>
      <c r="O30" s="145"/>
    </row>
    <row r="31" spans="1:15" s="1" customFormat="1" ht="13.4" customHeight="1">
      <c r="A31" s="146"/>
      <c r="B31" s="22" t="str">
        <f>'[2]shipper master'!C38</f>
        <v>- DETAILS AS PER ATTACHED SHEET -</v>
      </c>
      <c r="C31" s="22"/>
      <c r="D31" s="3"/>
      <c r="E31" s="4"/>
      <c r="F31" s="3"/>
      <c r="G31" s="3"/>
      <c r="H31" s="3"/>
      <c r="I31" s="3"/>
      <c r="J31" s="3"/>
      <c r="K31" s="3"/>
      <c r="L31" s="3"/>
      <c r="M31" s="147"/>
      <c r="N31" s="144"/>
      <c r="O31" s="148"/>
    </row>
    <row r="32" spans="1:15" s="1" customFormat="1" ht="13.4" customHeight="1">
      <c r="A32" s="146"/>
      <c r="B32" s="22"/>
      <c r="C32" s="22"/>
      <c r="D32" s="3"/>
      <c r="E32" s="4"/>
      <c r="F32" s="3"/>
      <c r="G32" s="3"/>
      <c r="H32" s="3"/>
      <c r="I32" s="3"/>
      <c r="J32" s="3"/>
      <c r="K32" s="3"/>
      <c r="L32" s="3"/>
      <c r="M32" s="147"/>
      <c r="N32" s="144"/>
      <c r="O32" s="148"/>
    </row>
    <row r="33" spans="1:15" s="1" customFormat="1" ht="17.25" customHeight="1" thickBot="1">
      <c r="A33" s="149" t="s">
        <v>143</v>
      </c>
      <c r="B33" s="188">
        <f>M26</f>
        <v>0</v>
      </c>
      <c r="C33" s="183" t="s">
        <v>145</v>
      </c>
      <c r="D33" s="188">
        <f>M27</f>
        <v>481</v>
      </c>
      <c r="E33" s="183" t="s">
        <v>85</v>
      </c>
      <c r="F33" s="329">
        <f>M28</f>
        <v>0</v>
      </c>
      <c r="G33" s="329"/>
      <c r="H33" s="329"/>
      <c r="I33" s="150" t="s">
        <v>85</v>
      </c>
      <c r="J33" s="150" t="s">
        <v>153</v>
      </c>
      <c r="K33" s="258">
        <f>M29</f>
        <v>0</v>
      </c>
      <c r="L33" s="257">
        <f>N29</f>
        <v>0</v>
      </c>
      <c r="M33" s="259">
        <f>M30</f>
        <v>0</v>
      </c>
      <c r="N33" s="184" t="s">
        <v>158</v>
      </c>
      <c r="O33" s="151">
        <f>SUM(O26:O32)</f>
        <v>76978</v>
      </c>
    </row>
    <row r="34" spans="1:15" s="1" customFormat="1" ht="13.4" customHeight="1" thickTop="1">
      <c r="A34" s="152"/>
      <c r="B34" s="153"/>
      <c r="C34" s="153"/>
      <c r="D34" s="3"/>
      <c r="E34" s="154"/>
      <c r="F34" s="3"/>
      <c r="G34" s="154"/>
      <c r="H34" s="3"/>
      <c r="I34" s="3"/>
      <c r="J34" s="3"/>
      <c r="K34" s="3"/>
      <c r="L34" s="3"/>
      <c r="M34" s="146"/>
      <c r="N34" s="155"/>
      <c r="O34" s="152"/>
    </row>
    <row r="35" spans="1:15" s="1" customFormat="1" ht="13.4" customHeight="1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156"/>
      <c r="N35" s="155"/>
      <c r="O35" s="157"/>
    </row>
    <row r="36" spans="1:15" s="1" customFormat="1" ht="13.4" customHeight="1">
      <c r="A36" s="3" t="str">
        <f>'[2]shipper master'!C63</f>
        <v>" THESE GOODS WILL BE RETURN TO JAPAN</v>
      </c>
      <c r="B36" s="158"/>
      <c r="C36" s="158"/>
      <c r="D36" s="158"/>
      <c r="E36" s="158"/>
      <c r="F36" s="158"/>
      <c r="G36" s="3"/>
      <c r="H36" s="3"/>
      <c r="I36" s="3" t="s">
        <v>133</v>
      </c>
      <c r="J36" s="3"/>
      <c r="K36" s="3"/>
      <c r="L36" s="3"/>
      <c r="M36" s="156" t="s">
        <v>134</v>
      </c>
      <c r="N36" s="155"/>
      <c r="O36" s="3"/>
    </row>
    <row r="37" spans="1:15" s="1" customFormat="1" ht="13.4" customHeight="1">
      <c r="A37" s="321" t="str">
        <f>'[2]shipper master'!C64</f>
        <v xml:space="preserve">  AFTER MANUFACTURED AT VIET NAM "</v>
      </c>
      <c r="B37" s="321"/>
      <c r="C37" s="321"/>
      <c r="D37" s="321"/>
      <c r="E37" s="4"/>
      <c r="F37" s="3"/>
      <c r="G37" s="3"/>
      <c r="H37" s="3"/>
      <c r="I37" s="3" t="s">
        <v>135</v>
      </c>
      <c r="J37" s="3"/>
      <c r="K37" s="3"/>
      <c r="L37" s="3"/>
      <c r="M37" s="156" t="s">
        <v>136</v>
      </c>
      <c r="N37" s="155"/>
      <c r="O37" s="157"/>
    </row>
    <row r="38" spans="1:15" s="1" customFormat="1" ht="13.4" customHeight="1">
      <c r="A38" s="3"/>
      <c r="B38" s="4"/>
      <c r="C38" s="4"/>
      <c r="D38" s="4">
        <f>'[2]shipper master'!C58</f>
        <v>0</v>
      </c>
      <c r="E38" s="4"/>
      <c r="F38" s="3"/>
      <c r="G38" s="3"/>
      <c r="H38" s="3"/>
      <c r="I38" s="3"/>
      <c r="J38" s="3"/>
      <c r="K38" s="3"/>
      <c r="L38" s="3"/>
      <c r="M38" s="146"/>
      <c r="N38" s="155"/>
      <c r="O38" s="3"/>
    </row>
    <row r="39" spans="1:15" s="1" customFormat="1" ht="13.4" customHeight="1">
      <c r="A39" s="4" t="str">
        <f>'[2]shipper master'!C60</f>
        <v>COUNTRY OF ORIGIN : JAPAN</v>
      </c>
      <c r="B39" s="4"/>
      <c r="C39" s="4"/>
      <c r="D39" s="4"/>
      <c r="E39" s="4"/>
      <c r="F39" s="3"/>
      <c r="G39" s="3"/>
      <c r="H39" s="3"/>
      <c r="I39" s="3"/>
      <c r="J39" s="3"/>
      <c r="K39" s="3"/>
      <c r="L39" s="3"/>
      <c r="M39" s="146"/>
      <c r="N39" s="155"/>
      <c r="O39" s="3"/>
    </row>
    <row r="40" spans="1:15" s="1" customFormat="1" ht="13.4" customHeight="1">
      <c r="A40" s="4"/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146"/>
      <c r="N40" s="155"/>
      <c r="O40" s="3"/>
    </row>
    <row r="41" spans="1:15" s="1" customFormat="1" ht="13.4" customHeight="1">
      <c r="A41" s="159" t="s">
        <v>137</v>
      </c>
      <c r="B41" s="160"/>
      <c r="C41" s="160"/>
      <c r="D41" s="161" t="s">
        <v>160</v>
      </c>
      <c r="E41" s="4"/>
      <c r="F41" s="3"/>
      <c r="G41" s="3"/>
      <c r="H41" s="3"/>
      <c r="I41" s="3"/>
      <c r="J41" s="3"/>
      <c r="K41" s="3"/>
      <c r="L41" s="3"/>
      <c r="M41" s="146"/>
      <c r="N41" s="155"/>
      <c r="O41" s="3"/>
    </row>
    <row r="42" spans="1:15" s="1" customFormat="1" ht="13.4" customHeight="1">
      <c r="A42" s="159" t="s">
        <v>138</v>
      </c>
      <c r="B42" s="160"/>
      <c r="C42" s="160"/>
      <c r="D42" s="162" t="s">
        <v>139</v>
      </c>
      <c r="E42" s="4"/>
      <c r="F42" s="3"/>
      <c r="G42" s="3"/>
      <c r="H42" s="3"/>
      <c r="I42" s="3"/>
      <c r="J42" s="3"/>
      <c r="K42" s="3"/>
      <c r="L42" s="3"/>
      <c r="M42" s="146"/>
      <c r="N42" s="155"/>
      <c r="O42" s="3"/>
    </row>
    <row r="43" spans="1:15" s="1" customFormat="1" ht="13.4" customHeight="1">
      <c r="A43" s="142"/>
      <c r="B43" s="136"/>
      <c r="C43" s="136"/>
      <c r="D43" s="163"/>
      <c r="E43" s="136"/>
      <c r="F43" s="164"/>
      <c r="G43" s="164"/>
      <c r="H43" s="164"/>
      <c r="I43" s="3"/>
      <c r="J43" s="3"/>
      <c r="K43" s="3"/>
      <c r="L43" s="3"/>
      <c r="M43" s="146"/>
      <c r="N43" s="155"/>
      <c r="O43" s="3"/>
    </row>
    <row r="44" spans="1:15" ht="18" customHeight="1">
      <c r="A44" s="142"/>
      <c r="B44" s="101"/>
      <c r="C44" s="101"/>
      <c r="D44" s="101"/>
      <c r="E44" s="101"/>
      <c r="F44" s="101"/>
      <c r="G44" s="101"/>
      <c r="H44" s="133"/>
      <c r="I44" s="101"/>
      <c r="J44" s="101"/>
      <c r="K44" s="101"/>
      <c r="L44" s="101"/>
      <c r="M44" s="133"/>
      <c r="N44" s="165"/>
      <c r="O44" s="101"/>
    </row>
    <row r="45" spans="1:15" ht="13.4" customHeight="1">
      <c r="A45" s="101"/>
      <c r="B45" s="166"/>
      <c r="C45" s="166"/>
      <c r="D45" s="101"/>
      <c r="E45" s="101"/>
      <c r="F45" s="101"/>
      <c r="G45" s="101"/>
      <c r="H45" s="101"/>
      <c r="I45" s="101"/>
      <c r="J45" s="101"/>
      <c r="K45" s="101"/>
      <c r="L45" s="101"/>
      <c r="M45" s="167"/>
      <c r="N45" s="165"/>
      <c r="O45" s="101"/>
    </row>
    <row r="46" spans="1:15" ht="13.4" customHeight="1">
      <c r="A46" s="101"/>
      <c r="B46" s="166"/>
      <c r="C46" s="166"/>
      <c r="D46" s="101"/>
      <c r="E46" s="101"/>
      <c r="F46" s="101"/>
      <c r="G46" s="101"/>
      <c r="H46" s="101"/>
      <c r="I46" s="101"/>
      <c r="J46" s="101"/>
      <c r="K46" s="101"/>
      <c r="L46" s="101"/>
      <c r="M46" s="167"/>
      <c r="N46" s="165"/>
      <c r="O46" s="101"/>
    </row>
    <row r="47" spans="1:15" ht="13.4" customHeight="1">
      <c r="A47" s="101"/>
      <c r="B47" s="101"/>
      <c r="C47" s="101"/>
      <c r="D47" s="101"/>
      <c r="E47" s="101"/>
      <c r="F47" s="101"/>
      <c r="G47" s="101"/>
      <c r="H47" s="120"/>
      <c r="I47" s="120"/>
      <c r="J47" s="120"/>
      <c r="K47" s="120"/>
      <c r="L47" s="120"/>
      <c r="M47" s="168"/>
      <c r="N47" s="169"/>
      <c r="O47" s="120"/>
    </row>
    <row r="48" spans="1:15" ht="13.4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67"/>
      <c r="N48" s="165"/>
      <c r="O48" s="101"/>
    </row>
    <row r="49" spans="1:15" ht="13.4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67"/>
      <c r="N49" s="165"/>
      <c r="O49" s="101"/>
    </row>
    <row r="50" spans="1:15" ht="13.4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67"/>
      <c r="N50" s="165"/>
      <c r="O50" s="101"/>
    </row>
    <row r="51" spans="1: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67"/>
      <c r="N51" s="165"/>
      <c r="O51" s="101"/>
    </row>
    <row r="52" spans="1: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67"/>
      <c r="N52" s="170"/>
      <c r="O52" s="101"/>
    </row>
    <row r="53" spans="1: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67"/>
      <c r="N53" s="170"/>
      <c r="O53" s="101"/>
    </row>
    <row r="54" spans="1: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67"/>
      <c r="N54" s="170"/>
      <c r="O54" s="101"/>
    </row>
    <row r="55" spans="1: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67"/>
      <c r="N55" s="170"/>
      <c r="O55" s="101"/>
    </row>
    <row r="56" spans="1: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67"/>
      <c r="N56" s="170"/>
      <c r="O56" s="101"/>
    </row>
    <row r="57" spans="1:1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67"/>
      <c r="N57" s="170"/>
      <c r="O57" s="101"/>
    </row>
    <row r="58" spans="1:1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67"/>
      <c r="N58" s="170"/>
      <c r="O58" s="101"/>
    </row>
    <row r="59" spans="1:1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67"/>
      <c r="N59" s="170"/>
      <c r="O59" s="101"/>
    </row>
    <row r="60" spans="1:1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67"/>
      <c r="N60" s="170"/>
      <c r="O60" s="101"/>
    </row>
    <row r="61" spans="1:1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67"/>
      <c r="N61" s="170"/>
      <c r="O61" s="101"/>
    </row>
    <row r="62" spans="1:1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67"/>
      <c r="N62" s="170"/>
      <c r="O62" s="101"/>
    </row>
    <row r="63" spans="1:1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67"/>
      <c r="N63" s="170"/>
      <c r="O63" s="101"/>
    </row>
    <row r="64" spans="1:1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67"/>
      <c r="N64" s="170"/>
      <c r="O64" s="101"/>
    </row>
    <row r="65" spans="1:1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67"/>
      <c r="N65" s="170"/>
      <c r="O65" s="101"/>
    </row>
    <row r="66" spans="1:1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67"/>
      <c r="N66" s="170"/>
      <c r="O66" s="101"/>
    </row>
    <row r="67" spans="1:1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67"/>
      <c r="N67" s="170"/>
      <c r="O67" s="101"/>
    </row>
    <row r="68" spans="1:1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67"/>
      <c r="N68" s="170"/>
      <c r="O68" s="101"/>
    </row>
    <row r="69" spans="1:1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67"/>
      <c r="N69" s="170"/>
      <c r="O69" s="101"/>
    </row>
    <row r="70" spans="1:1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67"/>
      <c r="N70" s="170"/>
      <c r="O70" s="101"/>
    </row>
    <row r="71" spans="1:1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67"/>
      <c r="N71" s="170"/>
      <c r="O71" s="101"/>
    </row>
    <row r="72" spans="1:1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67"/>
      <c r="N72" s="170"/>
      <c r="O72" s="101"/>
    </row>
    <row r="73" spans="1:15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67"/>
      <c r="N73" s="170"/>
      <c r="O73" s="101"/>
    </row>
    <row r="74" spans="1:1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67"/>
      <c r="N74" s="170"/>
      <c r="O74" s="101"/>
    </row>
    <row r="75" spans="1:15">
      <c r="M75" s="171"/>
      <c r="N75" s="172"/>
    </row>
    <row r="76" spans="1:15">
      <c r="M76" s="171"/>
      <c r="N76" s="172"/>
    </row>
    <row r="77" spans="1:15">
      <c r="N77" s="172"/>
    </row>
    <row r="78" spans="1:15">
      <c r="N78" s="172"/>
    </row>
    <row r="79" spans="1:15">
      <c r="N79" s="172"/>
    </row>
    <row r="80" spans="1:15">
      <c r="N80" s="172"/>
    </row>
    <row r="81" spans="14:14">
      <c r="N81" s="172"/>
    </row>
    <row r="82" spans="14:14">
      <c r="N82" s="172"/>
    </row>
    <row r="83" spans="14:14">
      <c r="N83" s="172"/>
    </row>
    <row r="84" spans="14:14">
      <c r="N84" s="172"/>
    </row>
    <row r="85" spans="14:14">
      <c r="N85" s="172"/>
    </row>
    <row r="86" spans="14:14">
      <c r="N86" s="172"/>
    </row>
    <row r="87" spans="14:14">
      <c r="N87" s="172"/>
    </row>
    <row r="88" spans="14:14">
      <c r="N88" s="172"/>
    </row>
    <row r="89" spans="14:14">
      <c r="N89" s="172"/>
    </row>
    <row r="90" spans="14:14">
      <c r="N90" s="172"/>
    </row>
    <row r="91" spans="14:14">
      <c r="N91" s="172"/>
    </row>
    <row r="92" spans="14:14">
      <c r="N92" s="172"/>
    </row>
    <row r="93" spans="14:14">
      <c r="N93" s="172"/>
    </row>
    <row r="94" spans="14:14">
      <c r="N94" s="172"/>
    </row>
  </sheetData>
  <mergeCells count="7">
    <mergeCell ref="A37:D37"/>
    <mergeCell ref="A1:O1"/>
    <mergeCell ref="F11:M11"/>
    <mergeCell ref="F13:M13"/>
    <mergeCell ref="F15:M15"/>
    <mergeCell ref="F17:M17"/>
    <mergeCell ref="F33:H33"/>
  </mergeCells>
  <phoneticPr fontId="14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74"/>
  <sheetViews>
    <sheetView tabSelected="1" view="pageBreakPreview" zoomScale="70" zoomScaleNormal="90" zoomScaleSheetLayoutView="70" workbookViewId="0">
      <selection activeCell="E12" sqref="E12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36" t="s">
        <v>98</v>
      </c>
      <c r="B2" s="336"/>
      <c r="C2" s="336"/>
      <c r="D2" s="336"/>
      <c r="E2" s="336"/>
      <c r="F2" s="336"/>
      <c r="G2" s="336"/>
      <c r="H2" s="336"/>
      <c r="I2" s="34"/>
      <c r="L2" s="35"/>
      <c r="M2" s="35"/>
      <c r="N2" s="35"/>
    </row>
    <row r="3" spans="1:14" ht="15.5" thickBot="1">
      <c r="A3" s="36"/>
      <c r="B3" s="37"/>
      <c r="C3" s="36"/>
      <c r="D3" s="36"/>
      <c r="E3" s="36"/>
      <c r="F3" s="36"/>
      <c r="G3" s="36"/>
      <c r="H3" s="36"/>
      <c r="I3" s="34"/>
      <c r="L3" s="35"/>
      <c r="M3" s="35"/>
      <c r="N3" s="35"/>
    </row>
    <row r="4" spans="1:14" ht="21.75" customHeight="1" thickBot="1">
      <c r="A4" s="38" t="s">
        <v>36</v>
      </c>
      <c r="B4" s="24" t="s">
        <v>96</v>
      </c>
      <c r="C4" s="38" t="s">
        <v>86</v>
      </c>
      <c r="D4" s="23" t="s">
        <v>87</v>
      </c>
      <c r="E4" s="38" t="s">
        <v>88</v>
      </c>
      <c r="F4" s="337" t="s">
        <v>89</v>
      </c>
      <c r="G4" s="338"/>
      <c r="H4" s="39" t="s">
        <v>90</v>
      </c>
      <c r="I4" s="40" t="s">
        <v>91</v>
      </c>
      <c r="J4" s="41" t="s">
        <v>92</v>
      </c>
      <c r="K4" s="42" t="s">
        <v>93</v>
      </c>
      <c r="L4" s="43" t="s">
        <v>106</v>
      </c>
      <c r="M4" s="43" t="s">
        <v>94</v>
      </c>
      <c r="N4" s="44" t="s">
        <v>95</v>
      </c>
    </row>
    <row r="5" spans="1:14">
      <c r="A5" s="45"/>
      <c r="B5" s="46"/>
      <c r="C5" s="47"/>
      <c r="D5" s="48"/>
      <c r="E5" s="47"/>
      <c r="F5" s="47"/>
      <c r="G5" s="49"/>
      <c r="H5" s="49"/>
      <c r="I5" s="50"/>
      <c r="J5" s="51"/>
      <c r="K5" s="51"/>
      <c r="L5" s="51"/>
      <c r="M5" s="51"/>
      <c r="N5" s="52"/>
    </row>
    <row r="6" spans="1:14">
      <c r="A6" s="53"/>
      <c r="B6" s="54" t="s">
        <v>97</v>
      </c>
      <c r="C6" s="47"/>
      <c r="D6" s="55" t="str">
        <f>[3]invoice!B24</f>
        <v>FABRIC &amp; PARTS FOR WEAR &amp; SAMPLE CLOTHES</v>
      </c>
      <c r="E6" s="49"/>
      <c r="F6" s="49"/>
      <c r="G6" s="56" t="str">
        <f>'[1]shipper master'!C48</f>
        <v>F.O.B. TOKYO IN YEN</v>
      </c>
      <c r="H6" s="49"/>
      <c r="I6" s="57"/>
      <c r="J6" s="58"/>
      <c r="K6" s="58"/>
      <c r="L6" s="58"/>
      <c r="M6" s="58"/>
      <c r="N6" s="59"/>
    </row>
    <row r="7" spans="1:14" ht="15.5" thickBot="1">
      <c r="A7" s="60"/>
      <c r="B7" s="61"/>
      <c r="C7" s="62"/>
      <c r="D7" s="63" t="s">
        <v>107</v>
      </c>
      <c r="E7" s="62"/>
      <c r="F7" s="62"/>
      <c r="G7" s="64"/>
      <c r="H7" s="20"/>
      <c r="I7" s="65"/>
      <c r="J7" s="66"/>
      <c r="K7" s="66"/>
      <c r="L7" s="66"/>
      <c r="M7" s="67"/>
      <c r="N7" s="68"/>
    </row>
    <row r="8" spans="1:14" ht="15.65" customHeight="1">
      <c r="A8" s="333" t="s">
        <v>150</v>
      </c>
      <c r="B8" s="248"/>
      <c r="C8" s="29"/>
      <c r="D8" s="181" t="s">
        <v>165</v>
      </c>
      <c r="E8" s="69"/>
      <c r="F8" s="69"/>
      <c r="G8" s="70"/>
      <c r="H8" s="71"/>
      <c r="I8" s="202"/>
      <c r="J8" s="207"/>
      <c r="K8" s="71"/>
      <c r="L8" s="71"/>
      <c r="M8" s="71"/>
      <c r="N8" s="330">
        <v>2</v>
      </c>
    </row>
    <row r="9" spans="1:14">
      <c r="A9" s="334"/>
      <c r="B9" s="249" t="s">
        <v>154</v>
      </c>
      <c r="C9" s="72" t="s">
        <v>162</v>
      </c>
      <c r="D9" s="30" t="s">
        <v>147</v>
      </c>
      <c r="E9" s="194">
        <v>46</v>
      </c>
      <c r="F9" s="74" t="s">
        <v>144</v>
      </c>
      <c r="G9" s="190">
        <v>462</v>
      </c>
      <c r="H9" s="191">
        <f>E9*G9</f>
        <v>21252</v>
      </c>
      <c r="I9" s="195"/>
      <c r="J9" s="208"/>
      <c r="K9" s="49"/>
      <c r="L9" s="75"/>
      <c r="M9" s="49"/>
      <c r="N9" s="331"/>
    </row>
    <row r="10" spans="1:14">
      <c r="A10" s="334"/>
      <c r="B10" s="249" t="s">
        <v>155</v>
      </c>
      <c r="C10" s="72" t="s">
        <v>163</v>
      </c>
      <c r="D10" s="30" t="s">
        <v>151</v>
      </c>
      <c r="E10" s="73">
        <v>36</v>
      </c>
      <c r="F10" s="74" t="s">
        <v>144</v>
      </c>
      <c r="G10" s="190">
        <v>462</v>
      </c>
      <c r="H10" s="191">
        <f>E10*G10</f>
        <v>16632</v>
      </c>
      <c r="I10" s="195" t="s">
        <v>166</v>
      </c>
      <c r="J10" s="208" t="s">
        <v>167</v>
      </c>
      <c r="K10" s="49"/>
      <c r="L10" s="49"/>
      <c r="M10" s="49"/>
      <c r="N10" s="331"/>
    </row>
    <row r="11" spans="1:14">
      <c r="A11" s="334"/>
      <c r="B11" s="250" t="s">
        <v>147</v>
      </c>
      <c r="C11" s="72" t="s">
        <v>164</v>
      </c>
      <c r="D11" s="31" t="s">
        <v>159</v>
      </c>
      <c r="E11" s="73">
        <v>37</v>
      </c>
      <c r="F11" s="74" t="s">
        <v>144</v>
      </c>
      <c r="G11" s="190">
        <v>462</v>
      </c>
      <c r="H11" s="191">
        <f>E11*G11</f>
        <v>17094</v>
      </c>
      <c r="I11" s="195"/>
      <c r="J11" s="208"/>
      <c r="K11" s="49"/>
      <c r="L11" s="49"/>
      <c r="M11" s="49"/>
      <c r="N11" s="331"/>
    </row>
    <row r="12" spans="1:14" ht="17" thickBot="1">
      <c r="A12" s="335"/>
      <c r="B12" s="251" t="s">
        <v>156</v>
      </c>
      <c r="C12" s="252"/>
      <c r="D12" s="246"/>
      <c r="E12" s="253"/>
      <c r="F12" s="185"/>
      <c r="G12" s="254"/>
      <c r="H12" s="255"/>
      <c r="I12" s="203"/>
      <c r="J12" s="209"/>
      <c r="K12" s="19"/>
      <c r="L12" s="19"/>
      <c r="M12" s="19"/>
      <c r="N12" s="332"/>
    </row>
    <row r="13" spans="1:14" ht="15.5" thickBot="1">
      <c r="A13" s="206"/>
      <c r="B13" s="192"/>
      <c r="C13" s="189"/>
      <c r="D13" s="193"/>
      <c r="E13" s="221"/>
      <c r="F13" s="204"/>
      <c r="G13" s="80"/>
      <c r="H13" s="81"/>
      <c r="I13" s="195"/>
      <c r="J13" s="208"/>
      <c r="K13" s="16"/>
      <c r="L13" s="16"/>
      <c r="M13" s="16"/>
      <c r="N13" s="196"/>
    </row>
    <row r="14" spans="1:14" ht="15" customHeight="1">
      <c r="A14" s="339" t="s">
        <v>172</v>
      </c>
      <c r="B14" s="29"/>
      <c r="C14" s="29"/>
      <c r="D14" s="181" t="s">
        <v>165</v>
      </c>
      <c r="E14" s="69"/>
      <c r="F14" s="69"/>
      <c r="G14" s="70"/>
      <c r="H14" s="71"/>
      <c r="I14" s="202"/>
      <c r="J14" s="207"/>
      <c r="K14" s="71"/>
      <c r="L14" s="71"/>
      <c r="M14" s="71"/>
      <c r="N14" s="330">
        <v>1</v>
      </c>
    </row>
    <row r="15" spans="1:14">
      <c r="A15" s="340"/>
      <c r="B15" s="192" t="s">
        <v>169</v>
      </c>
      <c r="C15" s="189"/>
      <c r="D15" s="261" t="s">
        <v>168</v>
      </c>
      <c r="E15" s="194">
        <v>120</v>
      </c>
      <c r="F15" s="74" t="s">
        <v>144</v>
      </c>
      <c r="G15" s="190">
        <v>50</v>
      </c>
      <c r="H15" s="191">
        <f>E15*G15</f>
        <v>6000</v>
      </c>
      <c r="I15" s="195"/>
      <c r="J15" s="208"/>
      <c r="K15" s="49"/>
      <c r="L15" s="75"/>
      <c r="M15" s="49"/>
      <c r="N15" s="331"/>
    </row>
    <row r="16" spans="1:14">
      <c r="A16" s="340"/>
      <c r="B16" s="260" t="s">
        <v>170</v>
      </c>
      <c r="C16" s="72"/>
      <c r="D16" s="262" t="s">
        <v>170</v>
      </c>
      <c r="E16" s="73">
        <v>240</v>
      </c>
      <c r="F16" s="74" t="s">
        <v>144</v>
      </c>
      <c r="G16" s="190">
        <v>50</v>
      </c>
      <c r="H16" s="191">
        <f t="shared" ref="H16:H17" si="0">E16*G16</f>
        <v>12000</v>
      </c>
      <c r="I16" s="195" t="s">
        <v>174</v>
      </c>
      <c r="J16" s="208" t="s">
        <v>157</v>
      </c>
      <c r="K16" s="49"/>
      <c r="L16" s="49"/>
      <c r="M16" s="49"/>
      <c r="N16" s="331"/>
    </row>
    <row r="17" spans="1:14">
      <c r="A17" s="340"/>
      <c r="B17" s="186" t="s">
        <v>171</v>
      </c>
      <c r="C17" s="72"/>
      <c r="D17" s="31" t="s">
        <v>173</v>
      </c>
      <c r="E17" s="73">
        <v>2</v>
      </c>
      <c r="F17" s="74" t="s">
        <v>144</v>
      </c>
      <c r="G17" s="190">
        <v>2000</v>
      </c>
      <c r="H17" s="191">
        <f t="shared" si="0"/>
        <v>4000</v>
      </c>
      <c r="I17" s="195"/>
      <c r="J17" s="208"/>
      <c r="K17" s="49"/>
      <c r="L17" s="49"/>
      <c r="M17" s="49"/>
      <c r="N17" s="331"/>
    </row>
    <row r="18" spans="1:14" ht="15.5" thickBot="1">
      <c r="A18" s="341"/>
      <c r="B18" s="33"/>
      <c r="C18" s="76"/>
      <c r="D18" s="32"/>
      <c r="E18" s="77"/>
      <c r="F18" s="77"/>
      <c r="G18" s="78"/>
      <c r="H18" s="79"/>
      <c r="I18" s="203"/>
      <c r="J18" s="209"/>
      <c r="K18" s="19"/>
      <c r="L18" s="19"/>
      <c r="M18" s="19"/>
      <c r="N18" s="332"/>
    </row>
    <row r="19" spans="1:14" ht="15.5" thickBot="1">
      <c r="A19" s="206"/>
      <c r="B19" s="244"/>
      <c r="C19" s="240"/>
      <c r="D19" s="245"/>
      <c r="E19" s="241"/>
      <c r="F19" s="242"/>
      <c r="G19" s="235"/>
      <c r="H19" s="236"/>
      <c r="I19" s="237"/>
      <c r="J19" s="239"/>
      <c r="K19" s="238"/>
      <c r="L19" s="238"/>
      <c r="M19" s="238"/>
      <c r="N19" s="243"/>
    </row>
    <row r="20" spans="1:14">
      <c r="A20" s="219"/>
      <c r="B20" s="210"/>
      <c r="C20" s="228"/>
      <c r="D20" s="211"/>
      <c r="E20" s="220">
        <f>SUMIF($F$8:$F$19,"M.",$E$8:$E$19)</f>
        <v>0</v>
      </c>
      <c r="F20" s="182" t="s">
        <v>145</v>
      </c>
      <c r="G20" s="216"/>
      <c r="H20" s="225">
        <f>SUMIF($F$8:$F$19,"M.",$H$8:$H$19)</f>
        <v>0</v>
      </c>
      <c r="I20" s="84"/>
      <c r="J20" s="85"/>
      <c r="K20" s="86"/>
      <c r="L20" s="86"/>
      <c r="M20" s="86"/>
      <c r="N20" s="87"/>
    </row>
    <row r="21" spans="1:14">
      <c r="A21" s="49"/>
      <c r="B21" s="21"/>
      <c r="C21" s="49"/>
      <c r="D21" s="88"/>
      <c r="E21" s="83">
        <f>SUMIF($F$8:$F$19,"PCS.",$E$8:$E$19)</f>
        <v>481</v>
      </c>
      <c r="F21" s="82" t="s">
        <v>85</v>
      </c>
      <c r="G21" s="49"/>
      <c r="H21" s="226">
        <f>SUMIF($F$8:$F$19,"PCS.",$H$8:$H$19)</f>
        <v>76978</v>
      </c>
      <c r="I21" s="49"/>
      <c r="J21" s="89"/>
      <c r="K21" s="49"/>
      <c r="L21" s="49"/>
      <c r="M21" s="49"/>
      <c r="N21" s="90"/>
    </row>
    <row r="22" spans="1:14" ht="14" customHeight="1" thickBot="1">
      <c r="A22" s="229"/>
      <c r="B22" s="230" t="s">
        <v>143</v>
      </c>
      <c r="C22" s="231" t="s">
        <v>160</v>
      </c>
      <c r="D22" s="232"/>
      <c r="E22" s="230"/>
      <c r="F22" s="233"/>
      <c r="G22" s="19" t="s">
        <v>148</v>
      </c>
      <c r="H22" s="234">
        <f>SUM(H8:H19)</f>
        <v>76978</v>
      </c>
      <c r="I22" s="203"/>
      <c r="J22" s="212"/>
      <c r="K22" s="213"/>
      <c r="L22" s="214"/>
      <c r="M22" s="201"/>
      <c r="N22" s="215"/>
    </row>
    <row r="26" spans="1:14">
      <c r="C26" s="3"/>
    </row>
    <row r="27" spans="1:14">
      <c r="C27" s="3"/>
    </row>
    <row r="74" spans="1:1">
      <c r="A74" s="7" t="s">
        <v>99</v>
      </c>
    </row>
  </sheetData>
  <mergeCells count="6">
    <mergeCell ref="N14:N18"/>
    <mergeCell ref="A8:A12"/>
    <mergeCell ref="N8:N12"/>
    <mergeCell ref="A2:H2"/>
    <mergeCell ref="F4:G4"/>
    <mergeCell ref="A14:A18"/>
  </mergeCells>
  <phoneticPr fontId="14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7A39-9355-4337-93DD-753B63D6AAA2}">
  <sheetPr>
    <tabColor rgb="FFFF0000"/>
    <pageSetUpPr fitToPage="1"/>
  </sheetPr>
  <dimension ref="A1:I18"/>
  <sheetViews>
    <sheetView view="pageBreakPreview" zoomScale="50" zoomScaleNormal="90" zoomScaleSheetLayoutView="50" workbookViewId="0">
      <selection activeCell="K6" sqref="K6"/>
    </sheetView>
  </sheetViews>
  <sheetFormatPr defaultRowHeight="31.5"/>
  <cols>
    <col min="1" max="1" width="14.453125" customWidth="1"/>
    <col min="2" max="2" width="40.90625" style="263" customWidth="1"/>
    <col min="3" max="3" width="41.36328125" style="264" customWidth="1"/>
    <col min="4" max="4" width="86.08984375" style="264" customWidth="1"/>
    <col min="5" max="5" width="42.08984375" style="264" customWidth="1"/>
    <col min="6" max="6" width="38.1796875" style="266" customWidth="1"/>
    <col min="7" max="7" width="67.26953125" style="266" customWidth="1"/>
    <col min="8" max="8" width="42.1796875" style="267" customWidth="1"/>
    <col min="9" max="9" width="34.90625" style="268" customWidth="1"/>
    <col min="10" max="16" width="34.90625" customWidth="1"/>
  </cols>
  <sheetData>
    <row r="1" spans="1:9">
      <c r="D1" s="265" t="s">
        <v>175</v>
      </c>
    </row>
    <row r="2" spans="1:9" s="273" customFormat="1" ht="88.4" customHeight="1" thickBot="1">
      <c r="A2" s="269"/>
      <c r="B2" s="270" t="s">
        <v>176</v>
      </c>
      <c r="C2" s="271" t="s">
        <v>177</v>
      </c>
      <c r="D2" s="271"/>
      <c r="E2" s="271" t="s">
        <v>178</v>
      </c>
      <c r="F2" s="272" t="s">
        <v>179</v>
      </c>
      <c r="G2" s="272" t="s">
        <v>180</v>
      </c>
      <c r="H2" s="271" t="s">
        <v>181</v>
      </c>
      <c r="I2" s="272" t="s">
        <v>182</v>
      </c>
    </row>
    <row r="3" spans="1:9" ht="194.9" customHeight="1" thickBot="1">
      <c r="A3" s="274"/>
      <c r="B3" s="275" t="s">
        <v>171</v>
      </c>
      <c r="C3" s="276" t="s">
        <v>184</v>
      </c>
      <c r="D3" s="277" t="s">
        <v>173</v>
      </c>
      <c r="E3" s="278" t="s">
        <v>183</v>
      </c>
      <c r="F3" s="279" t="s">
        <v>185</v>
      </c>
      <c r="G3" s="279"/>
      <c r="H3" s="279" t="s">
        <v>151</v>
      </c>
      <c r="I3" s="283">
        <v>3</v>
      </c>
    </row>
    <row r="4" spans="1:9" ht="194.9" customHeight="1" thickBot="1">
      <c r="A4" s="274"/>
      <c r="B4" s="275"/>
      <c r="C4" s="276"/>
      <c r="D4" s="277"/>
      <c r="E4" s="278"/>
      <c r="F4" s="279"/>
      <c r="G4" s="279"/>
      <c r="H4" s="279"/>
      <c r="I4" s="281"/>
    </row>
    <row r="5" spans="1:9" ht="194.9" customHeight="1" thickBot="1">
      <c r="A5" s="274"/>
      <c r="B5" s="275"/>
      <c r="C5" s="276"/>
      <c r="D5" s="277"/>
      <c r="E5" s="278"/>
      <c r="F5" s="279"/>
      <c r="G5" s="279"/>
      <c r="H5" s="279"/>
      <c r="I5" s="281"/>
    </row>
    <row r="6" spans="1:9" ht="194.9" customHeight="1" thickBot="1">
      <c r="A6" s="274"/>
      <c r="B6" s="275"/>
      <c r="C6" s="276"/>
      <c r="D6" s="277"/>
      <c r="E6" s="278"/>
      <c r="F6" s="279"/>
      <c r="G6" s="279"/>
      <c r="H6" s="279"/>
      <c r="I6" s="281"/>
    </row>
    <row r="7" spans="1:9" ht="194.9" customHeight="1" thickBot="1">
      <c r="A7" s="274"/>
      <c r="B7" s="275"/>
      <c r="C7" s="276"/>
      <c r="D7" s="277"/>
      <c r="E7" s="278"/>
      <c r="F7" s="279"/>
      <c r="G7" s="279"/>
      <c r="H7" s="279"/>
      <c r="I7" s="281"/>
    </row>
    <row r="8" spans="1:9" ht="194.9" customHeight="1" thickBot="1">
      <c r="A8" s="274"/>
      <c r="B8" s="275"/>
      <c r="C8" s="276"/>
      <c r="D8" s="277"/>
      <c r="E8" s="278"/>
      <c r="F8" s="279"/>
      <c r="G8" s="279"/>
      <c r="H8" s="279"/>
      <c r="I8" s="281"/>
    </row>
    <row r="9" spans="1:9" ht="194.9" customHeight="1" thickBot="1">
      <c r="A9" s="274"/>
      <c r="B9" s="275"/>
      <c r="C9" s="276"/>
      <c r="D9" s="277"/>
      <c r="E9" s="278"/>
      <c r="F9" s="279"/>
      <c r="G9" s="279"/>
      <c r="H9" s="279"/>
      <c r="I9" s="281"/>
    </row>
    <row r="10" spans="1:9" ht="194.9" customHeight="1" thickBot="1">
      <c r="A10" s="274"/>
      <c r="B10" s="275"/>
      <c r="C10" s="276"/>
      <c r="D10" s="277"/>
      <c r="E10" s="278"/>
      <c r="F10" s="279"/>
      <c r="G10" s="279"/>
      <c r="H10" s="279"/>
      <c r="I10" s="281"/>
    </row>
    <row r="11" spans="1:9" ht="194.9" customHeight="1" thickBot="1">
      <c r="A11" s="274"/>
      <c r="B11" s="275"/>
      <c r="C11" s="276"/>
      <c r="D11" s="277"/>
      <c r="E11" s="278"/>
      <c r="F11" s="279"/>
      <c r="G11" s="279"/>
      <c r="H11" s="279"/>
      <c r="I11" s="281"/>
    </row>
    <row r="12" spans="1:9" ht="194.9" customHeight="1" thickBot="1">
      <c r="A12" s="274"/>
      <c r="B12" s="275"/>
      <c r="C12" s="276"/>
      <c r="D12" s="277"/>
      <c r="E12" s="278"/>
      <c r="F12" s="279"/>
      <c r="G12" s="279"/>
      <c r="H12" s="279"/>
      <c r="I12" s="281"/>
    </row>
    <row r="13" spans="1:9" ht="194.9" customHeight="1" thickBot="1">
      <c r="A13" s="274"/>
      <c r="B13" s="275"/>
      <c r="C13" s="276"/>
      <c r="D13" s="277"/>
      <c r="E13" s="278"/>
      <c r="F13" s="279"/>
      <c r="G13" s="279"/>
      <c r="H13" s="279"/>
      <c r="I13" s="281"/>
    </row>
    <row r="14" spans="1:9" ht="194.9" customHeight="1" thickBot="1">
      <c r="A14" s="274"/>
      <c r="B14" s="275"/>
      <c r="C14" s="276"/>
      <c r="D14" s="277"/>
      <c r="E14" s="278"/>
      <c r="F14" s="279"/>
      <c r="G14" s="279"/>
      <c r="H14" s="279"/>
      <c r="I14" s="282"/>
    </row>
    <row r="15" spans="1:9" ht="194.9" customHeight="1" thickBot="1">
      <c r="A15" s="274"/>
      <c r="B15" s="275"/>
      <c r="C15" s="276"/>
      <c r="D15" s="277"/>
      <c r="E15" s="278"/>
      <c r="F15" s="279"/>
      <c r="G15" s="279"/>
      <c r="H15" s="279"/>
      <c r="I15" s="280"/>
    </row>
    <row r="16" spans="1:9" ht="194.9" customHeight="1">
      <c r="A16" s="274"/>
      <c r="B16" s="275"/>
      <c r="C16" s="276"/>
      <c r="D16" s="277"/>
      <c r="E16" s="278"/>
      <c r="F16" s="279"/>
      <c r="G16" s="279"/>
      <c r="H16" s="279"/>
      <c r="I16" s="280"/>
    </row>
    <row r="17" ht="134.15" customHeight="1"/>
    <row r="18" ht="134.15" customHeight="1"/>
  </sheetData>
  <phoneticPr fontId="14"/>
  <pageMargins left="0.51181102362204722" right="0" top="0.74803149606299213" bottom="0.74803149606299213" header="0.31496062992125984" footer="0.31496062992125984"/>
  <pageSetup paperSize="9" scale="23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82"/>
  <sheetViews>
    <sheetView view="pageBreakPreview" zoomScale="80" zoomScaleNormal="70" zoomScaleSheetLayoutView="80" workbookViewId="0">
      <selection activeCell="D7" sqref="D7"/>
    </sheetView>
  </sheetViews>
  <sheetFormatPr defaultRowHeight="15"/>
  <cols>
    <col min="1" max="1" width="7.90625" customWidth="1"/>
    <col min="2" max="2" width="38.08984375" style="173" customWidth="1"/>
    <col min="3" max="3" width="81.6328125" customWidth="1"/>
    <col min="4" max="4" width="23.6328125" customWidth="1"/>
  </cols>
  <sheetData>
    <row r="1" spans="1:4" ht="17.5" customHeight="1">
      <c r="A1" s="142"/>
    </row>
    <row r="2" spans="1:4" ht="15" customHeight="1">
      <c r="A2" s="344" t="s">
        <v>140</v>
      </c>
      <c r="B2" s="344"/>
      <c r="C2" s="174"/>
    </row>
    <row r="3" spans="1:4" ht="15.65" customHeight="1" thickBot="1">
      <c r="A3" s="175"/>
      <c r="B3" s="176"/>
      <c r="C3" s="175"/>
    </row>
    <row r="4" spans="1:4" ht="21.75" customHeight="1" thickBot="1">
      <c r="A4" s="177" t="s">
        <v>36</v>
      </c>
      <c r="B4" s="24" t="s">
        <v>96</v>
      </c>
      <c r="C4" s="41" t="s">
        <v>87</v>
      </c>
      <c r="D4" s="178" t="s">
        <v>141</v>
      </c>
    </row>
    <row r="5" spans="1:4" ht="16" customHeight="1">
      <c r="A5" s="333" t="s">
        <v>150</v>
      </c>
      <c r="B5" s="248"/>
      <c r="C5" s="181" t="s">
        <v>165</v>
      </c>
      <c r="D5" s="179"/>
    </row>
    <row r="6" spans="1:4" ht="16" customHeight="1">
      <c r="A6" s="334"/>
      <c r="B6" s="249" t="s">
        <v>154</v>
      </c>
      <c r="C6" s="30" t="s">
        <v>147</v>
      </c>
      <c r="D6" s="222" t="s">
        <v>190</v>
      </c>
    </row>
    <row r="7" spans="1:4" ht="16" customHeight="1">
      <c r="A7" s="334"/>
      <c r="B7" s="249" t="s">
        <v>155</v>
      </c>
      <c r="C7" s="30" t="s">
        <v>151</v>
      </c>
      <c r="D7" s="180" t="s">
        <v>65</v>
      </c>
    </row>
    <row r="8" spans="1:4" ht="16" customHeight="1">
      <c r="A8" s="334"/>
      <c r="B8" s="250" t="s">
        <v>147</v>
      </c>
      <c r="C8" s="31" t="s">
        <v>159</v>
      </c>
      <c r="D8" s="222"/>
    </row>
    <row r="9" spans="1:4" ht="16" customHeight="1" thickBot="1">
      <c r="A9" s="335"/>
      <c r="B9" s="251" t="s">
        <v>156</v>
      </c>
      <c r="C9" s="246"/>
      <c r="D9" s="223"/>
    </row>
    <row r="10" spans="1:4" ht="15" customHeight="1" thickBot="1">
      <c r="A10" s="205"/>
      <c r="B10" s="192"/>
      <c r="C10" s="193"/>
      <c r="D10" s="217"/>
    </row>
    <row r="11" spans="1:4" ht="21.75" customHeight="1" thickBot="1">
      <c r="A11" s="177" t="s">
        <v>36</v>
      </c>
      <c r="B11" s="24" t="s">
        <v>96</v>
      </c>
      <c r="C11" s="224" t="s">
        <v>87</v>
      </c>
      <c r="D11" s="178" t="s">
        <v>141</v>
      </c>
    </row>
    <row r="12" spans="1:4" ht="17" customHeight="1">
      <c r="A12" s="339" t="s">
        <v>172</v>
      </c>
      <c r="B12" s="29"/>
      <c r="C12" s="181" t="s">
        <v>165</v>
      </c>
      <c r="D12" s="187"/>
    </row>
    <row r="13" spans="1:4" ht="16.399999999999999" customHeight="1">
      <c r="A13" s="340"/>
      <c r="B13" s="192" t="s">
        <v>169</v>
      </c>
      <c r="C13" s="261" t="s">
        <v>168</v>
      </c>
      <c r="D13" s="180" t="s">
        <v>152</v>
      </c>
    </row>
    <row r="14" spans="1:4" ht="15" customHeight="1">
      <c r="A14" s="340"/>
      <c r="B14" s="260" t="s">
        <v>170</v>
      </c>
      <c r="C14" s="262" t="s">
        <v>170</v>
      </c>
      <c r="D14" s="180" t="s">
        <v>65</v>
      </c>
    </row>
    <row r="15" spans="1:4" ht="15" customHeight="1">
      <c r="A15" s="340"/>
      <c r="B15" s="186" t="s">
        <v>171</v>
      </c>
      <c r="C15" s="31" t="s">
        <v>173</v>
      </c>
      <c r="D15" s="180"/>
    </row>
    <row r="16" spans="1:4" ht="15" customHeight="1" thickBot="1">
      <c r="A16" s="341"/>
      <c r="B16" s="33"/>
      <c r="C16" s="32"/>
      <c r="D16" s="218"/>
    </row>
    <row r="17" spans="1:4" ht="15" customHeight="1" thickBot="1">
      <c r="A17" s="206"/>
      <c r="B17" s="33"/>
      <c r="C17" s="246"/>
      <c r="D17" s="247"/>
    </row>
    <row r="18" spans="1:4" s="292" customFormat="1" ht="21.75" customHeight="1">
      <c r="A18" s="305"/>
      <c r="B18" s="306"/>
      <c r="C18" s="302"/>
      <c r="D18" s="307"/>
    </row>
    <row r="19" spans="1:4" s="292" customFormat="1" ht="16.5" customHeight="1">
      <c r="A19" s="342"/>
      <c r="B19" s="308"/>
      <c r="C19" s="294"/>
    </row>
    <row r="20" spans="1:4" s="292" customFormat="1" ht="16.399999999999999" customHeight="1">
      <c r="A20" s="342"/>
      <c r="B20" s="298"/>
      <c r="C20" s="25"/>
    </row>
    <row r="21" spans="1:4" s="292" customFormat="1" ht="15" customHeight="1">
      <c r="A21" s="342"/>
      <c r="B21" s="25"/>
      <c r="C21" s="309"/>
    </row>
    <row r="22" spans="1:4" s="292" customFormat="1" ht="15" customHeight="1">
      <c r="A22" s="342"/>
      <c r="B22" s="310"/>
      <c r="C22" s="311"/>
    </row>
    <row r="23" spans="1:4" s="292" customFormat="1" ht="15" customHeight="1">
      <c r="A23" s="342"/>
      <c r="B23" s="312"/>
      <c r="C23" s="311"/>
      <c r="D23" s="295"/>
    </row>
    <row r="24" spans="1:4" s="292" customFormat="1" ht="15" customHeight="1">
      <c r="A24" s="296"/>
      <c r="B24" s="312"/>
      <c r="C24" s="311"/>
      <c r="D24" s="296"/>
    </row>
    <row r="25" spans="1:4" s="292" customFormat="1" ht="21.75" customHeight="1">
      <c r="A25" s="313"/>
      <c r="B25" s="289"/>
      <c r="C25" s="290"/>
      <c r="D25" s="291"/>
    </row>
    <row r="26" spans="1:4" s="292" customFormat="1" ht="16.5" customHeight="1">
      <c r="A26" s="342"/>
      <c r="B26" s="308"/>
      <c r="C26" s="294"/>
    </row>
    <row r="27" spans="1:4" s="292" customFormat="1" ht="16.399999999999999" customHeight="1">
      <c r="A27" s="342"/>
      <c r="B27" s="298"/>
      <c r="C27" s="25"/>
    </row>
    <row r="28" spans="1:4" s="292" customFormat="1" ht="15" customHeight="1">
      <c r="A28" s="342"/>
      <c r="B28" s="25"/>
      <c r="C28" s="309"/>
    </row>
    <row r="29" spans="1:4" s="292" customFormat="1" ht="15" customHeight="1">
      <c r="A29" s="342"/>
      <c r="B29" s="310"/>
      <c r="C29" s="311"/>
    </row>
    <row r="30" spans="1:4" s="292" customFormat="1" ht="15" customHeight="1">
      <c r="A30" s="342"/>
      <c r="B30" s="312"/>
      <c r="C30" s="311"/>
      <c r="D30" s="295"/>
    </row>
    <row r="31" spans="1:4" s="292" customFormat="1" ht="15" customHeight="1">
      <c r="A31" s="296"/>
      <c r="B31" s="312"/>
      <c r="C31" s="311"/>
      <c r="D31" s="296"/>
    </row>
    <row r="32" spans="1:4" s="292" customFormat="1" ht="21.75" customHeight="1">
      <c r="A32" s="313"/>
      <c r="B32" s="289"/>
      <c r="C32" s="290"/>
      <c r="D32" s="291"/>
    </row>
    <row r="33" spans="1:4" s="292" customFormat="1" ht="16.5" customHeight="1">
      <c r="A33" s="342"/>
      <c r="B33" s="308"/>
      <c r="C33" s="294"/>
    </row>
    <row r="34" spans="1:4" s="292" customFormat="1" ht="16.399999999999999" customHeight="1">
      <c r="A34" s="342"/>
      <c r="B34" s="298"/>
      <c r="C34" s="25"/>
    </row>
    <row r="35" spans="1:4" s="292" customFormat="1" ht="15" customHeight="1">
      <c r="A35" s="342"/>
      <c r="B35" s="25"/>
      <c r="C35" s="314"/>
    </row>
    <row r="36" spans="1:4" s="292" customFormat="1" ht="15" customHeight="1">
      <c r="A36" s="342"/>
      <c r="B36" s="310"/>
      <c r="C36" s="314"/>
    </row>
    <row r="37" spans="1:4" s="292" customFormat="1" ht="15" customHeight="1">
      <c r="A37" s="342"/>
      <c r="B37" s="312"/>
      <c r="C37" s="311"/>
    </row>
    <row r="38" spans="1:4" s="292" customFormat="1" ht="21.75" customHeight="1">
      <c r="A38" s="342"/>
      <c r="B38" s="315"/>
      <c r="C38" s="311"/>
    </row>
    <row r="39" spans="1:4" s="292" customFormat="1" ht="16.5" customHeight="1">
      <c r="A39" s="342"/>
      <c r="B39" s="308"/>
      <c r="C39" s="294"/>
    </row>
    <row r="40" spans="1:4" s="292" customFormat="1" ht="16.399999999999999" customHeight="1">
      <c r="A40" s="342"/>
      <c r="B40" s="298"/>
      <c r="C40" s="25"/>
    </row>
    <row r="41" spans="1:4" s="292" customFormat="1" ht="15" customHeight="1">
      <c r="A41" s="342"/>
      <c r="B41" s="25"/>
      <c r="C41" s="314"/>
    </row>
    <row r="42" spans="1:4" s="292" customFormat="1" ht="15" customHeight="1">
      <c r="A42" s="342"/>
      <c r="B42" s="310"/>
      <c r="C42" s="314"/>
    </row>
    <row r="43" spans="1:4" s="292" customFormat="1" ht="15" customHeight="1">
      <c r="A43" s="342"/>
      <c r="B43" s="312"/>
      <c r="C43" s="311"/>
      <c r="D43" s="295"/>
    </row>
    <row r="44" spans="1:4" s="292" customFormat="1" ht="15" customHeight="1">
      <c r="A44" s="296"/>
      <c r="B44" s="298"/>
      <c r="C44" s="314"/>
      <c r="D44" s="295"/>
    </row>
    <row r="45" spans="1:4" s="292" customFormat="1" ht="21.75" customHeight="1">
      <c r="A45" s="313"/>
      <c r="B45" s="289"/>
      <c r="C45" s="290"/>
      <c r="D45" s="291"/>
    </row>
    <row r="46" spans="1:4" s="292" customFormat="1" ht="17" customHeight="1">
      <c r="A46" s="342"/>
      <c r="B46" s="308"/>
      <c r="C46" s="294"/>
      <c r="D46" s="291"/>
    </row>
    <row r="47" spans="1:4" s="292" customFormat="1" ht="16.399999999999999" customHeight="1">
      <c r="A47" s="342"/>
      <c r="B47" s="298"/>
      <c r="C47" s="314"/>
    </row>
    <row r="48" spans="1:4" s="292" customFormat="1" ht="15" customHeight="1">
      <c r="A48" s="342"/>
      <c r="B48" s="298"/>
      <c r="C48" s="314"/>
    </row>
    <row r="49" spans="1:4" s="292" customFormat="1" ht="15" customHeight="1">
      <c r="A49" s="342"/>
      <c r="B49" s="315"/>
      <c r="C49" s="311"/>
    </row>
    <row r="50" spans="1:4" s="292" customFormat="1" ht="15" customHeight="1">
      <c r="A50" s="342"/>
      <c r="B50" s="316"/>
      <c r="C50" s="311"/>
    </row>
    <row r="51" spans="1:4" s="292" customFormat="1" ht="15" customHeight="1">
      <c r="A51" s="296"/>
      <c r="B51" s="298"/>
      <c r="C51" s="314"/>
      <c r="D51" s="295"/>
    </row>
    <row r="52" spans="1:4" s="292" customFormat="1" ht="21.75" customHeight="1">
      <c r="A52" s="313"/>
      <c r="B52" s="289"/>
      <c r="C52" s="290"/>
      <c r="D52" s="291"/>
    </row>
    <row r="53" spans="1:4" s="292" customFormat="1" ht="22.5" customHeight="1">
      <c r="A53" s="342"/>
      <c r="B53" s="308"/>
      <c r="C53" s="317"/>
      <c r="D53" s="291"/>
    </row>
    <row r="54" spans="1:4" s="292" customFormat="1" ht="16.399999999999999" customHeight="1">
      <c r="A54" s="342"/>
      <c r="B54" s="298"/>
      <c r="C54" s="318"/>
    </row>
    <row r="55" spans="1:4" s="292" customFormat="1" ht="15" customHeight="1">
      <c r="A55" s="342"/>
      <c r="B55" s="25"/>
      <c r="C55" s="309"/>
    </row>
    <row r="56" spans="1:4" s="292" customFormat="1" ht="15" customHeight="1">
      <c r="A56" s="342"/>
      <c r="B56" s="310"/>
      <c r="C56" s="311"/>
    </row>
    <row r="57" spans="1:4" s="292" customFormat="1" ht="15" customHeight="1">
      <c r="A57" s="342"/>
      <c r="B57" s="312"/>
      <c r="C57" s="311"/>
    </row>
    <row r="58" spans="1:4" s="292" customFormat="1" ht="15" customHeight="1">
      <c r="A58" s="296"/>
      <c r="B58" s="312"/>
      <c r="C58" s="311"/>
      <c r="D58" s="296"/>
    </row>
    <row r="59" spans="1:4" s="292" customFormat="1" ht="21.75" customHeight="1">
      <c r="A59" s="313"/>
      <c r="B59" s="289"/>
      <c r="C59" s="290"/>
      <c r="D59" s="291"/>
    </row>
    <row r="60" spans="1:4" s="292" customFormat="1" ht="16.5" customHeight="1">
      <c r="A60" s="342"/>
      <c r="B60" s="308"/>
      <c r="C60" s="294"/>
    </row>
    <row r="61" spans="1:4" s="292" customFormat="1" ht="16.399999999999999" customHeight="1">
      <c r="A61" s="342"/>
      <c r="B61" s="298"/>
      <c r="C61" s="314"/>
    </row>
    <row r="62" spans="1:4" s="292" customFormat="1" ht="15" customHeight="1">
      <c r="A62" s="342"/>
      <c r="B62" s="25"/>
      <c r="C62" s="314"/>
    </row>
    <row r="63" spans="1:4" s="292" customFormat="1" ht="15" customHeight="1">
      <c r="A63" s="342"/>
      <c r="B63" s="310"/>
      <c r="C63" s="311"/>
    </row>
    <row r="64" spans="1:4" s="292" customFormat="1" ht="15" customHeight="1">
      <c r="A64" s="342"/>
      <c r="B64" s="312"/>
      <c r="C64" s="311"/>
    </row>
    <row r="65" spans="1:4" s="292" customFormat="1" ht="21.75" customHeight="1">
      <c r="A65" s="342"/>
      <c r="B65" s="315"/>
      <c r="C65" s="311"/>
    </row>
    <row r="66" spans="1:4" s="292" customFormat="1" ht="16.5" customHeight="1">
      <c r="A66" s="342"/>
      <c r="B66" s="308"/>
      <c r="C66" s="294"/>
    </row>
    <row r="67" spans="1:4" s="292" customFormat="1" ht="16.399999999999999" customHeight="1">
      <c r="A67" s="342"/>
      <c r="B67" s="298"/>
      <c r="C67" s="25"/>
    </row>
    <row r="68" spans="1:4" s="292" customFormat="1" ht="16.399999999999999" customHeight="1">
      <c r="A68" s="342"/>
      <c r="B68" s="25"/>
      <c r="C68" s="309"/>
    </row>
    <row r="69" spans="1:4" s="292" customFormat="1" ht="16.399999999999999" customHeight="1">
      <c r="A69" s="342"/>
      <c r="B69" s="310"/>
      <c r="C69" s="314"/>
    </row>
    <row r="70" spans="1:4" s="292" customFormat="1" ht="16.399999999999999" customHeight="1">
      <c r="A70" s="342"/>
      <c r="B70" s="312"/>
      <c r="C70" s="311"/>
    </row>
    <row r="71" spans="1:4" s="292" customFormat="1" ht="15" customHeight="1">
      <c r="A71" s="342"/>
      <c r="B71" s="308"/>
      <c r="C71" s="294"/>
    </row>
    <row r="72" spans="1:4" s="292" customFormat="1" ht="24.5" customHeight="1">
      <c r="A72" s="342"/>
      <c r="B72" s="308"/>
      <c r="C72" s="317"/>
    </row>
    <row r="73" spans="1:4" s="292" customFormat="1" ht="15" customHeight="1">
      <c r="A73" s="342"/>
      <c r="B73" s="319"/>
      <c r="C73" s="320"/>
      <c r="D73" s="295"/>
    </row>
    <row r="74" spans="1:4" ht="15" customHeight="1">
      <c r="A74" s="206"/>
      <c r="B74" s="303"/>
      <c r="C74" s="245"/>
      <c r="D74" s="304"/>
    </row>
    <row r="75" spans="1:4" s="292" customFormat="1" ht="21.75" customHeight="1">
      <c r="A75" s="288"/>
      <c r="B75" s="289"/>
      <c r="C75" s="290"/>
      <c r="D75" s="291"/>
    </row>
    <row r="76" spans="1:4" s="292" customFormat="1" ht="17" customHeight="1">
      <c r="A76" s="343"/>
      <c r="B76" s="293"/>
      <c r="C76" s="294"/>
      <c r="D76" s="291"/>
    </row>
    <row r="77" spans="1:4" s="292" customFormat="1" ht="16.399999999999999" customHeight="1">
      <c r="A77" s="343"/>
      <c r="B77" s="284"/>
      <c r="C77" s="284"/>
    </row>
    <row r="78" spans="1:4" s="292" customFormat="1" ht="15" customHeight="1">
      <c r="A78" s="343"/>
      <c r="B78" s="284"/>
      <c r="C78" s="284"/>
    </row>
    <row r="79" spans="1:4" s="292" customFormat="1" ht="15" customHeight="1">
      <c r="A79" s="343"/>
      <c r="B79" s="284"/>
      <c r="C79" s="284"/>
    </row>
    <row r="80" spans="1:4" s="292" customFormat="1" ht="15" customHeight="1">
      <c r="A80" s="343"/>
      <c r="B80" s="284"/>
      <c r="C80" s="284"/>
    </row>
    <row r="81" spans="1:4" s="292" customFormat="1" ht="15" customHeight="1">
      <c r="A81" s="343"/>
      <c r="B81" s="284"/>
      <c r="C81" s="284"/>
      <c r="D81" s="295"/>
    </row>
    <row r="82" spans="1:4" s="292" customFormat="1" ht="21.75" customHeight="1">
      <c r="A82" s="343"/>
      <c r="B82" s="284"/>
      <c r="C82" s="284"/>
      <c r="D82" s="291"/>
    </row>
    <row r="83" spans="1:4" s="292" customFormat="1" ht="17" customHeight="1">
      <c r="A83" s="343"/>
      <c r="B83" s="284"/>
      <c r="C83" s="284"/>
      <c r="D83" s="291"/>
    </row>
    <row r="84" spans="1:4" s="292" customFormat="1" ht="16.399999999999999" customHeight="1">
      <c r="A84" s="343"/>
      <c r="B84" s="284"/>
      <c r="C84" s="284"/>
    </row>
    <row r="85" spans="1:4" s="292" customFormat="1" ht="15" customHeight="1">
      <c r="A85" s="343"/>
      <c r="B85" s="284"/>
      <c r="C85" s="284"/>
    </row>
    <row r="86" spans="1:4" s="292" customFormat="1" ht="15" customHeight="1">
      <c r="A86" s="343"/>
      <c r="B86" s="284"/>
      <c r="C86" s="294"/>
    </row>
    <row r="87" spans="1:4" s="292" customFormat="1" ht="15" customHeight="1">
      <c r="A87" s="343"/>
      <c r="B87" s="284"/>
      <c r="C87" s="284"/>
    </row>
    <row r="88" spans="1:4" s="292" customFormat="1" ht="15" customHeight="1">
      <c r="A88" s="343"/>
      <c r="B88" s="284"/>
      <c r="C88" s="284"/>
    </row>
    <row r="89" spans="1:4" s="292" customFormat="1" ht="21.75" customHeight="1">
      <c r="A89" s="343"/>
      <c r="B89" s="284"/>
      <c r="C89" s="284"/>
    </row>
    <row r="90" spans="1:4" s="292" customFormat="1" ht="16.5" customHeight="1">
      <c r="A90" s="343"/>
      <c r="B90" s="284"/>
      <c r="C90" s="284"/>
    </row>
    <row r="91" spans="1:4" s="292" customFormat="1" ht="16.399999999999999" customHeight="1">
      <c r="A91" s="343"/>
      <c r="B91" s="284"/>
      <c r="C91" s="284"/>
    </row>
    <row r="92" spans="1:4" s="292" customFormat="1" ht="15" customHeight="1">
      <c r="A92" s="343"/>
      <c r="B92" s="284"/>
      <c r="C92" s="294"/>
    </row>
    <row r="93" spans="1:4" s="292" customFormat="1" ht="15" customHeight="1">
      <c r="A93" s="343"/>
      <c r="B93" s="284"/>
      <c r="C93" s="284"/>
    </row>
    <row r="94" spans="1:4" s="292" customFormat="1" ht="15" customHeight="1">
      <c r="A94" s="343"/>
      <c r="B94" s="284"/>
      <c r="C94" s="284"/>
      <c r="D94" s="295"/>
    </row>
    <row r="95" spans="1:4" s="292" customFormat="1" ht="15" customHeight="1">
      <c r="A95" s="343"/>
      <c r="B95" s="284"/>
      <c r="C95" s="284"/>
      <c r="D95" s="296"/>
    </row>
    <row r="96" spans="1:4" s="292" customFormat="1" ht="21.75" customHeight="1">
      <c r="A96" s="343"/>
      <c r="B96" s="284"/>
      <c r="C96" s="284"/>
      <c r="D96" s="291"/>
    </row>
    <row r="97" spans="1:3" s="292" customFormat="1" ht="16.5" customHeight="1">
      <c r="A97" s="343"/>
      <c r="B97" s="284"/>
      <c r="C97" s="284"/>
    </row>
    <row r="98" spans="1:3" s="292" customFormat="1" ht="16.399999999999999" customHeight="1">
      <c r="A98" s="343"/>
      <c r="B98" s="284"/>
      <c r="C98" s="284"/>
    </row>
    <row r="99" spans="1:3" s="292" customFormat="1" ht="15" customHeight="1">
      <c r="A99" s="343"/>
      <c r="B99" s="284"/>
      <c r="C99" s="284"/>
    </row>
    <row r="100" spans="1:3" s="292" customFormat="1" ht="15" customHeight="1">
      <c r="A100" s="343"/>
      <c r="B100" s="284"/>
      <c r="C100" s="284"/>
    </row>
    <row r="101" spans="1:3" s="292" customFormat="1" ht="15" customHeight="1">
      <c r="A101" s="343"/>
      <c r="B101" s="284"/>
      <c r="C101" s="284"/>
    </row>
    <row r="102" spans="1:3" s="292" customFormat="1" ht="15" customHeight="1">
      <c r="A102" s="343"/>
      <c r="B102" s="284"/>
      <c r="C102" s="284"/>
    </row>
    <row r="103" spans="1:3" s="292" customFormat="1" ht="15" customHeight="1">
      <c r="A103" s="343"/>
      <c r="B103" s="284"/>
      <c r="C103" s="284"/>
    </row>
    <row r="104" spans="1:3" s="292" customFormat="1" ht="15" customHeight="1">
      <c r="A104" s="343"/>
      <c r="B104" s="284"/>
      <c r="C104" s="284"/>
    </row>
    <row r="105" spans="1:3" s="292" customFormat="1" ht="15" customHeight="1">
      <c r="A105" s="343"/>
      <c r="B105" s="284"/>
      <c r="C105" s="284"/>
    </row>
    <row r="106" spans="1:3" s="292" customFormat="1" ht="15" customHeight="1">
      <c r="A106" s="343"/>
      <c r="B106" s="284"/>
      <c r="C106" s="284"/>
    </row>
    <row r="107" spans="1:3" s="292" customFormat="1" ht="15" customHeight="1">
      <c r="A107" s="343"/>
      <c r="B107" s="284"/>
      <c r="C107" s="284"/>
    </row>
    <row r="108" spans="1:3" s="292" customFormat="1" ht="15" customHeight="1">
      <c r="A108" s="343"/>
      <c r="B108" s="284"/>
      <c r="C108" s="284"/>
    </row>
    <row r="109" spans="1:3" s="292" customFormat="1" ht="15" customHeight="1">
      <c r="A109" s="343"/>
      <c r="B109" s="284"/>
      <c r="C109" s="294"/>
    </row>
    <row r="110" spans="1:3" s="292" customFormat="1" ht="15" customHeight="1">
      <c r="A110" s="343"/>
      <c r="B110" s="284"/>
      <c r="C110" s="284"/>
    </row>
    <row r="111" spans="1:3" s="292" customFormat="1" ht="15" customHeight="1">
      <c r="A111" s="343"/>
      <c r="B111" s="284"/>
      <c r="C111" s="284"/>
    </row>
    <row r="112" spans="1:3" s="292" customFormat="1" ht="15" customHeight="1">
      <c r="A112" s="343"/>
      <c r="B112" s="284"/>
      <c r="C112" s="284"/>
    </row>
    <row r="113" spans="1:4" s="292" customFormat="1" ht="15" customHeight="1">
      <c r="A113" s="343"/>
      <c r="B113" s="284"/>
      <c r="C113" s="284"/>
    </row>
    <row r="114" spans="1:4" s="292" customFormat="1" ht="15" customHeight="1">
      <c r="A114" s="343"/>
      <c r="B114" s="284"/>
      <c r="C114" s="284"/>
    </row>
    <row r="115" spans="1:4" s="292" customFormat="1" ht="15" customHeight="1">
      <c r="A115" s="343"/>
      <c r="B115" s="284"/>
      <c r="C115" s="284"/>
    </row>
    <row r="116" spans="1:4" s="292" customFormat="1" ht="15" customHeight="1">
      <c r="A116" s="343"/>
      <c r="B116" s="284"/>
      <c r="C116" s="284"/>
    </row>
    <row r="117" spans="1:4" s="292" customFormat="1" ht="15" customHeight="1">
      <c r="A117" s="343"/>
      <c r="B117" s="284"/>
      <c r="C117" s="284"/>
    </row>
    <row r="118" spans="1:4" s="292" customFormat="1" ht="15" customHeight="1">
      <c r="A118" s="343"/>
      <c r="B118" s="284"/>
      <c r="C118" s="284"/>
    </row>
    <row r="119" spans="1:4" s="292" customFormat="1" ht="15" customHeight="1">
      <c r="A119" s="343"/>
      <c r="B119" s="284"/>
      <c r="C119" s="284"/>
    </row>
    <row r="120" spans="1:4" s="292" customFormat="1" ht="15" customHeight="1">
      <c r="A120" s="343"/>
      <c r="B120" s="284"/>
      <c r="C120" s="294"/>
    </row>
    <row r="121" spans="1:4" s="292" customFormat="1" ht="15" customHeight="1">
      <c r="A121" s="343"/>
      <c r="B121" s="284"/>
      <c r="C121" s="284"/>
    </row>
    <row r="122" spans="1:4" s="292" customFormat="1" ht="15" customHeight="1">
      <c r="A122" s="343"/>
      <c r="B122" s="284"/>
      <c r="C122" s="284"/>
    </row>
    <row r="123" spans="1:4" s="292" customFormat="1" ht="15" customHeight="1">
      <c r="A123" s="343"/>
      <c r="B123" s="284"/>
      <c r="C123" s="284"/>
    </row>
    <row r="124" spans="1:4" s="292" customFormat="1" ht="15" customHeight="1">
      <c r="A124" s="343"/>
      <c r="B124" s="284"/>
      <c r="C124" s="284"/>
    </row>
    <row r="125" spans="1:4" s="292" customFormat="1" ht="15" customHeight="1">
      <c r="A125" s="343"/>
      <c r="B125" s="284"/>
      <c r="C125" s="284"/>
      <c r="D125" s="295"/>
    </row>
    <row r="126" spans="1:4" s="292" customFormat="1" ht="21.75" customHeight="1">
      <c r="A126" s="343"/>
      <c r="B126" s="25"/>
      <c r="C126" s="285"/>
      <c r="D126" s="291"/>
    </row>
    <row r="127" spans="1:4" s="292" customFormat="1" ht="16.5" customHeight="1">
      <c r="A127" s="343"/>
      <c r="B127" s="25"/>
      <c r="C127" s="26"/>
    </row>
    <row r="128" spans="1:4" s="292" customFormat="1" ht="16.399999999999999" customHeight="1">
      <c r="A128" s="343"/>
      <c r="B128" s="25"/>
      <c r="C128" s="26"/>
    </row>
    <row r="129" spans="1:4" s="292" customFormat="1" ht="15" customHeight="1">
      <c r="A129" s="343"/>
      <c r="B129" s="284"/>
      <c r="C129" s="297"/>
    </row>
    <row r="130" spans="1:4" s="292" customFormat="1" ht="15" customHeight="1">
      <c r="A130" s="343"/>
      <c r="B130" s="25"/>
      <c r="C130" s="285"/>
    </row>
    <row r="131" spans="1:4" s="292" customFormat="1" ht="16.5" customHeight="1">
      <c r="A131" s="343"/>
      <c r="B131" s="25"/>
      <c r="C131" s="285"/>
    </row>
    <row r="132" spans="1:4" s="292" customFormat="1" ht="16.399999999999999" customHeight="1">
      <c r="A132" s="343"/>
      <c r="B132" s="25"/>
      <c r="C132" s="285"/>
    </row>
    <row r="133" spans="1:4" s="292" customFormat="1" ht="15" customHeight="1">
      <c r="A133" s="343"/>
      <c r="B133" s="25"/>
      <c r="C133" s="285"/>
    </row>
    <row r="134" spans="1:4" s="292" customFormat="1" ht="25" customHeight="1">
      <c r="A134" s="343"/>
      <c r="B134" s="298"/>
      <c r="C134" s="285"/>
    </row>
    <row r="135" spans="1:4" s="292" customFormat="1" ht="15.5" customHeight="1">
      <c r="A135" s="343"/>
      <c r="B135" s="25"/>
      <c r="C135" s="285"/>
      <c r="D135" s="295"/>
    </row>
    <row r="136" spans="1:4" s="292" customFormat="1" ht="21" customHeight="1">
      <c r="A136" s="343"/>
      <c r="B136" s="298"/>
      <c r="C136" s="297"/>
      <c r="D136" s="291"/>
    </row>
    <row r="137" spans="1:4" s="292" customFormat="1" ht="15" customHeight="1">
      <c r="A137" s="343"/>
      <c r="B137" s="298"/>
      <c r="C137" s="285"/>
      <c r="D137" s="295"/>
    </row>
    <row r="138" spans="1:4" s="292" customFormat="1" ht="18" customHeight="1">
      <c r="A138" s="343"/>
      <c r="B138" s="298"/>
      <c r="C138" s="285"/>
      <c r="D138" s="291"/>
    </row>
    <row r="139" spans="1:4" s="292" customFormat="1" ht="16.399999999999999" customHeight="1">
      <c r="A139" s="343"/>
      <c r="B139" s="299"/>
      <c r="C139" s="284"/>
    </row>
    <row r="140" spans="1:4" s="292" customFormat="1" ht="16.399999999999999" customHeight="1">
      <c r="A140" s="343"/>
      <c r="B140" s="25"/>
      <c r="C140" s="285"/>
    </row>
    <row r="141" spans="1:4" s="292" customFormat="1" ht="16.399999999999999" customHeight="1">
      <c r="A141" s="343"/>
      <c r="B141" s="25"/>
      <c r="C141" s="285"/>
    </row>
    <row r="142" spans="1:4" s="292" customFormat="1" ht="16.399999999999999" customHeight="1">
      <c r="A142" s="343"/>
      <c r="B142" s="25"/>
      <c r="C142" s="285"/>
    </row>
    <row r="143" spans="1:4" s="292" customFormat="1" ht="16.399999999999999" customHeight="1">
      <c r="A143" s="343"/>
      <c r="B143" s="298"/>
      <c r="C143" s="285"/>
    </row>
    <row r="144" spans="1:4" s="292" customFormat="1" ht="16.399999999999999" customHeight="1">
      <c r="A144" s="343"/>
      <c r="B144" s="25"/>
      <c r="C144" s="297"/>
    </row>
    <row r="145" spans="1:4" s="292" customFormat="1" ht="16.399999999999999" customHeight="1">
      <c r="A145" s="343"/>
      <c r="B145" s="25"/>
      <c r="C145" s="285"/>
    </row>
    <row r="146" spans="1:4" s="292" customFormat="1" ht="16.399999999999999" customHeight="1">
      <c r="A146" s="343"/>
      <c r="B146" s="300"/>
      <c r="C146" s="301"/>
    </row>
    <row r="147" spans="1:4" s="292" customFormat="1" ht="16.399999999999999" customHeight="1">
      <c r="A147" s="343"/>
      <c r="B147" s="25"/>
      <c r="C147" s="285"/>
    </row>
    <row r="148" spans="1:4" s="292" customFormat="1" ht="16.399999999999999" customHeight="1">
      <c r="A148" s="343"/>
      <c r="B148" s="25"/>
      <c r="C148" s="285"/>
    </row>
    <row r="149" spans="1:4" s="292" customFormat="1" ht="16.399999999999999" customHeight="1">
      <c r="A149" s="343"/>
      <c r="B149" s="298"/>
      <c r="C149" s="285"/>
    </row>
    <row r="150" spans="1:4" s="292" customFormat="1" ht="15" customHeight="1">
      <c r="A150" s="343"/>
      <c r="B150" s="25"/>
      <c r="C150" s="285"/>
      <c r="D150" s="296"/>
    </row>
    <row r="151" spans="1:4" s="292" customFormat="1" ht="15" customHeight="1">
      <c r="A151" s="343"/>
      <c r="B151" s="298"/>
      <c r="C151" s="285"/>
      <c r="D151" s="295"/>
    </row>
    <row r="152" spans="1:4" s="292" customFormat="1" ht="15" customHeight="1">
      <c r="A152" s="343"/>
      <c r="B152" s="25"/>
      <c r="C152" s="285"/>
      <c r="D152" s="295"/>
    </row>
    <row r="153" spans="1:4" s="292" customFormat="1" ht="15" customHeight="1">
      <c r="A153" s="343"/>
      <c r="B153" s="299"/>
      <c r="C153" s="284"/>
      <c r="D153" s="295"/>
    </row>
    <row r="154" spans="1:4" s="292" customFormat="1" ht="15" customHeight="1">
      <c r="A154" s="343"/>
      <c r="B154" s="298"/>
      <c r="C154" s="285"/>
      <c r="D154" s="295"/>
    </row>
    <row r="155" spans="1:4" s="292" customFormat="1" ht="15" customHeight="1">
      <c r="A155" s="343"/>
      <c r="B155" s="298"/>
      <c r="C155" s="285"/>
      <c r="D155" s="295"/>
    </row>
    <row r="156" spans="1:4" s="292" customFormat="1" ht="15.65" customHeight="1">
      <c r="A156" s="343"/>
      <c r="B156" s="298"/>
      <c r="C156" s="285"/>
      <c r="D156" s="295"/>
    </row>
    <row r="157" spans="1:4" s="292" customFormat="1" ht="15" customHeight="1">
      <c r="A157" s="343"/>
      <c r="B157" s="299"/>
      <c r="C157" s="284"/>
      <c r="D157" s="295"/>
    </row>
    <row r="158" spans="1:4" s="292" customFormat="1" ht="15" customHeight="1">
      <c r="A158" s="343"/>
      <c r="B158" s="25"/>
      <c r="C158" s="285"/>
      <c r="D158" s="295"/>
    </row>
    <row r="159" spans="1:4" s="292" customFormat="1" ht="15" customHeight="1">
      <c r="A159" s="343"/>
      <c r="B159" s="25"/>
      <c r="C159" s="285"/>
      <c r="D159" s="295"/>
    </row>
    <row r="160" spans="1:4" s="292" customFormat="1" ht="15" customHeight="1">
      <c r="A160" s="343"/>
      <c r="B160" s="25"/>
      <c r="C160" s="285"/>
      <c r="D160" s="295"/>
    </row>
    <row r="161" spans="1:4" s="292" customFormat="1" ht="15" customHeight="1">
      <c r="A161" s="343"/>
      <c r="B161" s="298"/>
      <c r="C161" s="297"/>
      <c r="D161" s="295"/>
    </row>
    <row r="162" spans="1:4" s="292" customFormat="1" ht="15" customHeight="1">
      <c r="A162" s="343"/>
      <c r="B162" s="25"/>
      <c r="C162" s="285"/>
      <c r="D162" s="295"/>
    </row>
    <row r="163" spans="1:4" s="292" customFormat="1" ht="15" customHeight="1">
      <c r="A163" s="343"/>
      <c r="B163" s="25"/>
      <c r="C163" s="285"/>
      <c r="D163" s="295"/>
    </row>
    <row r="164" spans="1:4" s="292" customFormat="1" ht="15" customHeight="1">
      <c r="A164" s="343"/>
      <c r="B164" s="298"/>
      <c r="C164" s="285"/>
      <c r="D164" s="295"/>
    </row>
    <row r="165" spans="1:4" s="292" customFormat="1" ht="15" customHeight="1">
      <c r="A165" s="343"/>
      <c r="B165" s="25"/>
      <c r="C165" s="285"/>
      <c r="D165" s="295"/>
    </row>
    <row r="166" spans="1:4" s="292" customFormat="1" ht="14.15" customHeight="1">
      <c r="A166" s="343"/>
      <c r="B166" s="25"/>
      <c r="C166" s="285"/>
      <c r="D166" s="295"/>
    </row>
    <row r="167" spans="1:4" s="292" customFormat="1" ht="15" customHeight="1">
      <c r="A167" s="343"/>
      <c r="B167" s="299"/>
      <c r="C167" s="294"/>
      <c r="D167" s="295"/>
    </row>
    <row r="168" spans="1:4" s="292" customFormat="1" ht="15" customHeight="1">
      <c r="A168" s="343"/>
      <c r="B168" s="284"/>
      <c r="C168" s="285"/>
      <c r="D168" s="295"/>
    </row>
    <row r="169" spans="1:4" s="292" customFormat="1" ht="15" customHeight="1">
      <c r="A169" s="343"/>
      <c r="B169" s="284"/>
      <c r="C169" s="284"/>
      <c r="D169" s="295"/>
    </row>
    <row r="170" spans="1:4" s="292" customFormat="1" ht="15" customHeight="1">
      <c r="A170" s="343"/>
      <c r="B170" s="284"/>
      <c r="C170" s="286"/>
      <c r="D170" s="295"/>
    </row>
    <row r="171" spans="1:4" s="292" customFormat="1" ht="15" customHeight="1">
      <c r="A171" s="343"/>
      <c r="B171" s="25"/>
      <c r="C171" s="286"/>
      <c r="D171" s="295"/>
    </row>
    <row r="172" spans="1:4" s="292" customFormat="1" ht="15" customHeight="1">
      <c r="A172" s="343"/>
      <c r="B172" s="25"/>
      <c r="C172" s="285"/>
      <c r="D172" s="295"/>
    </row>
    <row r="173" spans="1:4" s="292" customFormat="1" ht="12.65" customHeight="1">
      <c r="A173" s="343"/>
      <c r="B173" s="25"/>
      <c r="C173" s="294"/>
      <c r="D173" s="295"/>
    </row>
    <row r="174" spans="1:4" s="292" customFormat="1" ht="15.65" customHeight="1">
      <c r="A174" s="343"/>
      <c r="B174" s="25"/>
      <c r="C174" s="287"/>
      <c r="D174" s="295"/>
    </row>
    <row r="175" spans="1:4" s="292" customFormat="1" ht="17" customHeight="1">
      <c r="A175" s="343"/>
      <c r="B175" s="25"/>
      <c r="C175" s="285"/>
      <c r="D175" s="295"/>
    </row>
    <row r="176" spans="1:4" s="292" customFormat="1" ht="21.75" customHeight="1">
      <c r="A176" s="343"/>
      <c r="B176" s="25"/>
      <c r="C176" s="297"/>
      <c r="D176" s="295"/>
    </row>
    <row r="177" spans="1:4" s="292" customFormat="1" ht="19" customHeight="1">
      <c r="A177" s="343"/>
      <c r="B177" s="25"/>
      <c r="C177" s="285"/>
      <c r="D177" s="295"/>
    </row>
    <row r="178" spans="1:4" s="292" customFormat="1" ht="20" customHeight="1">
      <c r="A178" s="343"/>
      <c r="B178" s="25"/>
      <c r="C178" s="285"/>
      <c r="D178" s="296"/>
    </row>
    <row r="179" spans="1:4">
      <c r="A179" s="159"/>
      <c r="B179" s="159"/>
      <c r="C179" s="159"/>
      <c r="D179" s="159"/>
    </row>
    <row r="180" spans="1:4">
      <c r="A180" s="159"/>
      <c r="B180" s="159"/>
      <c r="C180" s="159"/>
      <c r="D180" s="159"/>
    </row>
    <row r="181" spans="1:4">
      <c r="A181" s="159"/>
      <c r="B181" s="159"/>
      <c r="C181" s="159"/>
      <c r="D181" s="159"/>
    </row>
    <row r="182" spans="1:4">
      <c r="A182" s="159"/>
      <c r="B182" s="159"/>
      <c r="C182" s="159"/>
      <c r="D182" s="159"/>
    </row>
  </sheetData>
  <mergeCells count="10">
    <mergeCell ref="A2:B2"/>
    <mergeCell ref="A5:A9"/>
    <mergeCell ref="A12:A16"/>
    <mergeCell ref="A19:A23"/>
    <mergeCell ref="A33:A43"/>
    <mergeCell ref="A46:A50"/>
    <mergeCell ref="A60:A73"/>
    <mergeCell ref="A26:A30"/>
    <mergeCell ref="A53:A57"/>
    <mergeCell ref="A76:A178"/>
  </mergeCells>
  <phoneticPr fontId="14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2026-03-12T08:24:33Z</dcterms:modified>
</cp:coreProperties>
</file>