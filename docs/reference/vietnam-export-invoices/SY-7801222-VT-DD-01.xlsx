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SHUNYA-SHARING\disk\縫製仕様書\太田\輸出\"/>
    </mc:Choice>
  </mc:AlternateContent>
  <xr:revisionPtr revIDLastSave="0" documentId="13_ncr:1_{D3071828-05D6-44DE-A20A-A7682206481F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ipper master" sheetId="17" r:id="rId1"/>
    <sheet name="case mark " sheetId="64" r:id="rId2"/>
    <sheet name="invoice" sheetId="65" r:id="rId3"/>
    <sheet name="NARITA " sheetId="60" r:id="rId4"/>
    <sheet name="NARITA (2)" sheetId="68" r:id="rId5"/>
    <sheet name="LABEL" sheetId="66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pricetable" localSheetId="1">#REF!</definedName>
    <definedName name="pricetable" localSheetId="5">#REF!</definedName>
    <definedName name="pricetable" localSheetId="3">#REF!</definedName>
    <definedName name="pricetable" localSheetId="4">#REF!</definedName>
    <definedName name="pricetable">#REF!</definedName>
    <definedName name="_xlnm.Print_Area" localSheetId="5">LABEL!$A$1:$D$178</definedName>
    <definedName name="_xlnm.Print_Area" localSheetId="3">'NARITA '!$A$1:$N$74</definedName>
    <definedName name="_xlnm.Print_Area" localSheetId="4">'NARITA (2)'!$A$1:$N$117</definedName>
    <definedName name="_xlnm.Print_Titles" localSheetId="5">LABEL!$1:$3</definedName>
    <definedName name="_xlnm.Print_Titles" localSheetId="3">'NARITA '!$1:$6</definedName>
    <definedName name="_xlnm.Print_Titles" localSheetId="4">'NARITA (2)'!$1:$6</definedName>
  </definedNames>
  <calcPr calcId="191029"/>
</workbook>
</file>

<file path=xl/calcChain.xml><?xml version="1.0" encoding="utf-8"?>
<calcChain xmlns="http://schemas.openxmlformats.org/spreadsheetml/2006/main">
  <c r="O33" i="65" l="1"/>
  <c r="M33" i="65"/>
  <c r="L33" i="65"/>
  <c r="H117" i="68"/>
  <c r="H74" i="60"/>
  <c r="H73" i="60"/>
  <c r="O28" i="65" s="1"/>
  <c r="O30" i="65"/>
  <c r="O29" i="65"/>
  <c r="O27" i="65"/>
  <c r="O26" i="65"/>
  <c r="M30" i="65"/>
  <c r="M29" i="65"/>
  <c r="K33" i="65" s="1"/>
  <c r="M28" i="65"/>
  <c r="F33" i="65" s="1"/>
  <c r="M27" i="65"/>
  <c r="D33" i="65" s="1"/>
  <c r="M26" i="65"/>
  <c r="B33" i="65" s="1"/>
  <c r="E72" i="60"/>
  <c r="E71" i="60"/>
  <c r="H116" i="68"/>
  <c r="E116" i="68"/>
  <c r="H115" i="68"/>
  <c r="H114" i="68"/>
  <c r="H113" i="68"/>
  <c r="E115" i="68"/>
  <c r="E114" i="68"/>
  <c r="E113" i="68"/>
  <c r="G6" i="68"/>
  <c r="D6" i="68"/>
  <c r="E73" i="60" l="1"/>
  <c r="H51" i="60" l="1"/>
  <c r="H57" i="60"/>
  <c r="H48" i="60"/>
  <c r="H27" i="60" l="1"/>
  <c r="H34" i="60"/>
  <c r="H45" i="60" l="1"/>
  <c r="H47" i="60"/>
  <c r="H64" i="60"/>
  <c r="H63" i="60"/>
  <c r="H46" i="60"/>
  <c r="H15" i="60"/>
  <c r="H16" i="60"/>
  <c r="H10" i="60"/>
  <c r="H39" i="60" l="1"/>
  <c r="H33" i="60"/>
  <c r="H69" i="60" l="1"/>
  <c r="H72" i="60" l="1"/>
  <c r="H21" i="60" l="1"/>
  <c r="H9" i="60"/>
  <c r="F9" i="65"/>
  <c r="H71" i="60" l="1"/>
  <c r="C45" i="17" s="1"/>
  <c r="F11" i="65"/>
  <c r="F7" i="65"/>
  <c r="N8" i="65" l="1"/>
  <c r="I13" i="64"/>
  <c r="A13" i="64"/>
  <c r="I2" i="64"/>
  <c r="A2" i="64"/>
  <c r="A39" i="65"/>
  <c r="D38" i="65"/>
  <c r="A37" i="65"/>
  <c r="A36" i="65"/>
  <c r="B31" i="65"/>
  <c r="B26" i="65"/>
  <c r="N24" i="65"/>
  <c r="B24" i="65"/>
  <c r="G21" i="65"/>
  <c r="D21" i="65"/>
  <c r="A21" i="65"/>
  <c r="A19" i="65"/>
  <c r="A17" i="65"/>
  <c r="A16" i="65"/>
  <c r="F15" i="65"/>
  <c r="A15" i="65"/>
  <c r="A14" i="65"/>
  <c r="F13" i="65"/>
  <c r="A13" i="65"/>
  <c r="N11" i="65"/>
  <c r="A11" i="65"/>
  <c r="N10" i="65"/>
  <c r="A10" i="65"/>
  <c r="N9" i="65"/>
  <c r="A9" i="65"/>
  <c r="A8" i="65"/>
  <c r="A7" i="65"/>
  <c r="N5" i="65"/>
  <c r="A5" i="65"/>
  <c r="N4" i="65"/>
  <c r="A4" i="65"/>
  <c r="A3" i="65"/>
  <c r="A2" i="65"/>
  <c r="I18" i="64"/>
  <c r="A18" i="64"/>
  <c r="I16" i="64"/>
  <c r="A16" i="64"/>
  <c r="I15" i="64"/>
  <c r="A15" i="64"/>
  <c r="I14" i="64"/>
  <c r="A14" i="64"/>
  <c r="I7" i="64"/>
  <c r="A7" i="64"/>
  <c r="I5" i="64"/>
  <c r="A5" i="64"/>
  <c r="I4" i="64"/>
  <c r="A4" i="64"/>
  <c r="I3" i="64"/>
  <c r="A3" i="64"/>
  <c r="G6" i="60" l="1"/>
  <c r="D6" i="60"/>
  <c r="A2" i="17" l="1"/>
  <c r="A3" i="17" s="1"/>
  <c r="A4" i="17" s="1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A35" i="17" s="1"/>
  <c r="A36" i="17" s="1"/>
  <c r="A37" i="17" s="1"/>
  <c r="A38" i="17" s="1"/>
  <c r="A39" i="17" s="1"/>
  <c r="A40" i="17" s="1"/>
  <c r="A41" i="17" s="1"/>
  <c r="A42" i="17" s="1"/>
  <c r="A43" i="17" s="1"/>
  <c r="A44" i="17" s="1"/>
  <c r="A45" i="17" s="1"/>
  <c r="A46" i="17" s="1"/>
  <c r="A47" i="17" s="1"/>
  <c r="A48" i="17" s="1"/>
  <c r="A49" i="17" s="1"/>
  <c r="A50" i="17" s="1"/>
  <c r="A51" i="17" s="1"/>
  <c r="A52" i="17" s="1"/>
  <c r="A53" i="17" s="1"/>
  <c r="A54" i="17" s="1"/>
  <c r="A55" i="17" s="1"/>
  <c r="A56" i="17" s="1"/>
  <c r="A57" i="17" s="1"/>
  <c r="A58" i="17" s="1"/>
  <c r="A59" i="17" s="1"/>
  <c r="A60" i="17" s="1"/>
  <c r="A61" i="17" s="1"/>
  <c r="A62" i="17" s="1"/>
  <c r="A63" i="17" s="1"/>
  <c r="A64" i="17" s="1"/>
  <c r="A65" i="17" s="1"/>
  <c r="A66" i="17" s="1"/>
  <c r="A67" i="17" s="1"/>
  <c r="A68" i="17" s="1"/>
  <c r="A69" i="17" s="1"/>
  <c r="A70" i="17" s="1"/>
  <c r="A71" i="17" s="1"/>
  <c r="A72" i="17" s="1"/>
  <c r="A73" i="17" s="1"/>
  <c r="A74" i="17" s="1"/>
  <c r="A75" i="17" s="1"/>
  <c r="A76" i="17" s="1"/>
  <c r="A77" i="17" s="1"/>
  <c r="A78" i="17" s="1"/>
  <c r="A79" i="17" s="1"/>
  <c r="A80" i="17" s="1"/>
  <c r="A81" i="17" s="1"/>
  <c r="A82" i="17" s="1"/>
  <c r="A83" i="17" s="1"/>
  <c r="A84" i="17" s="1"/>
  <c r="A85" i="17" s="1"/>
  <c r="A86" i="17" s="1"/>
  <c r="C27" i="17"/>
  <c r="C49" i="17" s="1"/>
</calcChain>
</file>

<file path=xl/sharedStrings.xml><?xml version="1.0" encoding="utf-8"?>
<sst xmlns="http://schemas.openxmlformats.org/spreadsheetml/2006/main" count="835" uniqueCount="396">
  <si>
    <t>SHIPPER NAME</t>
    <phoneticPr fontId="9" type="noConversion"/>
  </si>
  <si>
    <t>S/CODE</t>
    <phoneticPr fontId="9" type="noConversion"/>
  </si>
  <si>
    <t>SHIPPER ADDRESS 2</t>
    <phoneticPr fontId="14"/>
  </si>
  <si>
    <t>SHIPPER ADDRESS 1</t>
    <phoneticPr fontId="14"/>
  </si>
  <si>
    <t>SHIPPER ADDRESS 3</t>
    <phoneticPr fontId="14"/>
  </si>
  <si>
    <t xml:space="preserve">SHIPPER </t>
    <phoneticPr fontId="14"/>
  </si>
  <si>
    <t>TEL</t>
    <phoneticPr fontId="14"/>
  </si>
  <si>
    <t>FAX</t>
    <phoneticPr fontId="14"/>
  </si>
  <si>
    <t>ATTN OR VAT NO.</t>
    <phoneticPr fontId="14"/>
  </si>
  <si>
    <t>TEL/FAX</t>
    <phoneticPr fontId="14"/>
  </si>
  <si>
    <t>ATTN</t>
    <phoneticPr fontId="14"/>
  </si>
  <si>
    <t>CONSIGNEE :</t>
    <phoneticPr fontId="14"/>
  </si>
  <si>
    <t>CONSIGNEE ADDRESS1</t>
    <phoneticPr fontId="14"/>
  </si>
  <si>
    <t>CONSIGNEE ADDRESS2</t>
    <phoneticPr fontId="14"/>
  </si>
  <si>
    <t>CONSIGNEE ADDRESS3</t>
    <phoneticPr fontId="14"/>
  </si>
  <si>
    <t>TEL</t>
    <phoneticPr fontId="14"/>
  </si>
  <si>
    <t>FAX</t>
    <phoneticPr fontId="14"/>
  </si>
  <si>
    <t>PAYMENT 1</t>
    <phoneticPr fontId="14"/>
  </si>
  <si>
    <t>PAYMENT 2</t>
    <phoneticPr fontId="14"/>
  </si>
  <si>
    <t>SHIPPER PER</t>
    <phoneticPr fontId="14"/>
  </si>
  <si>
    <t>INVOICE DATE</t>
    <phoneticPr fontId="14"/>
  </si>
  <si>
    <t>INVOICE NO.</t>
    <phoneticPr fontId="14"/>
  </si>
  <si>
    <t>CONTRACT NO.</t>
    <phoneticPr fontId="14"/>
  </si>
  <si>
    <t>CONTRACT DATE</t>
    <phoneticPr fontId="14"/>
  </si>
  <si>
    <t>ORDER DATE</t>
    <phoneticPr fontId="14"/>
  </si>
  <si>
    <t>ORDER NO.</t>
    <phoneticPr fontId="14"/>
  </si>
  <si>
    <t>L/C DATE</t>
    <phoneticPr fontId="14"/>
  </si>
  <si>
    <t>FROM</t>
    <phoneticPr fontId="14"/>
  </si>
  <si>
    <t xml:space="preserve"> TOKYO, JAPAN</t>
    <phoneticPr fontId="14"/>
  </si>
  <si>
    <t>TO</t>
    <phoneticPr fontId="14"/>
  </si>
  <si>
    <t>VIA</t>
    <phoneticPr fontId="14"/>
  </si>
  <si>
    <t>SHIPPING TERMS</t>
    <phoneticPr fontId="14"/>
  </si>
  <si>
    <t>TITTLE 1</t>
    <phoneticPr fontId="14"/>
  </si>
  <si>
    <t>TITTLE 2</t>
    <phoneticPr fontId="14"/>
  </si>
  <si>
    <t>ATTACHE</t>
    <phoneticPr fontId="14"/>
  </si>
  <si>
    <t>- DETAILS AS PER ATTACHED SHEET -</t>
    <phoneticPr fontId="14"/>
  </si>
  <si>
    <t>C/NO.</t>
    <phoneticPr fontId="14"/>
  </si>
  <si>
    <t>STYLE NO.</t>
    <phoneticPr fontId="14"/>
  </si>
  <si>
    <t>DESCRIPTION</t>
    <phoneticPr fontId="14"/>
  </si>
  <si>
    <t>Q'TY CODE</t>
    <phoneticPr fontId="14"/>
  </si>
  <si>
    <t>QUANTITY</t>
    <phoneticPr fontId="14"/>
  </si>
  <si>
    <t>UNIT PRICE</t>
    <phoneticPr fontId="14"/>
  </si>
  <si>
    <t>AMOUNT</t>
    <phoneticPr fontId="14"/>
  </si>
  <si>
    <t>DISCOUNT</t>
    <phoneticPr fontId="14"/>
  </si>
  <si>
    <t>CASE MARK1</t>
    <phoneticPr fontId="14"/>
  </si>
  <si>
    <t>CASE MARK2</t>
    <phoneticPr fontId="14"/>
  </si>
  <si>
    <t>CASE MARK3</t>
    <phoneticPr fontId="14"/>
  </si>
  <si>
    <t>CASE MARK4</t>
    <phoneticPr fontId="14"/>
  </si>
  <si>
    <t>CASE MARK5</t>
    <phoneticPr fontId="14"/>
  </si>
  <si>
    <t>CASE MARK6</t>
    <phoneticPr fontId="14"/>
  </si>
  <si>
    <t>TOTAL</t>
    <phoneticPr fontId="14"/>
  </si>
  <si>
    <t>MANUFACTURED BY</t>
    <phoneticPr fontId="14"/>
  </si>
  <si>
    <t>ORIGIN</t>
    <phoneticPr fontId="14"/>
  </si>
  <si>
    <t>OUR BANK</t>
    <phoneticPr fontId="14"/>
  </si>
  <si>
    <t>ETD TYO</t>
    <phoneticPr fontId="14"/>
  </si>
  <si>
    <t>DELIVERY SCHEDULES</t>
    <phoneticPr fontId="14"/>
  </si>
  <si>
    <t>INSURANCE</t>
    <phoneticPr fontId="14"/>
  </si>
  <si>
    <t>REMARK 1</t>
    <phoneticPr fontId="14"/>
  </si>
  <si>
    <t>AIR FREIGHT</t>
    <phoneticPr fontId="14"/>
  </si>
  <si>
    <t>YOUR (OUR) FORWARDER</t>
    <phoneticPr fontId="14"/>
  </si>
  <si>
    <t>CUSTOMS AGENT</t>
    <phoneticPr fontId="14"/>
  </si>
  <si>
    <t>FORWARDER</t>
    <phoneticPr fontId="14"/>
  </si>
  <si>
    <t>C/O ISSUED DATE</t>
    <phoneticPr fontId="14"/>
  </si>
  <si>
    <t>COUNTRY</t>
    <phoneticPr fontId="14"/>
  </si>
  <si>
    <t>F.O.B. TOKYO IN YEN</t>
    <phoneticPr fontId="14"/>
  </si>
  <si>
    <t xml:space="preserve"> SHUNYA CO., LTD.</t>
    <phoneticPr fontId="14"/>
  </si>
  <si>
    <t xml:space="preserve"> KENSHIN BLDG., 1F, 1-22-10 DOUGENZAKA,</t>
    <phoneticPr fontId="14"/>
  </si>
  <si>
    <t xml:space="preserve"> SHIBUYA-KU 150-0043</t>
    <phoneticPr fontId="14"/>
  </si>
  <si>
    <t xml:space="preserve"> TEL : +81(0)3-5459-1177</t>
    <phoneticPr fontId="14"/>
  </si>
  <si>
    <t xml:space="preserve"> - SAME AS BUYER -</t>
    <phoneticPr fontId="14"/>
  </si>
  <si>
    <t xml:space="preserve"> HOCHIMINH-CITY, VIETNAM</t>
    <phoneticPr fontId="14"/>
  </si>
  <si>
    <t>VIETNAM</t>
    <phoneticPr fontId="14"/>
  </si>
  <si>
    <t>PREPAID</t>
    <phoneticPr fontId="14"/>
  </si>
  <si>
    <t>COVERED BY SHIPPER</t>
    <phoneticPr fontId="14"/>
  </si>
  <si>
    <t>MEITETSU WORLD TRANSPORT (MR. NAMIKI)</t>
    <phoneticPr fontId="14"/>
  </si>
  <si>
    <r>
      <t xml:space="preserve">END OF JUNE - BEG., OF </t>
    </r>
    <r>
      <rPr>
        <b/>
        <sz val="10"/>
        <rFont val="ＭＳ Ｐゴシック"/>
        <family val="3"/>
        <charset val="128"/>
      </rPr>
      <t>ＭＡＲ</t>
    </r>
    <r>
      <rPr>
        <b/>
        <sz val="10"/>
        <rFont val="Century Gothic"/>
        <family val="2"/>
      </rPr>
      <t>, 2018</t>
    </r>
    <phoneticPr fontId="14"/>
  </si>
  <si>
    <t>BUYER</t>
    <phoneticPr fontId="14"/>
  </si>
  <si>
    <t>BUYER ADDRESS1</t>
    <phoneticPr fontId="14"/>
  </si>
  <si>
    <t>BUYER ADDRESS2</t>
    <phoneticPr fontId="14"/>
  </si>
  <si>
    <t>BUYER ADDRESS3</t>
    <phoneticPr fontId="14"/>
  </si>
  <si>
    <t xml:space="preserve"> AIRCRAFT</t>
    <phoneticPr fontId="14"/>
  </si>
  <si>
    <t>持ち帰り条件</t>
    <rPh sb="0" eb="1">
      <t>モ</t>
    </rPh>
    <rPh sb="2" eb="3">
      <t>カエ</t>
    </rPh>
    <rPh sb="4" eb="6">
      <t>ジョウケン</t>
    </rPh>
    <phoneticPr fontId="14"/>
  </si>
  <si>
    <r>
      <rPr>
        <sz val="10"/>
        <color indexed="10"/>
        <rFont val="Century Gothic"/>
        <family val="2"/>
      </rPr>
      <t xml:space="preserve">" </t>
    </r>
    <r>
      <rPr>
        <b/>
        <sz val="10"/>
        <color indexed="10"/>
        <rFont val="Century Gothic"/>
        <family val="2"/>
      </rPr>
      <t>THESE GOODS WILL BE RETURN TO JAPAN</t>
    </r>
    <phoneticPr fontId="14"/>
  </si>
  <si>
    <t xml:space="preserve">  AFTER MANUFACTURED AT VIET NAM "</t>
    <phoneticPr fontId="14"/>
  </si>
  <si>
    <t xml:space="preserve"> NO COMMERCIAL</t>
    <phoneticPr fontId="13"/>
  </si>
  <si>
    <t>PCS.</t>
    <phoneticPr fontId="14"/>
  </si>
  <si>
    <t>COLOR</t>
  </si>
  <si>
    <t>DESCRIPTION  OF  GOODS</t>
  </si>
  <si>
    <t>Q'TY</t>
  </si>
  <si>
    <t>U/PRICE</t>
  </si>
  <si>
    <t>AMOUNT</t>
  </si>
  <si>
    <r>
      <rPr>
        <b/>
        <i/>
        <sz val="10"/>
        <rFont val="ＭＳ Ｐゴシック"/>
        <family val="3"/>
        <charset val="128"/>
      </rPr>
      <t>佐川伝票・明細</t>
    </r>
  </si>
  <si>
    <r>
      <rPr>
        <b/>
        <i/>
        <sz val="10"/>
        <rFont val="ＭＳ Ｐゴシック"/>
        <family val="3"/>
        <charset val="128"/>
      </rPr>
      <t>搬入日</t>
    </r>
  </si>
  <si>
    <r>
      <rPr>
        <b/>
        <i/>
        <sz val="10"/>
        <rFont val="ＭＳ Ｐゴシック"/>
        <family val="3"/>
        <charset val="128"/>
      </rPr>
      <t>伝票</t>
    </r>
    <r>
      <rPr>
        <b/>
        <i/>
        <sz val="10"/>
        <rFont val="Century Gothic"/>
        <family val="2"/>
      </rPr>
      <t>NO</t>
    </r>
  </si>
  <si>
    <r>
      <rPr>
        <b/>
        <i/>
        <sz val="10"/>
        <rFont val="ＭＳ Ｐゴシック"/>
        <family val="3"/>
        <charset val="128"/>
      </rPr>
      <t>数量</t>
    </r>
  </si>
  <si>
    <r>
      <rPr>
        <b/>
        <i/>
        <sz val="10"/>
        <rFont val="ＭＳ Ｐゴシック"/>
        <family val="3"/>
        <charset val="128"/>
      </rPr>
      <t>箱数</t>
    </r>
  </si>
  <si>
    <t xml:space="preserve">ART NO. </t>
    <phoneticPr fontId="14"/>
  </si>
  <si>
    <t>(H.S. CODE)</t>
    <phoneticPr fontId="14"/>
  </si>
  <si>
    <t>- ATTACHED SHEET -</t>
    <phoneticPr fontId="14"/>
  </si>
  <si>
    <t xml:space="preserve"> </t>
    <phoneticPr fontId="14"/>
  </si>
  <si>
    <t>WOVEN FABRIC</t>
    <phoneticPr fontId="14"/>
  </si>
  <si>
    <t>VIVAN GARMENTS VIET NAM COMPANY LIMITED</t>
    <phoneticPr fontId="14"/>
  </si>
  <si>
    <t>Hamlet 3 , Long Hau Commune , Can Giuoc District,</t>
    <phoneticPr fontId="14"/>
  </si>
  <si>
    <t xml:space="preserve"> Long An Province , VietNam</t>
    <phoneticPr fontId="14"/>
  </si>
  <si>
    <t xml:space="preserve"> TEL : :   ( 084 ) 097 22 00 798  ATTN : MR. TUAN</t>
    <phoneticPr fontId="14"/>
  </si>
  <si>
    <t>FABRIC &amp; PARTS FOR WEAR &amp; SAMPLE CLOTHES</t>
    <phoneticPr fontId="14"/>
  </si>
  <si>
    <t xml:space="preserve"> TEL : ( 084 ) 097 22 00 798  ATTN : MR. TUAN</t>
    <phoneticPr fontId="14"/>
  </si>
  <si>
    <r>
      <rPr>
        <b/>
        <i/>
        <sz val="10"/>
        <rFont val="ＭＳ Ｐゴシック"/>
        <family val="3"/>
        <charset val="128"/>
      </rPr>
      <t>搬入内容</t>
    </r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</si>
  <si>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IN</t>
    </r>
    <r>
      <rPr>
        <b/>
        <u/>
        <sz val="10"/>
        <rFont val="ＭＳ Ｐゴシック"/>
        <family val="3"/>
        <charset val="128"/>
      </rPr>
      <t>　</t>
    </r>
    <r>
      <rPr>
        <b/>
        <u/>
        <sz val="10"/>
        <rFont val="Century Gothic"/>
        <family val="2"/>
      </rPr>
      <t>JAPAN</t>
    </r>
    <phoneticPr fontId="14"/>
  </si>
  <si>
    <t xml:space="preserve"> C/NO.</t>
    <phoneticPr fontId="14"/>
  </si>
  <si>
    <t>INVOICE</t>
    <phoneticPr fontId="14"/>
  </si>
  <si>
    <t>IMPORTER</t>
    <phoneticPr fontId="13"/>
  </si>
  <si>
    <t>INVOICE NO.</t>
    <phoneticPr fontId="13"/>
  </si>
  <si>
    <t>CASE MARK</t>
    <phoneticPr fontId="13"/>
  </si>
  <si>
    <t>INVOICE DATE</t>
    <phoneticPr fontId="13"/>
  </si>
  <si>
    <t>CONTRACT NO.</t>
    <phoneticPr fontId="13"/>
  </si>
  <si>
    <t>CONSIGNEE</t>
    <phoneticPr fontId="13"/>
  </si>
  <si>
    <t xml:space="preserve">ORDER NO. </t>
    <phoneticPr fontId="13"/>
  </si>
  <si>
    <t>MADE  IN JAPAN</t>
    <phoneticPr fontId="14"/>
  </si>
  <si>
    <t>L/C NO.</t>
    <phoneticPr fontId="13"/>
  </si>
  <si>
    <t>PAYMENT METHOD</t>
    <phoneticPr fontId="13"/>
  </si>
  <si>
    <t>SHIPPED PER</t>
    <phoneticPr fontId="13"/>
  </si>
  <si>
    <t>FROM</t>
    <phoneticPr fontId="13"/>
  </si>
  <si>
    <t>TO</t>
    <phoneticPr fontId="13"/>
  </si>
  <si>
    <t xml:space="preserve"> </t>
    <phoneticPr fontId="13"/>
  </si>
  <si>
    <t>VIA</t>
    <phoneticPr fontId="13"/>
  </si>
  <si>
    <t>C/NO.</t>
    <phoneticPr fontId="13"/>
  </si>
  <si>
    <t>ART NO.</t>
    <phoneticPr fontId="14"/>
  </si>
  <si>
    <t xml:space="preserve">  DESCRIPTION  OF  GOODS</t>
    <phoneticPr fontId="13"/>
  </si>
  <si>
    <t>COLOR</t>
    <phoneticPr fontId="14"/>
  </si>
  <si>
    <t>SIZE</t>
    <phoneticPr fontId="14"/>
  </si>
  <si>
    <t>Q'TY</t>
    <phoneticPr fontId="13"/>
  </si>
  <si>
    <t>U/PRICE</t>
    <phoneticPr fontId="13"/>
  </si>
  <si>
    <t>AMOUNT</t>
    <phoneticPr fontId="13"/>
  </si>
  <si>
    <t>" NO COMMER VALUE</t>
    <phoneticPr fontId="14"/>
  </si>
  <si>
    <t>" NO COMMERCIAL VALUE</t>
    <phoneticPr fontId="14"/>
  </si>
  <si>
    <t xml:space="preserve">  VALUE FOR CUSTOMS PURPOSE ONLY "</t>
    <phoneticPr fontId="14"/>
  </si>
  <si>
    <t xml:space="preserve"> VALUE FOR CUSTOMS PURPOSE ONLY "</t>
    <phoneticPr fontId="14"/>
  </si>
  <si>
    <t>TOTAL CARTONS :</t>
    <phoneticPr fontId="14"/>
  </si>
  <si>
    <t>TOTAL GROSS WEIGHT :</t>
    <phoneticPr fontId="14"/>
  </si>
  <si>
    <t>KGS</t>
    <phoneticPr fontId="14"/>
  </si>
  <si>
    <t>LABEL SHEET -</t>
    <phoneticPr fontId="14"/>
  </si>
  <si>
    <t>原産国</t>
    <rPh sb="0" eb="3">
      <t>ゲンサンコク</t>
    </rPh>
    <phoneticPr fontId="14"/>
  </si>
  <si>
    <t>D17 Street , Sai Gon South Residential Area</t>
    <phoneticPr fontId="14"/>
  </si>
  <si>
    <t>TOTAL :</t>
  </si>
  <si>
    <t>PCS.</t>
  </si>
  <si>
    <t>WOVEN FABRIC</t>
  </si>
  <si>
    <t>M.</t>
    <phoneticPr fontId="14"/>
  </si>
  <si>
    <t>M.</t>
  </si>
  <si>
    <t>KNIT FABRIC</t>
    <phoneticPr fontId="14"/>
  </si>
  <si>
    <t>TOTAL</t>
    <phoneticPr fontId="56"/>
  </si>
  <si>
    <t>長繊維、プリント加工なし</t>
    <rPh sb="0" eb="1">
      <t>ナガ</t>
    </rPh>
    <rPh sb="1" eb="3">
      <t>センイ</t>
    </rPh>
    <phoneticPr fontId="14"/>
  </si>
  <si>
    <t>古着　プリント有</t>
    <rPh sb="0" eb="1">
      <t>フルギ</t>
    </rPh>
    <rPh sb="7" eb="8">
      <t>アリ</t>
    </rPh>
    <phoneticPr fontId="14"/>
  </si>
  <si>
    <t>made in USA</t>
    <phoneticPr fontId="14"/>
  </si>
  <si>
    <t>C/#MIX</t>
    <phoneticPr fontId="14"/>
  </si>
  <si>
    <t>COUNTRY OF ORIGIN : JAPAN,USA</t>
    <phoneticPr fontId="14"/>
  </si>
  <si>
    <t>c/#099 BLACK</t>
    <phoneticPr fontId="14"/>
  </si>
  <si>
    <t>used scarf</t>
    <phoneticPr fontId="14"/>
  </si>
  <si>
    <r>
      <t>COTTON 50%</t>
    </r>
    <r>
      <rPr>
        <b/>
        <sz val="10"/>
        <rFont val="Yu Gothic"/>
        <family val="2"/>
        <charset val="128"/>
      </rPr>
      <t>　POLYESTER 50%</t>
    </r>
    <phoneticPr fontId="14"/>
  </si>
  <si>
    <t>MADE  IN USA</t>
    <phoneticPr fontId="14"/>
  </si>
  <si>
    <t>1-2</t>
    <phoneticPr fontId="14"/>
  </si>
  <si>
    <t>KNIT FABRIC</t>
  </si>
  <si>
    <t>STYLE:26S-CS01(25SY-29)</t>
    <phoneticPr fontId="14"/>
  </si>
  <si>
    <t>短繊維、プリント加工なし</t>
    <rPh sb="0" eb="1">
      <t>タン</t>
    </rPh>
    <rPh sb="1" eb="3">
      <t>センイ</t>
    </rPh>
    <phoneticPr fontId="14"/>
  </si>
  <si>
    <t>COTTON100%</t>
    <phoneticPr fontId="14"/>
  </si>
  <si>
    <r>
      <t>WIDTH:180CM (227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</si>
  <si>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丸編みパイル編　裏毛　先染め</t>
    <rPh sb="0" eb="1">
      <t>ア</t>
    </rPh>
    <rPh sb="5" eb="6">
      <t>アミ</t>
    </rPh>
    <rPh sb="7" eb="9">
      <t>ウラケ</t>
    </rPh>
    <rPh sb="11" eb="13">
      <t>サキゾ</t>
    </rPh>
    <phoneticPr fontId="14"/>
  </si>
  <si>
    <t>7-8</t>
    <phoneticPr fontId="14"/>
  </si>
  <si>
    <t>COTTON 100%</t>
    <phoneticPr fontId="14"/>
  </si>
  <si>
    <t>11/6</t>
    <phoneticPr fontId="14"/>
  </si>
  <si>
    <t>綾織　後染め　ツイル</t>
    <rPh sb="0" eb="1">
      <t>アヤ</t>
    </rPh>
    <rPh sb="1" eb="2">
      <t>オリ</t>
    </rPh>
    <rPh sb="3" eb="4">
      <t>アト</t>
    </rPh>
    <phoneticPr fontId="14"/>
  </si>
  <si>
    <t>YG1072</t>
    <phoneticPr fontId="14"/>
  </si>
  <si>
    <t>丸編み パイル編　裏毛　後染め</t>
    <rPh sb="0" eb="1">
      <t>マルア</t>
    </rPh>
    <rPh sb="6" eb="7">
      <t>アミ</t>
    </rPh>
    <rPh sb="8" eb="10">
      <t>ウラケ</t>
    </rPh>
    <rPh sb="12" eb="14">
      <t>アトゾ</t>
    </rPh>
    <phoneticPr fontId="14"/>
  </si>
  <si>
    <r>
      <t>WIDTH:160CM (570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</si>
  <si>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c/#25 GRAY</t>
    <phoneticPr fontId="14"/>
  </si>
  <si>
    <t>c/#5 BLACK</t>
    <phoneticPr fontId="14"/>
  </si>
  <si>
    <t>STYLE:26S-PT02(25SY-16)</t>
    <phoneticPr fontId="14"/>
  </si>
  <si>
    <t xml:space="preserve">STYLE:574102			</t>
    <phoneticPr fontId="14"/>
  </si>
  <si>
    <t>c/#BLACK</t>
    <phoneticPr fontId="14"/>
  </si>
  <si>
    <t>c/#WHITE</t>
    <phoneticPr fontId="14"/>
  </si>
  <si>
    <t>c/#BLUE</t>
    <phoneticPr fontId="14"/>
  </si>
  <si>
    <t xml:space="preserve"> SHUNYA CO., LTD.</t>
  </si>
  <si>
    <t>MADE IN JAPAN</t>
  </si>
  <si>
    <t>MADE IN JAPAN</t>
    <phoneticPr fontId="14"/>
  </si>
  <si>
    <t>Nov, 13 2025</t>
    <phoneticPr fontId="14"/>
  </si>
  <si>
    <t>入庫NO.22077213</t>
    <rPh sb="0" eb="2">
      <t>ニュウコ</t>
    </rPh>
    <phoneticPr fontId="14"/>
  </si>
  <si>
    <t>012S0086110</t>
    <phoneticPr fontId="14"/>
  </si>
  <si>
    <t>平織　先染め　タイプライター</t>
    <rPh sb="0" eb="1">
      <t>ヒラオリ</t>
    </rPh>
    <rPh sb="2" eb="4">
      <t>サキゾ</t>
    </rPh>
    <phoneticPr fontId="14"/>
  </si>
  <si>
    <t>c/#100 WHITE</t>
    <phoneticPr fontId="14"/>
  </si>
  <si>
    <t>STYLE:26S-SH01(25SY-28),26S-SH02(25SY-19)</t>
    <phoneticPr fontId="14"/>
  </si>
  <si>
    <r>
      <t>WIDTH:145CM (145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</si>
  <si>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入庫NO.2207491</t>
    <rPh sb="0" eb="2">
      <t>ニュウコ</t>
    </rPh>
    <phoneticPr fontId="14"/>
  </si>
  <si>
    <t>11/18</t>
    <phoneticPr fontId="14"/>
  </si>
  <si>
    <t>3-6</t>
    <phoneticPr fontId="14"/>
  </si>
  <si>
    <t>027G0081935</t>
    <phoneticPr fontId="14"/>
  </si>
  <si>
    <t>c/#G01 GRAY</t>
    <phoneticPr fontId="14"/>
  </si>
  <si>
    <t>入庫NO.22077572</t>
    <rPh sb="0" eb="2">
      <t>ニュウコ</t>
    </rPh>
    <phoneticPr fontId="14"/>
  </si>
  <si>
    <t>11/21</t>
    <phoneticPr fontId="14"/>
  </si>
  <si>
    <t>43887</t>
    <phoneticPr fontId="14"/>
  </si>
  <si>
    <t>c/#52 WHITE</t>
    <phoneticPr fontId="14"/>
  </si>
  <si>
    <t>STYLE:cc26ss-22</t>
    <phoneticPr fontId="14"/>
  </si>
  <si>
    <t>入庫NO.22077600</t>
    <rPh sb="0" eb="2">
      <t>ニュウコ</t>
    </rPh>
    <phoneticPr fontId="14"/>
  </si>
  <si>
    <t>9</t>
    <phoneticPr fontId="14"/>
  </si>
  <si>
    <t>used denim pants</t>
    <phoneticPr fontId="14"/>
  </si>
  <si>
    <t>STYLE:cc26ss-52,cc26ss-48,cc26ss-54</t>
    <phoneticPr fontId="14"/>
  </si>
  <si>
    <t>入庫NO.2207735</t>
    <rPh sb="0" eb="2">
      <t>ニュウコ</t>
    </rPh>
    <phoneticPr fontId="14"/>
  </si>
  <si>
    <t>12/1</t>
    <phoneticPr fontId="14"/>
  </si>
  <si>
    <t>used lace cloth</t>
    <phoneticPr fontId="14"/>
  </si>
  <si>
    <t>古着</t>
    <rPh sb="0" eb="1">
      <t>フルギ</t>
    </rPh>
    <phoneticPr fontId="14"/>
  </si>
  <si>
    <t>made in JAPAN</t>
    <phoneticPr fontId="14"/>
  </si>
  <si>
    <t>チュール 後染め</t>
    <rPh sb="4" eb="6">
      <t>アトゾ</t>
    </rPh>
    <phoneticPr fontId="14"/>
  </si>
  <si>
    <t>NYLON100%</t>
    <phoneticPr fontId="14"/>
  </si>
  <si>
    <r>
      <t>WIDTH:130CM (30</t>
    </r>
    <r>
      <rPr>
        <b/>
        <sz val="10"/>
        <color theme="1"/>
        <rFont val="Yu Gothic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Microsoft YaHei"/>
        <family val="3"/>
        <charset val="134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</si>
  <si>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KG.</t>
    <phoneticPr fontId="14"/>
  </si>
  <si>
    <t>10-11</t>
    <phoneticPr fontId="14"/>
  </si>
  <si>
    <t>5001-01</t>
    <phoneticPr fontId="14"/>
  </si>
  <si>
    <t>men's crew neck T-shirt</t>
    <phoneticPr fontId="14"/>
  </si>
  <si>
    <r>
      <rPr>
        <b/>
        <sz val="10"/>
        <color rgb="FFFF0000"/>
        <rFont val="Yu Gothic"/>
        <family val="2"/>
        <charset val="128"/>
      </rPr>
      <t>短</t>
    </r>
    <r>
      <rPr>
        <b/>
        <sz val="10"/>
        <color rgb="FFFF0000"/>
        <rFont val="ＭＳ Ｐゴシック"/>
        <family val="2"/>
        <charset val="128"/>
      </rPr>
      <t>繊維 天竺 テクスチャード加工無し</t>
    </r>
    <rPh sb="0" eb="1">
      <t>タン</t>
    </rPh>
    <rPh sb="1" eb="3">
      <t>センイ</t>
    </rPh>
    <rPh sb="4" eb="6">
      <t>テンジク</t>
    </rPh>
    <rPh sb="13" eb="15">
      <t>カコウ</t>
    </rPh>
    <rPh sb="15" eb="16">
      <t>ナ</t>
    </rPh>
    <phoneticPr fontId="14"/>
  </si>
  <si>
    <t>C/#191 WHITE</t>
    <phoneticPr fontId="14"/>
  </si>
  <si>
    <t>C/#087 NAVY</t>
    <phoneticPr fontId="14"/>
  </si>
  <si>
    <t>C/#165 BLACK</t>
    <phoneticPr fontId="14"/>
  </si>
  <si>
    <t>STYLE: bd26-001/bd26-004</t>
    <phoneticPr fontId="56"/>
  </si>
  <si>
    <t>c/#369 YELLOW</t>
    <phoneticPr fontId="14"/>
  </si>
  <si>
    <t>入庫NO.22078120</t>
    <rPh sb="0" eb="2">
      <t>ニュウコ</t>
    </rPh>
    <phoneticPr fontId="14"/>
  </si>
  <si>
    <t>12/18</t>
    <phoneticPr fontId="14"/>
  </si>
  <si>
    <t>12-14</t>
    <phoneticPr fontId="14"/>
  </si>
  <si>
    <t>15-17</t>
    <phoneticPr fontId="14"/>
  </si>
  <si>
    <t>PRESTIGE plastic bag</t>
    <phoneticPr fontId="14"/>
  </si>
  <si>
    <t>c/#CLEAR</t>
    <phoneticPr fontId="14"/>
  </si>
  <si>
    <t>STYLE: 26S-CS01,26S-JK01,26S-JK02,26S-JK03,26S-PT02,26S-PT03,26S-PT04,26S-PT05,26S-SH01,26S-SH02,26S-SH03,26S-SH04,26S-TE03</t>
    <phoneticPr fontId="56"/>
  </si>
  <si>
    <t>入庫NO.22077921</t>
    <rPh sb="0" eb="2">
      <t>ニュウコ</t>
    </rPh>
    <phoneticPr fontId="14"/>
  </si>
  <si>
    <t>入庫NO.22077951</t>
    <rPh sb="0" eb="2">
      <t>ニュウコ</t>
    </rPh>
    <phoneticPr fontId="14"/>
  </si>
  <si>
    <t>12/9</t>
    <phoneticPr fontId="14"/>
  </si>
  <si>
    <t>12/10</t>
    <phoneticPr fontId="14"/>
  </si>
  <si>
    <t>c/#701 BEIGE</t>
    <phoneticPr fontId="14"/>
  </si>
  <si>
    <t>c/#1 BLACK</t>
    <phoneticPr fontId="14"/>
  </si>
  <si>
    <t>CUPRA55% POLYESTER45%</t>
    <phoneticPr fontId="14"/>
  </si>
  <si>
    <r>
      <t>WIDTH:122CM (112</t>
    </r>
    <r>
      <rPr>
        <b/>
        <sz val="10"/>
        <color theme="1"/>
        <rFont val="ＭＳ ゴシック"/>
        <family val="3"/>
        <charset val="128"/>
      </rPr>
      <t>ｇ</t>
    </r>
    <r>
      <rPr>
        <b/>
        <sz val="10"/>
        <color theme="1"/>
        <rFont val="Century Gothic"/>
        <family val="2"/>
      </rPr>
      <t>/</t>
    </r>
    <r>
      <rPr>
        <b/>
        <sz val="10"/>
        <color theme="1"/>
        <rFont val="ＭＳ ゴシック"/>
        <family val="3"/>
        <charset val="128"/>
      </rPr>
      <t>㎡</t>
    </r>
    <r>
      <rPr>
        <b/>
        <sz val="10"/>
        <color theme="1"/>
        <rFont val="Century Gothic"/>
        <family val="2"/>
      </rPr>
      <t xml:space="preserve"> )</t>
    </r>
    <phoneticPr fontId="14"/>
  </si>
  <si>
    <t>12/19</t>
    <phoneticPr fontId="14"/>
  </si>
  <si>
    <t>AKE7046</t>
    <phoneticPr fontId="14"/>
  </si>
  <si>
    <t>PRESTIGE paper hang tag</t>
    <phoneticPr fontId="14"/>
  </si>
  <si>
    <t>PRESTIGE hang tag</t>
    <phoneticPr fontId="14"/>
  </si>
  <si>
    <t>18</t>
    <phoneticPr fontId="14"/>
  </si>
  <si>
    <t>入庫NO.22078168</t>
    <rPh sb="0" eb="2">
      <t>ニュウコ</t>
    </rPh>
    <phoneticPr fontId="14"/>
  </si>
  <si>
    <t>搬入内容</t>
    <rPh sb="0" eb="2">
      <t>ハンニュウ</t>
    </rPh>
    <phoneticPr fontId="14"/>
  </si>
  <si>
    <r>
      <t>MADE</t>
    </r>
    <r>
      <rPr>
        <b/>
        <u/>
        <sz val="10"/>
        <rFont val="ＭＳ Ｐゴシック"/>
        <family val="3"/>
        <charset val="128"/>
      </rPr>
      <t>　IN　JAPAN</t>
    </r>
    <phoneticPr fontId="14"/>
  </si>
  <si>
    <t>NSL</t>
  </si>
  <si>
    <t>COTTON 100% PIECE-DYED SLEEK</t>
  </si>
  <si>
    <t>metal ZIPPER</t>
    <phoneticPr fontId="14"/>
  </si>
  <si>
    <t>BK</t>
  </si>
  <si>
    <t>2002S</t>
  </si>
  <si>
    <t>OW</t>
  </si>
  <si>
    <t>SET.</t>
    <phoneticPr fontId="14"/>
  </si>
  <si>
    <t>09</t>
  </si>
  <si>
    <t>5RA　C　DA8</t>
  </si>
  <si>
    <t>ZIPPER</t>
  </si>
  <si>
    <t>19CM #560-12 #580-12</t>
  </si>
  <si>
    <t>20CM #560-13 #580-13</t>
  </si>
  <si>
    <t>3YGRDS C GSN8</t>
  </si>
  <si>
    <t>100CM #560-4 #580-4</t>
  </si>
  <si>
    <t>102CM  #560-8 #580-8</t>
  </si>
  <si>
    <t>104CM  #560-8 #580-8</t>
  </si>
  <si>
    <t>106CM  #560-5 #580-5</t>
  </si>
  <si>
    <t>15BURR E 2779-2910</t>
  </si>
  <si>
    <t>19CM #560-5 #580-10</t>
  </si>
  <si>
    <t>20CM #560-5 #580-10</t>
  </si>
  <si>
    <t>Ｂ204</t>
  </si>
  <si>
    <t>Ｗ</t>
  </si>
  <si>
    <t>5RA OP DA8</t>
  </si>
  <si>
    <t>74CM #580-4 #572-4 #061-2</t>
  </si>
  <si>
    <t>77CM #580-12 #572-8 #061-2</t>
  </si>
  <si>
    <t>80CM #580-18 #572-8 #061-2</t>
  </si>
  <si>
    <t>66.5CM #580-4 #572-4 #061-2</t>
  </si>
  <si>
    <t>68CM #580-12 #572-8 #061-2</t>
  </si>
  <si>
    <t>69.5CM #580-18 #572-8 #061-2</t>
  </si>
  <si>
    <t>B204</t>
  </si>
  <si>
    <t>A400</t>
  </si>
  <si>
    <t>#31-34 #10-20 #6-6</t>
  </si>
  <si>
    <t>SIC3140 2.5MM</t>
  </si>
  <si>
    <t xml:space="preserve">#50-1 #70-1 </t>
  </si>
  <si>
    <t>#132</t>
  </si>
  <si>
    <t>#3-19 #1-2-26 #5-8</t>
  </si>
  <si>
    <t>3MA C DA</t>
  </si>
  <si>
    <t>#551-25 #580-35 #087-10</t>
  </si>
  <si>
    <t>22208 M</t>
  </si>
  <si>
    <t>#9-2 #31-3 #8-1</t>
  </si>
  <si>
    <t>#9</t>
  </si>
  <si>
    <t>UNUT</t>
  </si>
  <si>
    <t>#01-51 #09-71 #43-21</t>
  </si>
  <si>
    <t>#45-23 #BK-29 #301-6</t>
  </si>
  <si>
    <t>#224-6 #1-2-8 #15-2</t>
  </si>
  <si>
    <t>5RA M DA8*DA8</t>
  </si>
  <si>
    <t>54.5CM #334-4 #580-3 #344-1</t>
  </si>
  <si>
    <t>56CM  #334-8 #580-11 #344-2</t>
  </si>
  <si>
    <t>57.5CM  #334-8 #580-11 #344-2</t>
  </si>
  <si>
    <t>56.5CM  #181-2 #580-2 #274-2</t>
  </si>
  <si>
    <t>58CM  #181-12 #580-12 #274-4</t>
  </si>
  <si>
    <t>59.5CM  #181-16 #580-16 #274-4</t>
  </si>
  <si>
    <t>A500</t>
  </si>
  <si>
    <t>#33-1 #BK-1 #50-1</t>
  </si>
  <si>
    <t>#BK-51 #4-17 #5-33</t>
  </si>
  <si>
    <t>60CM #580-4 #257-2 #181-2</t>
  </si>
  <si>
    <t>61.5CM  #580-14 #257-4 #181-10</t>
  </si>
  <si>
    <t>63CM  #580-12 #257-4 #181-8</t>
  </si>
  <si>
    <t>5RA C DA8</t>
  </si>
  <si>
    <t>20.5CM #580-2  #572-1 #061-1</t>
  </si>
  <si>
    <t>21CM  #580-6  #572-4 #061-1</t>
  </si>
  <si>
    <t>21.5CM  #580-8  #572-6 #061-1</t>
  </si>
  <si>
    <t>38CM  #580-2  #572-1 #061-1</t>
  </si>
  <si>
    <t>40CM  #580-6  #572-4 #061-1</t>
  </si>
  <si>
    <t>42CM  #580-8  #572-6 #061-1</t>
  </si>
  <si>
    <t>5RA OP DA8(R)</t>
  </si>
  <si>
    <t>44CM  #580-2  #572-1 #061-1</t>
  </si>
  <si>
    <t>46CM  #580-6  #572-4 #061-1</t>
  </si>
  <si>
    <t>48CM  #580-8  #572-6 #061-1</t>
  </si>
  <si>
    <t>5RA OP DA8(L)</t>
  </si>
  <si>
    <t>PX M 24L</t>
  </si>
  <si>
    <t>#1458-100 #2002-100</t>
  </si>
  <si>
    <t>PACKING</t>
  </si>
  <si>
    <t>19CM   #580-35  #257-5  #181-10</t>
  </si>
  <si>
    <t>12CM  #580-35  #257-5  #181-10</t>
  </si>
  <si>
    <t>RO-3</t>
  </si>
  <si>
    <t>S2</t>
  </si>
  <si>
    <t>AZP6540F</t>
  </si>
  <si>
    <t>N</t>
  </si>
  <si>
    <t>8MM</t>
  </si>
  <si>
    <t>AZP6541F</t>
  </si>
  <si>
    <t>PIPING</t>
  </si>
  <si>
    <t>14MM  #1127  66M</t>
  </si>
  <si>
    <t>S30</t>
  </si>
  <si>
    <t>10MM  60M</t>
  </si>
  <si>
    <t>1-1</t>
  </si>
  <si>
    <t>TAPE 10MM</t>
  </si>
  <si>
    <t>3YGRKB C GSN8</t>
  </si>
  <si>
    <t>20CM  #580-25  #560-17</t>
  </si>
  <si>
    <r>
      <t xml:space="preserve">BURR </t>
    </r>
    <r>
      <rPr>
        <b/>
        <sz val="10"/>
        <rFont val="Yu Gothic"/>
        <family val="2"/>
        <charset val="128"/>
      </rPr>
      <t>素材：真鍮</t>
    </r>
    <rPh sb="5" eb="7">
      <t>ソザイ</t>
    </rPh>
    <rPh sb="8" eb="10">
      <t>シンチュウ</t>
    </rPh>
    <phoneticPr fontId="14"/>
  </si>
  <si>
    <r>
      <t xml:space="preserve">WAIST ELASTIC (30M) </t>
    </r>
    <r>
      <rPr>
        <b/>
        <sz val="10"/>
        <rFont val="Yu Gothic"/>
        <family val="2"/>
        <charset val="128"/>
      </rPr>
      <t>素材：ポリエステル 芯：ポリウレタン</t>
    </r>
    <rPh sb="20" eb="22">
      <t>ソザイ</t>
    </rPh>
    <rPh sb="30" eb="31">
      <t>シン</t>
    </rPh>
    <phoneticPr fontId="14"/>
  </si>
  <si>
    <r>
      <t xml:space="preserve">WAIST ELASTIC (30M) </t>
    </r>
    <r>
      <rPr>
        <b/>
        <sz val="10"/>
        <rFont val="Yu Gothic"/>
        <family val="2"/>
        <charset val="128"/>
      </rPr>
      <t>素材：ポリエステル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芯：ポリウレタン</t>
    </r>
    <rPh sb="20" eb="22">
      <t>ソザイ</t>
    </rPh>
    <rPh sb="30" eb="31">
      <t>シン</t>
    </rPh>
    <phoneticPr fontId="14"/>
  </si>
  <si>
    <r>
      <t xml:space="preserve">(SV)CHIPD CORD   200CM </t>
    </r>
    <r>
      <rPr>
        <b/>
        <sz val="10"/>
        <rFont val="Yu Gothic"/>
        <family val="2"/>
        <charset val="128"/>
      </rPr>
      <t>素材：アクリル　先端チップ素材：真鍮</t>
    </r>
    <rPh sb="23" eb="25">
      <t>ソザイ</t>
    </rPh>
    <rPh sb="31" eb="33">
      <t>センタン</t>
    </rPh>
    <rPh sb="36" eb="38">
      <t>ソザイ</t>
    </rPh>
    <rPh sb="39" eb="41">
      <t>シンチュウ</t>
    </rPh>
    <phoneticPr fontId="14"/>
  </si>
  <si>
    <r>
      <t xml:space="preserve">ELASTIC CORD  (50M) </t>
    </r>
    <r>
      <rPr>
        <b/>
        <sz val="10"/>
        <rFont val="Yu Gothic"/>
        <family val="2"/>
        <charset val="128"/>
      </rPr>
      <t>素材：ポリエステル100%</t>
    </r>
    <rPh sb="20" eb="22">
      <t>ソザイ</t>
    </rPh>
    <phoneticPr fontId="14"/>
  </si>
  <si>
    <t>AST1018</t>
    <phoneticPr fontId="14"/>
  </si>
  <si>
    <r>
      <t>STOPPER</t>
    </r>
    <r>
      <rPr>
        <b/>
        <sz val="10"/>
        <rFont val="Yu Gothic"/>
        <family val="2"/>
        <charset val="128"/>
      </rPr>
      <t>　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素材：ナイロン</t>
    </r>
    <r>
      <rPr>
        <b/>
        <sz val="10"/>
        <rFont val="Century Gothic"/>
        <family val="2"/>
      </rPr>
      <t>/</t>
    </r>
    <r>
      <rPr>
        <b/>
        <sz val="10"/>
        <rFont val="Yu Gothic"/>
        <family val="2"/>
        <charset val="128"/>
      </rPr>
      <t>ステンレス</t>
    </r>
    <phoneticPr fontId="14"/>
  </si>
  <si>
    <r>
      <t>COTTON 100% PIECE-DYED SLEEK</t>
    </r>
    <r>
      <rPr>
        <b/>
        <sz val="10"/>
        <rFont val="Yu Gothic"/>
        <family val="2"/>
        <charset val="128"/>
      </rPr>
      <t>　平織</t>
    </r>
    <rPh sb="29" eb="31">
      <t>ヒラオリ</t>
    </rPh>
    <phoneticPr fontId="14"/>
  </si>
  <si>
    <t>metal ZIPPER 16CM</t>
    <phoneticPr fontId="14"/>
  </si>
  <si>
    <r>
      <t xml:space="preserve">CORD (50M) </t>
    </r>
    <r>
      <rPr>
        <b/>
        <sz val="10"/>
        <rFont val="Yu Gothic"/>
        <family val="2"/>
        <charset val="128"/>
      </rPr>
      <t>素材：アクリル100%</t>
    </r>
    <rPh sb="11" eb="13">
      <t>ソザイ</t>
    </rPh>
    <phoneticPr fontId="14"/>
  </si>
  <si>
    <r>
      <t xml:space="preserve">WAIST ELASTIC 30MM (30M) </t>
    </r>
    <r>
      <rPr>
        <b/>
        <sz val="10"/>
        <rFont val="Yu Gothic"/>
        <family val="2"/>
        <charset val="128"/>
      </rPr>
      <t>素材：ポリエステル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芯：ポリウレタン</t>
    </r>
    <phoneticPr fontId="14"/>
  </si>
  <si>
    <r>
      <t xml:space="preserve">BUTTONS </t>
    </r>
    <r>
      <rPr>
        <b/>
        <sz val="10"/>
        <rFont val="Yu Gothic"/>
        <family val="2"/>
        <charset val="128"/>
      </rPr>
      <t>材質：ユリア樹脂</t>
    </r>
    <rPh sb="8" eb="10">
      <t>ザイシツ</t>
    </rPh>
    <rPh sb="14" eb="16">
      <t>ジュシ</t>
    </rPh>
    <phoneticPr fontId="14"/>
  </si>
  <si>
    <r>
      <t>LINING</t>
    </r>
    <r>
      <rPr>
        <b/>
        <sz val="10"/>
        <rFont val="Yu Gothic"/>
        <family val="2"/>
        <charset val="128"/>
      </rPr>
      <t>　素材：ポリエステル100%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綾織ツイル 先染め</t>
    </r>
    <rPh sb="7" eb="9">
      <t>ソザイ</t>
    </rPh>
    <rPh sb="21" eb="23">
      <t>アヤオリ</t>
    </rPh>
    <rPh sb="27" eb="29">
      <t>サキゾ</t>
    </rPh>
    <phoneticPr fontId="14"/>
  </si>
  <si>
    <r>
      <t xml:space="preserve">CORD (50M) </t>
    </r>
    <r>
      <rPr>
        <b/>
        <sz val="10"/>
        <rFont val="Yu Gothic"/>
        <family val="2"/>
        <charset val="128"/>
      </rPr>
      <t>素材：アクリル</t>
    </r>
    <r>
      <rPr>
        <b/>
        <sz val="10"/>
        <rFont val="Century Gothic"/>
        <family val="2"/>
      </rPr>
      <t>100%</t>
    </r>
    <rPh sb="11" eb="13">
      <t>ソザイ</t>
    </rPh>
    <phoneticPr fontId="14"/>
  </si>
  <si>
    <t>CXE3000</t>
    <phoneticPr fontId="14"/>
  </si>
  <si>
    <r>
      <t xml:space="preserve">LINING </t>
    </r>
    <r>
      <rPr>
        <b/>
        <sz val="10"/>
        <rFont val="Yu Gothic"/>
        <family val="2"/>
        <charset val="128"/>
      </rPr>
      <t>素材：ポリエステル100% メッシュ 先染め</t>
    </r>
    <rPh sb="7" eb="9">
      <t>ソザイ</t>
    </rPh>
    <rPh sb="26" eb="28">
      <t>サキゾ</t>
    </rPh>
    <phoneticPr fontId="14"/>
  </si>
  <si>
    <r>
      <t xml:space="preserve">WAIST ELASTIC  35MM  (30M) </t>
    </r>
    <r>
      <rPr>
        <b/>
        <sz val="10"/>
        <rFont val="Yu Gothic"/>
        <family val="2"/>
        <charset val="128"/>
      </rPr>
      <t>素材：ポリエステル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芯：ポリウレタン</t>
    </r>
    <phoneticPr fontId="14"/>
  </si>
  <si>
    <r>
      <t>W-100 BK-100</t>
    </r>
    <r>
      <rPr>
        <b/>
        <sz val="10"/>
        <rFont val="Yu Gothic"/>
        <family val="2"/>
        <charset val="128"/>
      </rPr>
      <t>　素材：ポリエステル100%</t>
    </r>
    <rPh sb="13" eb="15">
      <t>ソザイ</t>
    </rPh>
    <phoneticPr fontId="14"/>
  </si>
  <si>
    <r>
      <t xml:space="preserve">DOT BUTTONS </t>
    </r>
    <r>
      <rPr>
        <b/>
        <sz val="10"/>
        <rFont val="Yu Gothic"/>
        <family val="2"/>
        <charset val="128"/>
      </rPr>
      <t>素材：真鍮</t>
    </r>
    <rPh sb="12" eb="14">
      <t>ソザイ</t>
    </rPh>
    <rPh sb="15" eb="17">
      <t>シンチュウ</t>
    </rPh>
    <phoneticPr fontId="14"/>
  </si>
  <si>
    <r>
      <t xml:space="preserve">CORD  185CM </t>
    </r>
    <r>
      <rPr>
        <b/>
        <sz val="10"/>
        <rFont val="Yu Gothic"/>
        <family val="2"/>
        <charset val="128"/>
      </rPr>
      <t>素材：アクリル100%</t>
    </r>
    <rPh sb="12" eb="14">
      <t>ソザイ</t>
    </rPh>
    <phoneticPr fontId="14"/>
  </si>
  <si>
    <r>
      <t xml:space="preserve">LINING </t>
    </r>
    <r>
      <rPr>
        <b/>
        <sz val="10"/>
        <rFont val="Yu Gothic"/>
        <family val="2"/>
        <charset val="128"/>
      </rPr>
      <t>素材：ポリエステル</t>
    </r>
    <r>
      <rPr>
        <b/>
        <sz val="10"/>
        <rFont val="Century Gothic"/>
        <family val="2"/>
      </rPr>
      <t xml:space="preserve">100% </t>
    </r>
    <r>
      <rPr>
        <b/>
        <sz val="10"/>
        <rFont val="Yu Gothic"/>
        <family val="2"/>
        <charset val="128"/>
      </rPr>
      <t>綾織ツイル</t>
    </r>
    <r>
      <rPr>
        <b/>
        <sz val="10"/>
        <rFont val="Century Gothic"/>
        <family val="2"/>
      </rPr>
      <t xml:space="preserve"> </t>
    </r>
    <r>
      <rPr>
        <b/>
        <sz val="10"/>
        <rFont val="Yu Gothic"/>
        <family val="2"/>
        <charset val="128"/>
      </rPr>
      <t>先染め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</si>
  <si>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</t>
    </r>
    <r>
      <rPr>
        <b/>
        <sz val="11"/>
        <color rgb="FFFF0000"/>
        <rFont val="Century Gothic"/>
        <family val="2"/>
      </rPr>
      <t>cc25ss-22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</si>
  <si>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</t>
    </r>
    <r>
      <rPr>
        <b/>
        <sz val="11"/>
        <color rgb="FFFF0000"/>
        <rFont val="Century Gothic"/>
        <family val="2"/>
      </rPr>
      <t>cc26ss-48,cc26ss-52.cc26ss-54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</si>
  <si>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</t>
    </r>
    <r>
      <rPr>
        <b/>
        <sz val="11"/>
        <color rgb="FFFF0000"/>
        <rFont val="Century Gothic"/>
        <family val="2"/>
      </rPr>
      <t>cc25ss-60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</si>
  <si>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S-PT01(25SY-17)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</si>
  <si>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</t>
    </r>
    <r>
      <rPr>
        <b/>
        <sz val="10"/>
        <color rgb="FFFF0000"/>
        <rFont val="Century Gothic"/>
        <family val="2"/>
      </rPr>
      <t>26S-PT02(25SY-16)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</si>
  <si>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S-PT03(25SY-21)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</si>
  <si>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S-PT05(25SY-39)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</si>
  <si>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S-JK01(25SY-22)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</si>
  <si>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S-CS01(25SY-29)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</si>
  <si>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S-JK03(25SY-38)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</si>
  <si>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S-JK02(25SY-23)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</si>
  <si>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：26</t>
    </r>
    <r>
      <rPr>
        <b/>
        <sz val="10"/>
        <color rgb="FFFF0000"/>
        <rFont val="Century Gothic"/>
        <family val="2"/>
      </rPr>
      <t>S-PT04(25SY-37)</t>
    </r>
    <phoneticPr fontId="14"/>
  </si>
  <si>
    <t>19-21</t>
    <phoneticPr fontId="14"/>
  </si>
  <si>
    <t>21CARTONS</t>
    <phoneticPr fontId="14"/>
  </si>
  <si>
    <t>ROLL.</t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</si>
  <si>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S-PT04(25SY-37)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</si>
  <si>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S-JK02(25SY-23)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</si>
  <si>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S-JK03(25SY-38)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</si>
  <si>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S-CS01(25SY-29)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</si>
  <si>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S-JK01(25SY-22)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</si>
  <si>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S-PT05(25SY-39)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</si>
  <si>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S-PT03(25SY-21)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</si>
  <si>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</t>
    </r>
    <r>
      <rPr>
        <b/>
        <sz val="11"/>
        <color rgb="FFFF0000"/>
        <rFont val="Century Gothic"/>
        <family val="2"/>
      </rPr>
      <t>26S-PT02(25SY-16)</t>
    </r>
    <phoneticPr fontId="14"/>
  </si>
  <si>
    <r>
      <t>STYLE</t>
    </r>
    <r>
      <rPr>
        <b/>
        <sz val="11"/>
        <color rgb="FFFF0000"/>
        <rFont val="Yu Gothic"/>
        <family val="2"/>
        <charset val="128"/>
      </rPr>
      <t>：26</t>
    </r>
    <r>
      <rPr>
        <b/>
        <sz val="11"/>
        <color rgb="FFFF0000"/>
        <rFont val="Century Gothic"/>
        <family val="2"/>
      </rPr>
      <t>S-PT01(25SY-17)</t>
    </r>
    <phoneticPr fontId="14"/>
  </si>
  <si>
    <t>佐川　4529-7621-8295</t>
    <phoneticPr fontId="14"/>
  </si>
  <si>
    <t>12/22</t>
    <phoneticPr fontId="14"/>
  </si>
  <si>
    <r>
      <t>MADE IN U</t>
    </r>
    <r>
      <rPr>
        <sz val="12"/>
        <rFont val="游ゴシック"/>
        <family val="1"/>
        <charset val="128"/>
      </rPr>
      <t>.S.A</t>
    </r>
    <phoneticPr fontId="14"/>
  </si>
  <si>
    <t>made in CHINA</t>
    <phoneticPr fontId="14"/>
  </si>
  <si>
    <t>MADE IN CHINA</t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</si>
  <si>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</t>
    </r>
    <r>
      <rPr>
        <b/>
        <sz val="10"/>
        <color rgb="FFFF0000"/>
        <rFont val="Century Gothic"/>
        <family val="2"/>
      </rPr>
      <t>cc25ss-22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</si>
  <si>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</t>
    </r>
    <r>
      <rPr>
        <b/>
        <sz val="10"/>
        <color rgb="FFFF0000"/>
        <rFont val="Century Gothic"/>
        <family val="2"/>
      </rPr>
      <t>cc25ss-60</t>
    </r>
    <phoneticPr fontId="14"/>
  </si>
  <si>
    <r>
      <t>STYLE</t>
    </r>
    <r>
      <rPr>
        <b/>
        <sz val="10"/>
        <color rgb="FFFF0000"/>
        <rFont val="Yu Gothic"/>
        <family val="2"/>
        <charset val="128"/>
      </rPr>
      <t>：</t>
    </r>
    <r>
      <rPr>
        <b/>
        <sz val="10"/>
        <color rgb="FFFF0000"/>
        <rFont val="Century Gothic"/>
        <family val="2"/>
      </rPr>
      <t>cc26ss-48,cc26ss-52.cc26ss-54</t>
    </r>
    <phoneticPr fontId="14"/>
  </si>
  <si>
    <t>18CARTONS</t>
    <phoneticPr fontId="14"/>
  </si>
  <si>
    <t>3CARTONS</t>
    <phoneticPr fontId="14"/>
  </si>
  <si>
    <t xml:space="preserve"> C/NO. 1-21</t>
    <phoneticPr fontId="14"/>
  </si>
  <si>
    <t>MADE  IN CHINA</t>
    <phoneticPr fontId="14"/>
  </si>
  <si>
    <t>Dec, 22 2025</t>
    <phoneticPr fontId="14"/>
  </si>
  <si>
    <t xml:space="preserve"> SY-7801222-VT-DD-01</t>
    <phoneticPr fontId="14"/>
  </si>
  <si>
    <t>21PACKAGES</t>
    <phoneticPr fontId="14"/>
  </si>
  <si>
    <t>687M. 3189PCS. 10KG. 500SET. 25ROLL.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</si>
</sst>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¥&quot;#,##0;[Red]&quot;¥&quot;\-#,##0"/>
    <numFmt numFmtId="26" formatCode="\$#,##0.00_);[Red]\(\$#,##0.00\)"/>
    <numFmt numFmtId="176" formatCode="_(* #,##0_);_(* \(#,##0\);_(* &quot;-&quot;_);_(@_)"/>
    <numFmt numFmtId="177" formatCode="&quot;¥&quot;#,##0_);\(&quot;¥&quot;#,##0\)"/>
    <numFmt numFmtId="178" formatCode="&quot;¥&quot;#,##0_);[Red]\(&quot;¥&quot;#,##0\)"/>
    <numFmt numFmtId="179" formatCode="#,##0.0"/>
    <numFmt numFmtId="180" formatCode="#,##0.0_);\(#,##0.0\)"/>
    <numFmt numFmtId="181" formatCode="_(* #,##0.0_);_(* \(#,##0.0\);_(* &quot;-&quot;_);_(@_)"/>
    <numFmt numFmtId="182" formatCode="[$€-410]\ #,##0.00_);[Red]\([$€-410]\ #,##0.00\)"/>
    <numFmt numFmtId="183" formatCode="[$€-410]\ #,##0.00;\-[$€-410]\ #,##0.00"/>
  </numFmts>
  <fonts count="73">
    <font>
      <sz val="12"/>
      <name val="新細明體"/>
      <family val="1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2"/>
      <name val="新細明體"/>
      <family val="1"/>
    </font>
    <font>
      <sz val="9"/>
      <name val="新細明體"/>
      <family val="1"/>
    </font>
    <font>
      <u/>
      <sz val="12"/>
      <color indexed="12"/>
      <name val="新細明體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sz val="10"/>
      <name val="ＭＳ Ｐゴシック"/>
      <family val="3"/>
      <charset val="128"/>
    </font>
    <font>
      <b/>
      <u/>
      <sz val="10"/>
      <name val="Century Gothic"/>
      <family val="2"/>
    </font>
    <font>
      <b/>
      <i/>
      <sz val="10"/>
      <name val="Century Gothic"/>
      <family val="2"/>
    </font>
    <font>
      <u/>
      <sz val="10"/>
      <color indexed="12"/>
      <name val="Verdana"/>
      <family val="2"/>
    </font>
    <font>
      <b/>
      <sz val="10"/>
      <color indexed="10"/>
      <name val="Century Gothic"/>
      <family val="2"/>
    </font>
    <font>
      <sz val="10"/>
      <color indexed="10"/>
      <name val="Century Gothic"/>
      <family val="2"/>
    </font>
    <font>
      <b/>
      <sz val="10"/>
      <name val="Century Gothic"/>
      <family val="2"/>
    </font>
    <font>
      <b/>
      <i/>
      <sz val="10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1"/>
      <name val="Century Gothic"/>
      <family val="2"/>
    </font>
    <font>
      <b/>
      <sz val="10"/>
      <color rgb="FFFF0000"/>
      <name val="Century Gothic"/>
      <family val="2"/>
    </font>
    <font>
      <b/>
      <sz val="10"/>
      <color rgb="FFFF0000"/>
      <name val="ＭＳ Ｐゴシック"/>
      <family val="3"/>
      <charset val="128"/>
    </font>
    <font>
      <b/>
      <u/>
      <sz val="10"/>
      <color theme="3"/>
      <name val="Century Gothic"/>
      <family val="2"/>
    </font>
    <font>
      <b/>
      <u/>
      <sz val="10"/>
      <name val="ＭＳ Ｐゴシック"/>
      <family val="3"/>
      <charset val="128"/>
    </font>
    <font>
      <b/>
      <sz val="10"/>
      <color rgb="FFFF0000"/>
      <name val="ＭＳ Ｐゴシック"/>
      <family val="2"/>
      <charset val="128"/>
    </font>
    <font>
      <b/>
      <sz val="10"/>
      <name val="ＭＳ Ｐゴシック"/>
      <family val="2"/>
      <charset val="128"/>
    </font>
    <font>
      <b/>
      <u/>
      <sz val="10"/>
      <color theme="1"/>
      <name val="Century Gothic"/>
      <family val="2"/>
    </font>
    <font>
      <b/>
      <sz val="10"/>
      <color rgb="FFFF0000"/>
      <name val="MS PGothic"/>
      <family val="3"/>
      <charset val="128"/>
    </font>
    <font>
      <b/>
      <sz val="10"/>
      <name val="ＭＳ Ｐゴシック"/>
      <family val="3"/>
      <charset val="128"/>
      <scheme val="major"/>
    </font>
    <font>
      <sz val="11"/>
      <name val="ＭＳ Ｐゴシック"/>
      <family val="3"/>
      <charset val="128"/>
    </font>
    <font>
      <sz val="28"/>
      <name val="ＭＳ Ｐゴシック"/>
      <family val="3"/>
      <charset val="128"/>
      <scheme val="minor"/>
    </font>
    <font>
      <sz val="28"/>
      <name val="新細明體"/>
      <family val="1"/>
    </font>
    <font>
      <b/>
      <sz val="22"/>
      <name val="Century Gothic"/>
      <family val="2"/>
    </font>
    <font>
      <b/>
      <sz val="20"/>
      <name val="Century Gothic"/>
      <family val="2"/>
    </font>
    <font>
      <b/>
      <i/>
      <sz val="2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16"/>
      <name val="Century Gothic"/>
      <family val="2"/>
    </font>
    <font>
      <b/>
      <i/>
      <sz val="9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i/>
      <sz val="10"/>
      <name val="Century Gothic"/>
      <family val="2"/>
    </font>
    <font>
      <b/>
      <u/>
      <sz val="11"/>
      <name val="Century Gothic"/>
      <family val="2"/>
    </font>
    <font>
      <b/>
      <sz val="14"/>
      <name val="Century Gothic"/>
      <family val="2"/>
    </font>
    <font>
      <b/>
      <sz val="12"/>
      <color rgb="FFFF0000"/>
      <name val="Century Gothic"/>
      <family val="2"/>
    </font>
    <font>
      <b/>
      <sz val="10"/>
      <name val="Century Gothic"/>
      <family val="2"/>
      <charset val="128"/>
    </font>
    <font>
      <b/>
      <sz val="10"/>
      <color theme="1"/>
      <name val="Yu Gothic"/>
      <family val="2"/>
      <charset val="128"/>
    </font>
    <font>
      <b/>
      <sz val="10"/>
      <color theme="1"/>
      <name val="Yu Gothic"/>
      <family val="3"/>
      <charset val="128"/>
    </font>
    <font>
      <b/>
      <sz val="10"/>
      <color theme="1"/>
      <name val="Microsoft YaHei"/>
      <family val="3"/>
      <charset val="134"/>
    </font>
    <font>
      <b/>
      <sz val="10"/>
      <name val="Yu Gothic"/>
      <family val="2"/>
      <charset val="128"/>
    </font>
    <font>
      <sz val="6"/>
      <name val="ＭＳ Ｐゴシック"/>
      <family val="2"/>
      <charset val="128"/>
      <scheme val="minor"/>
    </font>
    <font>
      <b/>
      <sz val="10"/>
      <color theme="1"/>
      <name val="ＭＳ ゴシック"/>
      <family val="3"/>
      <charset val="128"/>
    </font>
    <font>
      <b/>
      <i/>
      <sz val="10"/>
      <color theme="1"/>
      <name val="Century Gothic"/>
      <family val="2"/>
    </font>
    <font>
      <b/>
      <sz val="10"/>
      <color rgb="FFFF0000"/>
      <name val="Yu Gothic"/>
      <family val="2"/>
      <charset val="128"/>
    </font>
    <font>
      <b/>
      <sz val="9"/>
      <color rgb="FFFF0000"/>
      <name val="Century Gothic"/>
      <family val="2"/>
    </font>
    <font>
      <sz val="10"/>
      <name val="新細明體"/>
      <family val="1"/>
    </font>
    <font>
      <b/>
      <sz val="11"/>
      <color rgb="FFFF000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b/>
      <sz val="10"/>
      <color theme="1"/>
      <name val="ＭＳ Ｐゴシック"/>
      <family val="2"/>
      <charset val="128"/>
    </font>
    <font>
      <b/>
      <sz val="12"/>
      <color rgb="FFFF0000"/>
      <name val="ＭＳ Ｐゴシック"/>
      <family val="2"/>
      <charset val="128"/>
    </font>
    <font>
      <b/>
      <sz val="12"/>
      <color theme="1"/>
      <name val="ＭＳ Ｐゴシック"/>
      <family val="2"/>
      <charset val="128"/>
    </font>
    <font>
      <u/>
      <sz val="10"/>
      <name val="Century Gothic"/>
      <family val="2"/>
    </font>
    <font>
      <b/>
      <sz val="12"/>
      <name val="新細明體"/>
      <family val="1"/>
    </font>
    <font>
      <sz val="10"/>
      <name val="ＭＳ　ゴシック"/>
      <family val="3"/>
      <charset val="128"/>
    </font>
    <font>
      <sz val="12"/>
      <name val="游ゴシック"/>
      <family val="1"/>
      <charset val="128"/>
    </font>
    <font>
      <b/>
      <sz val="11"/>
      <color rgb="FFFF0000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rgb="FFFFFFFF"/>
      </patternFill>
    </fill>
  </fills>
  <borders count="8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5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top"/>
      <protection locked="0"/>
    </xf>
    <xf numFmtId="176" fontId="8" fillId="0" borderId="0" applyFont="0" applyFill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4" fillId="0" borderId="0">
      <alignment vertical="center"/>
    </xf>
    <xf numFmtId="0" fontId="3" fillId="0" borderId="0">
      <alignment vertical="center"/>
    </xf>
    <xf numFmtId="6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38">
    <xf numFmtId="0" fontId="0" fillId="0" borderId="0" xfId="0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49" fontId="12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left" vertical="center" shrinkToFit="1"/>
    </xf>
    <xf numFmtId="0" fontId="12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2" fillId="2" borderId="0" xfId="0" applyFont="1" applyFill="1" applyAlignment="1">
      <alignment horizontal="left" vertical="center"/>
    </xf>
    <xf numFmtId="0" fontId="24" fillId="0" borderId="0" xfId="0" applyFont="1" applyAlignment="1">
      <alignment vertical="center" shrinkToFit="1"/>
    </xf>
    <xf numFmtId="49" fontId="12" fillId="0" borderId="0" xfId="0" applyNumberFormat="1" applyFont="1" applyAlignment="1">
      <alignment vertical="center" shrinkToFit="1"/>
    </xf>
    <xf numFmtId="0" fontId="18" fillId="0" borderId="0" xfId="1" applyNumberFormat="1" applyFont="1" applyFill="1" applyBorder="1" applyAlignment="1" applyProtection="1"/>
    <xf numFmtId="26" fontId="12" fillId="0" borderId="0" xfId="0" applyNumberFormat="1" applyFont="1" applyAlignment="1">
      <alignment horizontal="left" vertical="center" shrinkToFit="1"/>
    </xf>
    <xf numFmtId="178" fontId="12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vertical="center" shrinkToFit="1"/>
    </xf>
    <xf numFmtId="0" fontId="12" fillId="0" borderId="4" xfId="0" applyFont="1" applyBorder="1" applyAlignment="1">
      <alignment horizontal="center" vertical="center"/>
    </xf>
    <xf numFmtId="0" fontId="25" fillId="0" borderId="0" xfId="0" applyFont="1" applyAlignment="1">
      <alignment vertical="center" shrinkToFit="1"/>
    </xf>
    <xf numFmtId="0" fontId="26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49" fontId="17" fillId="0" borderId="24" xfId="0" applyNumberFormat="1" applyFont="1" applyBorder="1" applyAlignment="1">
      <alignment horizontal="left" vertical="center"/>
    </xf>
    <xf numFmtId="49" fontId="12" fillId="3" borderId="0" xfId="0" applyNumberFormat="1" applyFont="1" applyFill="1" applyAlignment="1">
      <alignment horizontal="left" vertical="center"/>
    </xf>
    <xf numFmtId="0" fontId="12" fillId="3" borderId="0" xfId="0" applyFont="1" applyFill="1" applyAlignment="1">
      <alignment vertical="center" shrinkToFit="1"/>
    </xf>
    <xf numFmtId="177" fontId="21" fillId="3" borderId="0" xfId="0" applyNumberFormat="1" applyFont="1" applyFill="1" applyAlignment="1">
      <alignment horizontal="left" vertical="center"/>
    </xf>
    <xf numFmtId="0" fontId="12" fillId="4" borderId="0" xfId="0" applyFont="1" applyFill="1" applyAlignment="1">
      <alignment horizontal="left" vertical="center"/>
    </xf>
    <xf numFmtId="0" fontId="31" fillId="0" borderId="5" xfId="0" applyFont="1" applyBorder="1" applyAlignment="1">
      <alignment horizontal="left" vertical="center"/>
    </xf>
    <xf numFmtId="0" fontId="24" fillId="0" borderId="10" xfId="0" applyFont="1" applyBorder="1" applyAlignment="1">
      <alignment vertical="center" wrapText="1"/>
    </xf>
    <xf numFmtId="179" fontId="24" fillId="0" borderId="10" xfId="0" applyNumberFormat="1" applyFont="1" applyBorder="1" applyAlignment="1">
      <alignment vertical="center" shrinkToFit="1"/>
    </xf>
    <xf numFmtId="49" fontId="32" fillId="0" borderId="10" xfId="0" quotePrefix="1" applyNumberFormat="1" applyFont="1" applyBorder="1" applyAlignment="1">
      <alignment horizontal="left" vertical="center"/>
    </xf>
    <xf numFmtId="179" fontId="24" fillId="0" borderId="11" xfId="0" applyNumberFormat="1" applyFont="1" applyBorder="1" applyAlignment="1">
      <alignment vertical="center" shrinkToFit="1"/>
    </xf>
    <xf numFmtId="49" fontId="29" fillId="0" borderId="11" xfId="0" quotePrefix="1" applyNumberFormat="1" applyFont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49" fontId="16" fillId="0" borderId="10" xfId="0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center" vertical="center"/>
    </xf>
    <xf numFmtId="0" fontId="27" fillId="0" borderId="10" xfId="0" applyFont="1" applyBorder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49" fontId="25" fillId="0" borderId="10" xfId="0" applyNumberFormat="1" applyFont="1" applyBorder="1" applyAlignment="1">
      <alignment horizontal="left" vertical="center"/>
    </xf>
    <xf numFmtId="0" fontId="16" fillId="0" borderId="10" xfId="0" applyFont="1" applyBorder="1">
      <alignment vertical="center"/>
    </xf>
    <xf numFmtId="26" fontId="16" fillId="0" borderId="10" xfId="0" applyNumberFormat="1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/>
    </xf>
    <xf numFmtId="49" fontId="12" fillId="0" borderId="6" xfId="0" applyNumberFormat="1" applyFont="1" applyBorder="1" applyAlignment="1">
      <alignment horizontal="left" vertical="center"/>
    </xf>
    <xf numFmtId="0" fontId="16" fillId="0" borderId="6" xfId="0" applyFont="1" applyBorder="1" applyAlignment="1">
      <alignment horizontal="center" vertical="center"/>
    </xf>
    <xf numFmtId="0" fontId="16" fillId="0" borderId="6" xfId="0" applyFont="1" applyBorder="1">
      <alignment vertical="center"/>
    </xf>
    <xf numFmtId="26" fontId="16" fillId="0" borderId="6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178" fontId="24" fillId="0" borderId="5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/>
    </xf>
    <xf numFmtId="0" fontId="24" fillId="0" borderId="10" xfId="0" applyFont="1" applyBorder="1" applyAlignment="1">
      <alignment horizontal="center" vertical="center" wrapText="1"/>
    </xf>
    <xf numFmtId="1" fontId="12" fillId="0" borderId="8" xfId="0" applyNumberFormat="1" applyFont="1" applyBorder="1" applyAlignment="1">
      <alignment horizontal="center" vertical="center"/>
    </xf>
    <xf numFmtId="178" fontId="24" fillId="0" borderId="10" xfId="0" applyNumberFormat="1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/>
    </xf>
    <xf numFmtId="0" fontId="30" fillId="0" borderId="10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/>
    </xf>
    <xf numFmtId="179" fontId="24" fillId="0" borderId="11" xfId="0" applyNumberFormat="1" applyFont="1" applyBorder="1" applyAlignment="1">
      <alignment horizontal="center" vertical="center" shrinkToFit="1"/>
    </xf>
    <xf numFmtId="178" fontId="24" fillId="0" borderId="11" xfId="0" applyNumberFormat="1" applyFont="1" applyBorder="1" applyAlignment="1">
      <alignment horizontal="right" vertical="center"/>
    </xf>
    <xf numFmtId="177" fontId="12" fillId="0" borderId="11" xfId="0" applyNumberFormat="1" applyFont="1" applyBorder="1" applyAlignment="1">
      <alignment horizontal="right" vertical="center"/>
    </xf>
    <xf numFmtId="178" fontId="24" fillId="0" borderId="4" xfId="0" applyNumberFormat="1" applyFont="1" applyBorder="1" applyAlignment="1">
      <alignment horizontal="right" vertical="center"/>
    </xf>
    <xf numFmtId="177" fontId="12" fillId="0" borderId="4" xfId="0" applyNumberFormat="1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80" fontId="12" fillId="0" borderId="8" xfId="2" applyNumberFormat="1" applyFont="1" applyFill="1" applyBorder="1" applyAlignment="1">
      <alignment horizontal="center" vertical="center"/>
    </xf>
    <xf numFmtId="177" fontId="12" fillId="0" borderId="8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0" xfId="0" applyFont="1" applyBorder="1" applyAlignment="1">
      <alignment vertical="center" shrinkToFit="1"/>
    </xf>
    <xf numFmtId="49" fontId="12" fillId="0" borderId="10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5" fillId="0" borderId="0" xfId="0" applyFont="1">
      <alignment vertical="center"/>
    </xf>
    <xf numFmtId="0" fontId="35" fillId="0" borderId="37" xfId="0" applyFont="1" applyBorder="1">
      <alignment vertical="center"/>
    </xf>
    <xf numFmtId="0" fontId="35" fillId="0" borderId="0" xfId="0" applyFont="1" applyAlignment="1">
      <alignment horizontal="left" vertical="center"/>
    </xf>
    <xf numFmtId="0" fontId="35" fillId="0" borderId="38" xfId="0" applyFont="1" applyBorder="1">
      <alignment vertical="center"/>
    </xf>
    <xf numFmtId="0" fontId="35" fillId="0" borderId="39" xfId="0" applyFont="1" applyBorder="1">
      <alignment vertical="center"/>
    </xf>
    <xf numFmtId="0" fontId="36" fillId="0" borderId="0" xfId="0" applyFont="1">
      <alignment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0" fontId="42" fillId="0" borderId="0" xfId="0" applyFont="1">
      <alignment vertical="center"/>
    </xf>
    <xf numFmtId="0" fontId="43" fillId="0" borderId="0" xfId="0" applyFont="1">
      <alignment vertical="center"/>
    </xf>
    <xf numFmtId="0" fontId="12" fillId="0" borderId="1" xfId="0" applyFont="1" applyBorder="1">
      <alignment vertical="center"/>
    </xf>
    <xf numFmtId="0" fontId="41" fillId="0" borderId="1" xfId="0" applyFont="1" applyBorder="1">
      <alignment vertical="center"/>
    </xf>
    <xf numFmtId="0" fontId="44" fillId="0" borderId="0" xfId="0" applyFont="1">
      <alignment vertical="center"/>
    </xf>
    <xf numFmtId="0" fontId="42" fillId="0" borderId="2" xfId="0" applyFont="1" applyBorder="1">
      <alignment vertical="center"/>
    </xf>
    <xf numFmtId="0" fontId="44" fillId="0" borderId="3" xfId="0" applyFont="1" applyBorder="1">
      <alignment vertical="center"/>
    </xf>
    <xf numFmtId="0" fontId="44" fillId="0" borderId="2" xfId="0" applyFont="1" applyBorder="1">
      <alignment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>
      <alignment vertical="center"/>
    </xf>
    <xf numFmtId="0" fontId="42" fillId="0" borderId="42" xfId="0" applyFont="1" applyBorder="1">
      <alignment vertical="center"/>
    </xf>
    <xf numFmtId="0" fontId="44" fillId="0" borderId="42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49" fontId="12" fillId="0" borderId="41" xfId="0" applyNumberFormat="1" applyFont="1" applyBorder="1">
      <alignment vertical="center"/>
    </xf>
    <xf numFmtId="49" fontId="12" fillId="0" borderId="43" xfId="0" applyNumberFormat="1" applyFont="1" applyBorder="1">
      <alignment vertical="center"/>
    </xf>
    <xf numFmtId="0" fontId="42" fillId="0" borderId="44" xfId="0" applyFont="1" applyBorder="1">
      <alignment vertical="center"/>
    </xf>
    <xf numFmtId="0" fontId="25" fillId="5" borderId="42" xfId="0" applyFont="1" applyFill="1" applyBorder="1" applyAlignment="1">
      <alignment horizontal="left" vertical="center"/>
    </xf>
    <xf numFmtId="0" fontId="44" fillId="0" borderId="42" xfId="0" applyFont="1" applyBorder="1">
      <alignment vertical="center"/>
    </xf>
    <xf numFmtId="0" fontId="12" fillId="0" borderId="7" xfId="0" applyFont="1" applyBorder="1">
      <alignment vertical="center"/>
    </xf>
    <xf numFmtId="0" fontId="42" fillId="0" borderId="41" xfId="0" applyFont="1" applyBorder="1">
      <alignment vertical="center"/>
    </xf>
    <xf numFmtId="0" fontId="42" fillId="0" borderId="40" xfId="0" applyFont="1" applyBorder="1">
      <alignment vertical="center"/>
    </xf>
    <xf numFmtId="0" fontId="44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5" fillId="0" borderId="0" xfId="0" applyFont="1">
      <alignment vertical="center"/>
    </xf>
    <xf numFmtId="0" fontId="46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7" fillId="0" borderId="45" xfId="0" applyFont="1" applyBorder="1" applyAlignment="1">
      <alignment horizontal="center" vertical="center"/>
    </xf>
    <xf numFmtId="0" fontId="17" fillId="0" borderId="45" xfId="0" applyFont="1" applyBorder="1">
      <alignment vertical="center"/>
    </xf>
    <xf numFmtId="0" fontId="17" fillId="0" borderId="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47" fillId="0" borderId="0" xfId="0" applyFont="1">
      <alignment vertical="center"/>
    </xf>
    <xf numFmtId="0" fontId="42" fillId="0" borderId="0" xfId="0" applyFont="1" applyAlignment="1">
      <alignment horizontal="center" vertical="center"/>
    </xf>
    <xf numFmtId="0" fontId="42" fillId="0" borderId="0" xfId="0" applyFont="1" applyAlignment="1">
      <alignment horizontal="left" vertical="center"/>
    </xf>
    <xf numFmtId="0" fontId="42" fillId="0" borderId="6" xfId="0" applyFont="1" applyBorder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4" xfId="0" applyFont="1" applyBorder="1" applyAlignment="1">
      <alignment horizontal="center" vertical="center"/>
    </xf>
    <xf numFmtId="26" fontId="16" fillId="0" borderId="42" xfId="0" applyNumberFormat="1" applyFont="1" applyBorder="1" applyAlignment="1">
      <alignment horizontal="left" vertical="center"/>
    </xf>
    <xf numFmtId="0" fontId="12" fillId="0" borderId="42" xfId="0" applyFont="1" applyBorder="1">
      <alignment vertical="center"/>
    </xf>
    <xf numFmtId="26" fontId="16" fillId="0" borderId="0" xfId="0" applyNumberFormat="1" applyFont="1" applyAlignment="1">
      <alignment horizontal="left" vertical="center"/>
    </xf>
    <xf numFmtId="0" fontId="45" fillId="0" borderId="0" xfId="0" applyFont="1" applyAlignment="1">
      <alignment horizontal="center"/>
    </xf>
    <xf numFmtId="49" fontId="12" fillId="0" borderId="0" xfId="0" applyNumberFormat="1" applyFont="1">
      <alignment vertical="center"/>
    </xf>
    <xf numFmtId="180" fontId="24" fillId="0" borderId="4" xfId="2" applyNumberFormat="1" applyFont="1" applyFill="1" applyBorder="1" applyAlignment="1">
      <alignment horizontal="right" vertical="center"/>
    </xf>
    <xf numFmtId="1" fontId="24" fillId="0" borderId="4" xfId="2" applyNumberFormat="1" applyFont="1" applyFill="1" applyBorder="1" applyAlignment="1">
      <alignment horizontal="left" vertical="center"/>
    </xf>
    <xf numFmtId="177" fontId="24" fillId="0" borderId="42" xfId="2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/>
    </xf>
    <xf numFmtId="0" fontId="24" fillId="0" borderId="4" xfId="2" applyNumberFormat="1" applyFont="1" applyFill="1" applyBorder="1" applyAlignment="1">
      <alignment horizontal="right" vertical="center"/>
    </xf>
    <xf numFmtId="177" fontId="24" fillId="3" borderId="42" xfId="2" applyNumberFormat="1" applyFont="1" applyFill="1" applyBorder="1" applyAlignment="1">
      <alignment horizontal="right" vertical="center"/>
    </xf>
    <xf numFmtId="181" fontId="12" fillId="0" borderId="47" xfId="2" applyNumberFormat="1" applyFont="1" applyFill="1" applyBorder="1" applyAlignment="1">
      <alignment horizontal="left" vertical="center" indent="1"/>
    </xf>
    <xf numFmtId="182" fontId="24" fillId="0" borderId="47" xfId="0" applyNumberFormat="1" applyFont="1" applyBorder="1" applyAlignment="1">
      <alignment horizontal="left" vertical="center"/>
    </xf>
    <xf numFmtId="178" fontId="24" fillId="0" borderId="47" xfId="0" applyNumberFormat="1" applyFont="1" applyBorder="1" applyAlignment="1">
      <alignment horizontal="right" vertical="center"/>
    </xf>
    <xf numFmtId="0" fontId="12" fillId="0" borderId="0" xfId="0" quotePrefix="1" applyFont="1">
      <alignment vertical="center"/>
    </xf>
    <xf numFmtId="0" fontId="12" fillId="0" borderId="0" xfId="0" quotePrefix="1" applyFont="1" applyAlignment="1">
      <alignment horizontal="left" vertical="center"/>
    </xf>
    <xf numFmtId="26" fontId="12" fillId="0" borderId="0" xfId="0" applyNumberFormat="1" applyFont="1">
      <alignment vertical="center"/>
    </xf>
    <xf numFmtId="49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left"/>
    </xf>
    <xf numFmtId="183" fontId="12" fillId="0" borderId="0" xfId="0" applyNumberFormat="1" applyFont="1">
      <alignment vertical="center"/>
    </xf>
    <xf numFmtId="0" fontId="46" fillId="0" borderId="0" xfId="0" applyFont="1">
      <alignment vertical="center"/>
    </xf>
    <xf numFmtId="49" fontId="25" fillId="0" borderId="0" xfId="0" applyNumberFormat="1" applyFont="1">
      <alignment vertical="center"/>
    </xf>
    <xf numFmtId="0" fontId="25" fillId="0" borderId="0" xfId="0" applyFont="1" applyAlignment="1">
      <alignment horizontal="left" vertical="center"/>
    </xf>
    <xf numFmtId="49" fontId="25" fillId="5" borderId="0" xfId="0" applyNumberFormat="1" applyFont="1" applyFill="1" applyAlignment="1">
      <alignment horizontal="left" vertical="center"/>
    </xf>
    <xf numFmtId="49" fontId="25" fillId="0" borderId="0" xfId="0" applyNumberFormat="1" applyFont="1" applyAlignment="1">
      <alignment horizontal="left" vertical="center"/>
    </xf>
    <xf numFmtId="49" fontId="16" fillId="0" borderId="0" xfId="0" applyNumberFormat="1" applyFont="1" applyAlignment="1">
      <alignment horizontal="left" vertical="center"/>
    </xf>
    <xf numFmtId="0" fontId="16" fillId="0" borderId="0" xfId="0" applyFont="1">
      <alignment vertical="center"/>
    </xf>
    <xf numFmtId="49" fontId="42" fillId="0" borderId="0" xfId="0" applyNumberFormat="1" applyFont="1" applyAlignment="1">
      <alignment horizontal="right"/>
    </xf>
    <xf numFmtId="0" fontId="48" fillId="0" borderId="0" xfId="0" applyFont="1">
      <alignment vertical="center"/>
    </xf>
    <xf numFmtId="0" fontId="42" fillId="0" borderId="0" xfId="0" applyFont="1" applyAlignment="1">
      <alignment horizontal="center"/>
    </xf>
    <xf numFmtId="0" fontId="48" fillId="0" borderId="41" xfId="0" applyFont="1" applyBorder="1" applyAlignment="1">
      <alignment horizontal="left"/>
    </xf>
    <xf numFmtId="49" fontId="42" fillId="0" borderId="41" xfId="0" applyNumberFormat="1" applyFont="1" applyBorder="1" applyAlignment="1">
      <alignment horizontal="right"/>
    </xf>
    <xf numFmtId="49" fontId="42" fillId="0" borderId="0" xfId="0" applyNumberFormat="1" applyFont="1">
      <alignment vertical="center"/>
    </xf>
    <xf numFmtId="0" fontId="41" fillId="0" borderId="0" xfId="0" applyFont="1" applyAlignment="1">
      <alignment horizontal="center"/>
    </xf>
    <xf numFmtId="49" fontId="41" fillId="0" borderId="0" xfId="0" applyNumberFormat="1" applyFont="1">
      <alignment vertical="center"/>
    </xf>
    <xf numFmtId="49" fontId="0" fillId="0" borderId="0" xfId="0" applyNumberFormat="1" applyAlignment="1">
      <alignment horizontal="left" vertical="center"/>
    </xf>
    <xf numFmtId="49" fontId="49" fillId="0" borderId="0" xfId="0" applyNumberFormat="1" applyFont="1">
      <alignment vertical="center"/>
    </xf>
    <xf numFmtId="49" fontId="49" fillId="0" borderId="1" xfId="0" applyNumberFormat="1" applyFont="1" applyBorder="1" applyAlignment="1">
      <alignment horizontal="center" vertical="center"/>
    </xf>
    <xf numFmtId="49" fontId="49" fillId="0" borderId="1" xfId="0" applyNumberFormat="1" applyFont="1" applyBorder="1" applyAlignment="1">
      <alignment horizontal="left" vertical="center"/>
    </xf>
    <xf numFmtId="0" fontId="17" fillId="0" borderId="28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6" xfId="0" applyBorder="1">
      <alignment vertical="center"/>
    </xf>
    <xf numFmtId="49" fontId="25" fillId="0" borderId="16" xfId="0" applyNumberFormat="1" applyFont="1" applyBorder="1">
      <alignment vertical="center"/>
    </xf>
    <xf numFmtId="0" fontId="17" fillId="0" borderId="50" xfId="0" applyFont="1" applyBorder="1">
      <alignment vertical="center"/>
    </xf>
    <xf numFmtId="0" fontId="25" fillId="5" borderId="5" xfId="0" applyFont="1" applyFill="1" applyBorder="1" applyAlignment="1">
      <alignment horizontal="left" vertical="center"/>
    </xf>
    <xf numFmtId="1" fontId="12" fillId="0" borderId="5" xfId="0" applyNumberFormat="1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vertical="center"/>
    </xf>
    <xf numFmtId="0" fontId="12" fillId="0" borderId="47" xfId="0" applyFont="1" applyBorder="1">
      <alignment vertical="center"/>
    </xf>
    <xf numFmtId="1" fontId="12" fillId="0" borderId="12" xfId="0" applyNumberFormat="1" applyFont="1" applyBorder="1" applyAlignment="1">
      <alignment horizontal="center" vertical="center"/>
    </xf>
    <xf numFmtId="49" fontId="24" fillId="0" borderId="10" xfId="0" quotePrefix="1" applyNumberFormat="1" applyFont="1" applyBorder="1" applyAlignment="1">
      <alignment horizontal="left" vertical="center"/>
    </xf>
    <xf numFmtId="0" fontId="22" fillId="0" borderId="16" xfId="0" applyFont="1" applyBorder="1" applyAlignment="1">
      <alignment horizontal="center" vertical="center"/>
    </xf>
    <xf numFmtId="181" fontId="12" fillId="0" borderId="47" xfId="2" applyNumberFormat="1" applyFont="1" applyFill="1" applyBorder="1" applyAlignment="1">
      <alignment horizontal="right" vertical="center"/>
    </xf>
    <xf numFmtId="0" fontId="24" fillId="0" borderId="8" xfId="0" applyFont="1" applyBorder="1" applyAlignment="1">
      <alignment horizontal="left" vertical="center"/>
    </xf>
    <xf numFmtId="178" fontId="24" fillId="0" borderId="8" xfId="0" applyNumberFormat="1" applyFont="1" applyBorder="1" applyAlignment="1">
      <alignment horizontal="right" vertical="center"/>
    </xf>
    <xf numFmtId="177" fontId="12" fillId="0" borderId="8" xfId="0" applyNumberFormat="1" applyFont="1" applyBorder="1" applyAlignment="1">
      <alignment horizontal="right" vertical="center"/>
    </xf>
    <xf numFmtId="49" fontId="24" fillId="0" borderId="8" xfId="0" applyNumberFormat="1" applyFont="1" applyBorder="1" applyAlignment="1">
      <alignment horizontal="left" vertical="center"/>
    </xf>
    <xf numFmtId="0" fontId="24" fillId="0" borderId="8" xfId="0" applyFont="1" applyBorder="1" applyAlignment="1">
      <alignment vertical="center" wrapText="1"/>
    </xf>
    <xf numFmtId="0" fontId="24" fillId="0" borderId="8" xfId="0" applyFont="1" applyBorder="1" applyAlignment="1">
      <alignment horizontal="center" vertical="center" wrapText="1"/>
    </xf>
    <xf numFmtId="0" fontId="15" fillId="0" borderId="4" xfId="0" applyFont="1" applyBorder="1">
      <alignment vertical="center"/>
    </xf>
    <xf numFmtId="0" fontId="12" fillId="0" borderId="30" xfId="0" applyFont="1" applyBorder="1">
      <alignment vertical="center"/>
    </xf>
    <xf numFmtId="0" fontId="42" fillId="0" borderId="23" xfId="0" applyFont="1" applyBorder="1">
      <alignment vertical="center"/>
    </xf>
    <xf numFmtId="0" fontId="12" fillId="0" borderId="43" xfId="0" applyFont="1" applyBorder="1">
      <alignment vertical="center"/>
    </xf>
    <xf numFmtId="0" fontId="42" fillId="0" borderId="7" xfId="0" applyFont="1" applyBorder="1">
      <alignment vertical="center"/>
    </xf>
    <xf numFmtId="49" fontId="51" fillId="3" borderId="40" xfId="0" applyNumberFormat="1" applyFont="1" applyFill="1" applyBorder="1" applyAlignment="1">
      <alignment horizontal="left" vertical="center"/>
    </xf>
    <xf numFmtId="0" fontId="12" fillId="0" borderId="43" xfId="0" applyFont="1" applyBorder="1" applyAlignment="1">
      <alignment horizontal="center" vertical="center"/>
    </xf>
    <xf numFmtId="0" fontId="15" fillId="0" borderId="24" xfId="0" applyFont="1" applyBorder="1">
      <alignment vertical="center"/>
    </xf>
    <xf numFmtId="0" fontId="15" fillId="0" borderId="12" xfId="0" applyFont="1" applyBorder="1">
      <alignment vertical="center"/>
    </xf>
    <xf numFmtId="0" fontId="52" fillId="0" borderId="10" xfId="0" applyFont="1" applyBorder="1" applyAlignment="1">
      <alignment vertical="center" wrapText="1"/>
    </xf>
    <xf numFmtId="1" fontId="12" fillId="0" borderId="4" xfId="0" applyNumberFormat="1" applyFont="1" applyBorder="1" applyAlignment="1">
      <alignment horizontal="center" vertical="center"/>
    </xf>
    <xf numFmtId="49" fontId="25" fillId="3" borderId="31" xfId="0" applyNumberFormat="1" applyFont="1" applyFill="1" applyBorder="1">
      <alignment vertical="center"/>
    </xf>
    <xf numFmtId="49" fontId="25" fillId="3" borderId="29" xfId="0" applyNumberFormat="1" applyFont="1" applyFill="1" applyBorder="1">
      <alignment vertical="center"/>
    </xf>
    <xf numFmtId="49" fontId="33" fillId="0" borderId="24" xfId="0" applyNumberFormat="1" applyFont="1" applyBorder="1">
      <alignment vertical="center"/>
    </xf>
    <xf numFmtId="49" fontId="33" fillId="0" borderId="4" xfId="0" applyNumberFormat="1" applyFont="1" applyBorder="1">
      <alignment vertical="center"/>
    </xf>
    <xf numFmtId="49" fontId="33" fillId="0" borderId="12" xfId="0" applyNumberFormat="1" applyFont="1" applyBorder="1">
      <alignment vertical="center"/>
    </xf>
    <xf numFmtId="49" fontId="12" fillId="0" borderId="5" xfId="0" applyNumberFormat="1" applyFont="1" applyBorder="1" applyAlignment="1">
      <alignment horizontal="left" vertical="center"/>
    </xf>
    <xf numFmtId="0" fontId="12" fillId="0" borderId="5" xfId="0" applyFont="1" applyBorder="1">
      <alignment vertical="center"/>
    </xf>
    <xf numFmtId="56" fontId="15" fillId="0" borderId="32" xfId="0" applyNumberFormat="1" applyFont="1" applyBorder="1" applyAlignment="1">
      <alignment horizontal="center" vertical="center"/>
    </xf>
    <xf numFmtId="0" fontId="0" fillId="0" borderId="43" xfId="0" applyBorder="1">
      <alignment vertical="center"/>
    </xf>
    <xf numFmtId="0" fontId="0" fillId="0" borderId="8" xfId="0" applyBorder="1">
      <alignment vertical="center"/>
    </xf>
    <xf numFmtId="0" fontId="12" fillId="0" borderId="49" xfId="0" applyFont="1" applyBorder="1" applyAlignment="1">
      <alignment horizontal="center" vertical="center"/>
    </xf>
    <xf numFmtId="177" fontId="12" fillId="0" borderId="5" xfId="0" applyNumberFormat="1" applyFont="1" applyBorder="1" applyAlignment="1">
      <alignment horizontal="center" vertical="center"/>
    </xf>
    <xf numFmtId="0" fontId="17" fillId="0" borderId="40" xfId="0" applyFont="1" applyBorder="1">
      <alignment vertical="center"/>
    </xf>
    <xf numFmtId="0" fontId="0" fillId="0" borderId="55" xfId="0" applyBorder="1">
      <alignment vertical="center"/>
    </xf>
    <xf numFmtId="0" fontId="12" fillId="0" borderId="5" xfId="0" applyFont="1" applyBorder="1" applyAlignment="1">
      <alignment horizontal="center"/>
    </xf>
    <xf numFmtId="180" fontId="12" fillId="0" borderId="5" xfId="2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31" fillId="6" borderId="51" xfId="0" applyFont="1" applyFill="1" applyBorder="1" applyAlignment="1">
      <alignment horizontal="left" vertical="center"/>
    </xf>
    <xf numFmtId="49" fontId="24" fillId="6" borderId="52" xfId="0" applyNumberFormat="1" applyFont="1" applyFill="1" applyBorder="1" applyAlignment="1">
      <alignment horizontal="left" vertical="center"/>
    </xf>
    <xf numFmtId="49" fontId="12" fillId="6" borderId="52" xfId="0" applyNumberFormat="1" applyFont="1" applyFill="1" applyBorder="1" applyAlignment="1">
      <alignment horizontal="left" vertical="center"/>
    </xf>
    <xf numFmtId="49" fontId="32" fillId="6" borderId="52" xfId="0" quotePrefix="1" applyNumberFormat="1" applyFont="1" applyFill="1" applyBorder="1" applyAlignment="1">
      <alignment horizontal="left" vertical="center"/>
    </xf>
    <xf numFmtId="49" fontId="29" fillId="6" borderId="53" xfId="0" quotePrefix="1" applyNumberFormat="1" applyFont="1" applyFill="1" applyBorder="1" applyAlignment="1">
      <alignment horizontal="left" vertical="center"/>
    </xf>
    <xf numFmtId="0" fontId="49" fillId="0" borderId="11" xfId="0" applyFont="1" applyBorder="1">
      <alignment vertical="center"/>
    </xf>
    <xf numFmtId="0" fontId="0" fillId="0" borderId="36" xfId="0" applyBorder="1">
      <alignment vertical="center"/>
    </xf>
    <xf numFmtId="0" fontId="0" fillId="0" borderId="32" xfId="0" applyBorder="1">
      <alignment vertical="center"/>
    </xf>
    <xf numFmtId="0" fontId="58" fillId="0" borderId="2" xfId="0" applyFont="1" applyBorder="1" applyAlignment="1">
      <alignment horizontal="center" vertical="center"/>
    </xf>
    <xf numFmtId="6" fontId="12" fillId="0" borderId="5" xfId="12" applyFont="1" applyFill="1" applyBorder="1" applyAlignment="1">
      <alignment horizontal="right" vertical="center"/>
    </xf>
    <xf numFmtId="6" fontId="12" fillId="0" borderId="8" xfId="12" applyFont="1" applyFill="1" applyBorder="1" applyAlignment="1">
      <alignment horizontal="right" vertical="center"/>
    </xf>
    <xf numFmtId="49" fontId="51" fillId="3" borderId="0" xfId="0" applyNumberFormat="1" applyFont="1" applyFill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0" fontId="12" fillId="0" borderId="6" xfId="0" applyFont="1" applyBorder="1">
      <alignment vertical="center"/>
    </xf>
    <xf numFmtId="0" fontId="12" fillId="0" borderId="56" xfId="0" applyFont="1" applyBorder="1">
      <alignment vertical="center"/>
    </xf>
    <xf numFmtId="0" fontId="12" fillId="0" borderId="57" xfId="0" applyFont="1" applyBorder="1" applyAlignment="1">
      <alignment horizontal="center" vertical="center"/>
    </xf>
    <xf numFmtId="0" fontId="25" fillId="5" borderId="10" xfId="0" applyFont="1" applyFill="1" applyBorder="1" applyAlignment="1">
      <alignment horizontal="left" vertical="center"/>
    </xf>
    <xf numFmtId="0" fontId="12" fillId="0" borderId="57" xfId="0" applyFont="1" applyBorder="1">
      <alignment vertical="center"/>
    </xf>
    <xf numFmtId="176" fontId="12" fillId="0" borderId="57" xfId="0" applyNumberFormat="1" applyFont="1" applyBorder="1" applyAlignment="1">
      <alignment horizontal="right" vertical="center"/>
    </xf>
    <xf numFmtId="177" fontId="12" fillId="0" borderId="53" xfId="0" applyNumberFormat="1" applyFont="1" applyBorder="1">
      <alignment vertical="center"/>
    </xf>
    <xf numFmtId="0" fontId="52" fillId="0" borderId="8" xfId="0" applyFont="1" applyBorder="1" applyAlignment="1">
      <alignment vertical="center" wrapText="1"/>
    </xf>
    <xf numFmtId="178" fontId="24" fillId="0" borderId="58" xfId="0" applyNumberFormat="1" applyFont="1" applyBorder="1" applyAlignment="1">
      <alignment horizontal="right" vertical="center"/>
    </xf>
    <xf numFmtId="177" fontId="12" fillId="0" borderId="58" xfId="0" applyNumberFormat="1" applyFont="1" applyBorder="1" applyAlignment="1">
      <alignment horizontal="right" vertical="center"/>
    </xf>
    <xf numFmtId="0" fontId="15" fillId="0" borderId="58" xfId="0" applyFont="1" applyBorder="1">
      <alignment vertical="center"/>
    </xf>
    <xf numFmtId="0" fontId="12" fillId="0" borderId="58" xfId="0" applyFont="1" applyBorder="1" applyAlignment="1">
      <alignment horizontal="center" vertical="center"/>
    </xf>
    <xf numFmtId="49" fontId="33" fillId="0" borderId="58" xfId="0" applyNumberFormat="1" applyFont="1" applyBorder="1">
      <alignment vertical="center"/>
    </xf>
    <xf numFmtId="0" fontId="24" fillId="0" borderId="58" xfId="0" applyFont="1" applyBorder="1" applyAlignment="1">
      <alignment horizontal="left" vertical="center"/>
    </xf>
    <xf numFmtId="0" fontId="24" fillId="0" borderId="58" xfId="0" applyFont="1" applyBorder="1" applyAlignment="1">
      <alignment horizontal="center" vertical="center" wrapText="1"/>
    </xf>
    <xf numFmtId="1" fontId="12" fillId="0" borderId="58" xfId="0" applyNumberFormat="1" applyFont="1" applyBorder="1" applyAlignment="1">
      <alignment horizontal="center" vertical="center"/>
    </xf>
    <xf numFmtId="0" fontId="12" fillId="0" borderId="59" xfId="0" applyFont="1" applyBorder="1">
      <alignment vertical="center"/>
    </xf>
    <xf numFmtId="49" fontId="24" fillId="0" borderId="58" xfId="0" quotePrefix="1" applyNumberFormat="1" applyFont="1" applyBorder="1" applyAlignment="1">
      <alignment horizontal="left" vertical="center"/>
    </xf>
    <xf numFmtId="179" fontId="24" fillId="0" borderId="58" xfId="0" applyNumberFormat="1" applyFont="1" applyBorder="1" applyAlignment="1">
      <alignment vertical="center" shrinkToFit="1"/>
    </xf>
    <xf numFmtId="49" fontId="24" fillId="7" borderId="20" xfId="0" quotePrefix="1" applyNumberFormat="1" applyFont="1" applyFill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/>
    </xf>
    <xf numFmtId="179" fontId="12" fillId="0" borderId="20" xfId="0" applyNumberFormat="1" applyFont="1" applyBorder="1" applyAlignment="1">
      <alignment vertical="center" shrinkToFit="1"/>
    </xf>
    <xf numFmtId="179" fontId="12" fillId="0" borderId="20" xfId="0" applyNumberFormat="1" applyFont="1" applyBorder="1" applyAlignment="1">
      <alignment horizontal="center" vertical="center"/>
    </xf>
    <xf numFmtId="1" fontId="12" fillId="0" borderId="20" xfId="0" applyNumberFormat="1" applyFont="1" applyBorder="1" applyAlignment="1">
      <alignment horizontal="center" vertical="center"/>
    </xf>
    <xf numFmtId="177" fontId="12" fillId="0" borderId="20" xfId="0" applyNumberFormat="1" applyFont="1" applyBorder="1" applyAlignment="1">
      <alignment horizontal="right" vertical="center"/>
    </xf>
    <xf numFmtId="0" fontId="22" fillId="0" borderId="25" xfId="0" applyFont="1" applyBorder="1" applyAlignment="1">
      <alignment horizontal="center" vertical="center"/>
    </xf>
    <xf numFmtId="0" fontId="17" fillId="0" borderId="60" xfId="0" applyFont="1" applyBorder="1">
      <alignment vertical="center"/>
    </xf>
    <xf numFmtId="0" fontId="58" fillId="0" borderId="20" xfId="0" applyFont="1" applyBorder="1" applyAlignment="1">
      <alignment horizontal="center" vertical="center"/>
    </xf>
    <xf numFmtId="179" fontId="24" fillId="0" borderId="12" xfId="0" applyNumberFormat="1" applyFont="1" applyBorder="1" applyAlignment="1">
      <alignment vertical="center" shrinkToFit="1"/>
    </xf>
    <xf numFmtId="49" fontId="25" fillId="0" borderId="36" xfId="0" applyNumberFormat="1" applyFont="1" applyBorder="1">
      <alignment vertical="center"/>
    </xf>
    <xf numFmtId="0" fontId="31" fillId="3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/>
    </xf>
    <xf numFmtId="49" fontId="24" fillId="3" borderId="10" xfId="0" quotePrefix="1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49" fontId="24" fillId="0" borderId="52" xfId="0" applyNumberFormat="1" applyFont="1" applyBorder="1" applyAlignment="1">
      <alignment horizontal="left" vertical="center"/>
    </xf>
    <xf numFmtId="49" fontId="24" fillId="0" borderId="52" xfId="0" quotePrefix="1" applyNumberFormat="1" applyFont="1" applyBorder="1" applyAlignment="1">
      <alignment horizontal="left" vertical="center"/>
    </xf>
    <xf numFmtId="49" fontId="25" fillId="0" borderId="61" xfId="0" quotePrefix="1" applyNumberFormat="1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179" fontId="24" fillId="0" borderId="8" xfId="0" applyNumberFormat="1" applyFont="1" applyBorder="1" applyAlignment="1">
      <alignment vertical="center" shrinkToFit="1"/>
    </xf>
    <xf numFmtId="0" fontId="24" fillId="0" borderId="11" xfId="0" applyFont="1" applyBorder="1" applyAlignment="1">
      <alignment horizontal="center" vertical="center" wrapText="1"/>
    </xf>
    <xf numFmtId="178" fontId="24" fillId="0" borderId="12" xfId="0" applyNumberFormat="1" applyFont="1" applyBorder="1" applyAlignment="1">
      <alignment horizontal="right" vertical="center"/>
    </xf>
    <xf numFmtId="177" fontId="12" fillId="0" borderId="12" xfId="0" applyNumberFormat="1" applyFont="1" applyBorder="1" applyAlignment="1">
      <alignment horizontal="right" vertical="center"/>
    </xf>
    <xf numFmtId="0" fontId="60" fillId="5" borderId="24" xfId="0" applyFont="1" applyFill="1" applyBorder="1" applyAlignment="1">
      <alignment vertical="center" wrapText="1"/>
    </xf>
    <xf numFmtId="0" fontId="25" fillId="3" borderId="10" xfId="0" applyFont="1" applyFill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0" fontId="12" fillId="0" borderId="40" xfId="0" applyFont="1" applyBorder="1" applyAlignment="1">
      <alignment horizontal="left" vertical="center"/>
    </xf>
    <xf numFmtId="0" fontId="12" fillId="0" borderId="41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181" fontId="24" fillId="0" borderId="47" xfId="2" applyNumberFormat="1" applyFont="1" applyFill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49" fontId="25" fillId="6" borderId="28" xfId="0" applyNumberFormat="1" applyFont="1" applyFill="1" applyBorder="1" applyAlignment="1">
      <alignment horizontal="center" vertical="center"/>
    </xf>
    <xf numFmtId="49" fontId="25" fillId="6" borderId="29" xfId="0" applyNumberFormat="1" applyFont="1" applyFill="1" applyBorder="1" applyAlignment="1">
      <alignment horizontal="center" vertical="center"/>
    </xf>
    <xf numFmtId="49" fontId="25" fillId="6" borderId="31" xfId="0" applyNumberFormat="1" applyFont="1" applyFill="1" applyBorder="1" applyAlignment="1">
      <alignment horizontal="center" vertical="center"/>
    </xf>
    <xf numFmtId="49" fontId="33" fillId="0" borderId="24" xfId="0" applyNumberFormat="1" applyFont="1" applyBorder="1" applyAlignment="1">
      <alignment horizontal="left" vertical="center"/>
    </xf>
    <xf numFmtId="49" fontId="33" fillId="0" borderId="58" xfId="0" applyNumberFormat="1" applyFont="1" applyBorder="1" applyAlignment="1">
      <alignment horizontal="left" vertical="center"/>
    </xf>
    <xf numFmtId="49" fontId="33" fillId="0" borderId="12" xfId="0" applyNumberFormat="1" applyFont="1" applyBorder="1" applyAlignment="1">
      <alignment horizontal="left" vertical="center"/>
    </xf>
    <xf numFmtId="49" fontId="25" fillId="7" borderId="28" xfId="0" applyNumberFormat="1" applyFont="1" applyFill="1" applyBorder="1" applyAlignment="1">
      <alignment horizontal="center" vertical="center"/>
    </xf>
    <xf numFmtId="49" fontId="25" fillId="7" borderId="29" xfId="0" applyNumberFormat="1" applyFont="1" applyFill="1" applyBorder="1" applyAlignment="1">
      <alignment horizontal="center" vertical="center"/>
    </xf>
    <xf numFmtId="49" fontId="25" fillId="7" borderId="31" xfId="0" applyNumberFormat="1" applyFont="1" applyFill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49" fontId="25" fillId="3" borderId="28" xfId="0" applyNumberFormat="1" applyFont="1" applyFill="1" applyBorder="1" applyAlignment="1">
      <alignment horizontal="center" vertical="center"/>
    </xf>
    <xf numFmtId="49" fontId="25" fillId="3" borderId="29" xfId="0" applyNumberFormat="1" applyFont="1" applyFill="1" applyBorder="1" applyAlignment="1">
      <alignment horizontal="center" vertical="center"/>
    </xf>
    <xf numFmtId="49" fontId="25" fillId="3" borderId="31" xfId="0" applyNumberFormat="1" applyFont="1" applyFill="1" applyBorder="1" applyAlignment="1">
      <alignment horizontal="center" vertical="center"/>
    </xf>
    <xf numFmtId="49" fontId="33" fillId="0" borderId="58" xfId="0" applyNumberFormat="1" applyFont="1" applyBorder="1" applyAlignment="1">
      <alignment horizontal="center" vertical="center"/>
    </xf>
    <xf numFmtId="49" fontId="33" fillId="0" borderId="12" xfId="0" applyNumberFormat="1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49" fontId="49" fillId="0" borderId="0" xfId="0" applyNumberFormat="1" applyFont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58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12" fillId="0" borderId="0" xfId="0" applyNumberFormat="1" applyFont="1" applyAlignment="1">
      <alignment horizontal="right" vertical="center"/>
    </xf>
    <xf numFmtId="0" fontId="12" fillId="0" borderId="1" xfId="0" applyFont="1" applyBorder="1" applyAlignment="1">
      <alignment horizontal="right" vertical="center"/>
    </xf>
    <xf numFmtId="0" fontId="17" fillId="5" borderId="28" xfId="0" applyFont="1" applyFill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17" fillId="0" borderId="62" xfId="0" applyFont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16" fillId="0" borderId="63" xfId="0" applyFont="1" applyBorder="1" applyAlignment="1">
      <alignment horizontal="center"/>
    </xf>
    <xf numFmtId="0" fontId="12" fillId="0" borderId="10" xfId="0" applyFont="1" applyBorder="1">
      <alignment vertical="center"/>
    </xf>
    <xf numFmtId="0" fontId="12" fillId="0" borderId="18" xfId="0" applyFont="1" applyBorder="1">
      <alignment vertical="center"/>
    </xf>
    <xf numFmtId="0" fontId="12" fillId="0" borderId="17" xfId="0" applyFont="1" applyBorder="1">
      <alignment vertical="center"/>
    </xf>
    <xf numFmtId="0" fontId="12" fillId="0" borderId="17" xfId="0" applyFont="1" applyBorder="1" applyAlignment="1">
      <alignment horizontal="right" vertical="center"/>
    </xf>
    <xf numFmtId="0" fontId="12" fillId="0" borderId="64" xfId="0" applyFont="1" applyBorder="1" applyAlignment="1">
      <alignment horizontal="center" vertical="center"/>
    </xf>
    <xf numFmtId="0" fontId="12" fillId="0" borderId="65" xfId="0" applyFont="1" applyBorder="1" applyAlignment="1">
      <alignment horizontal="center" vertical="center"/>
    </xf>
    <xf numFmtId="0" fontId="12" fillId="0" borderId="66" xfId="0" applyFont="1" applyBorder="1" applyAlignment="1">
      <alignment horizontal="center"/>
    </xf>
    <xf numFmtId="49" fontId="25" fillId="0" borderId="6" xfId="0" applyNumberFormat="1" applyFont="1" applyBorder="1" applyAlignment="1">
      <alignment horizontal="left" vertical="center"/>
    </xf>
    <xf numFmtId="0" fontId="11" fillId="0" borderId="6" xfId="0" applyFont="1" applyBorder="1">
      <alignment vertical="center"/>
    </xf>
    <xf numFmtId="0" fontId="11" fillId="0" borderId="6" xfId="0" applyFont="1" applyBorder="1" applyAlignment="1">
      <alignment horizontal="center" vertical="center"/>
    </xf>
    <xf numFmtId="26" fontId="16" fillId="0" borderId="6" xfId="0" applyNumberFormat="1" applyFont="1" applyBorder="1">
      <alignment vertical="center"/>
    </xf>
    <xf numFmtId="0" fontId="12" fillId="0" borderId="67" xfId="0" applyFont="1" applyBorder="1">
      <alignment vertical="center"/>
    </xf>
    <xf numFmtId="0" fontId="12" fillId="0" borderId="68" xfId="0" applyFont="1" applyBorder="1" applyAlignment="1">
      <alignment horizontal="center" vertical="center"/>
    </xf>
    <xf numFmtId="0" fontId="12" fillId="0" borderId="13" xfId="0" applyFont="1" applyBorder="1" applyAlignment="1">
      <alignment horizontal="right" vertical="center"/>
    </xf>
    <xf numFmtId="0" fontId="12" fillId="0" borderId="69" xfId="0" applyFont="1" applyBorder="1" applyAlignment="1">
      <alignment horizontal="center" vertical="center"/>
    </xf>
    <xf numFmtId="0" fontId="12" fillId="0" borderId="70" xfId="0" applyFont="1" applyBorder="1" applyAlignment="1">
      <alignment horizontal="center" vertical="center"/>
    </xf>
    <xf numFmtId="0" fontId="15" fillId="0" borderId="6" xfId="0" applyFont="1" applyBorder="1">
      <alignment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right" vertical="center"/>
    </xf>
    <xf numFmtId="0" fontId="12" fillId="0" borderId="73" xfId="0" applyFont="1" applyBorder="1" applyAlignment="1">
      <alignment horizontal="center" vertical="center"/>
    </xf>
    <xf numFmtId="0" fontId="25" fillId="3" borderId="29" xfId="0" applyFont="1" applyFill="1" applyBorder="1" applyAlignment="1">
      <alignment horizontal="center"/>
    </xf>
    <xf numFmtId="0" fontId="12" fillId="0" borderId="58" xfId="0" applyFont="1" applyBorder="1" applyAlignment="1">
      <alignment horizontal="left" vertical="center"/>
    </xf>
    <xf numFmtId="179" fontId="12" fillId="0" borderId="58" xfId="0" applyNumberFormat="1" applyFont="1" applyBorder="1" applyAlignment="1">
      <alignment vertical="center" shrinkToFit="1"/>
    </xf>
    <xf numFmtId="179" fontId="12" fillId="0" borderId="58" xfId="0" applyNumberFormat="1" applyFont="1" applyBorder="1" applyAlignment="1">
      <alignment horizontal="center" vertical="center" shrinkToFit="1"/>
    </xf>
    <xf numFmtId="177" fontId="12" fillId="0" borderId="58" xfId="0" applyNumberFormat="1" applyFont="1" applyBorder="1">
      <alignment vertical="center"/>
    </xf>
    <xf numFmtId="0" fontId="61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74" xfId="0" applyBorder="1">
      <alignment vertical="center"/>
    </xf>
    <xf numFmtId="0" fontId="12" fillId="0" borderId="74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49" fontId="65" fillId="0" borderId="28" xfId="0" applyNumberFormat="1" applyFont="1" applyBorder="1" applyAlignment="1">
      <alignment horizontal="center" vertical="center"/>
    </xf>
    <xf numFmtId="49" fontId="50" fillId="0" borderId="24" xfId="0" applyNumberFormat="1" applyFont="1" applyBorder="1">
      <alignment vertical="center"/>
    </xf>
    <xf numFmtId="0" fontId="12" fillId="0" borderId="24" xfId="0" applyFont="1" applyBorder="1" applyAlignment="1">
      <alignment horizontal="center" vertical="center"/>
    </xf>
    <xf numFmtId="49" fontId="65" fillId="0" borderId="29" xfId="0" applyNumberFormat="1" applyFont="1" applyBorder="1" applyAlignment="1">
      <alignment horizontal="center" vertical="center"/>
    </xf>
    <xf numFmtId="49" fontId="66" fillId="0" borderId="58" xfId="0" applyNumberFormat="1" applyFont="1" applyBorder="1">
      <alignment vertical="center"/>
    </xf>
    <xf numFmtId="49" fontId="50" fillId="0" borderId="58" xfId="0" applyNumberFormat="1" applyFont="1" applyBorder="1">
      <alignment vertical="center"/>
    </xf>
    <xf numFmtId="0" fontId="12" fillId="0" borderId="58" xfId="0" applyFont="1" applyBorder="1" applyAlignment="1">
      <alignment horizontal="center" vertical="center"/>
    </xf>
    <xf numFmtId="0" fontId="12" fillId="0" borderId="11" xfId="0" applyFont="1" applyBorder="1" applyAlignment="1">
      <alignment horizontal="right" vertical="center"/>
    </xf>
    <xf numFmtId="49" fontId="12" fillId="0" borderId="58" xfId="0" applyNumberFormat="1" applyFont="1" applyBorder="1" applyAlignment="1">
      <alignment horizontal="center" vertical="center"/>
    </xf>
    <xf numFmtId="0" fontId="12" fillId="3" borderId="58" xfId="0" applyFont="1" applyFill="1" applyBorder="1" applyAlignment="1">
      <alignment horizontal="left" vertical="center"/>
    </xf>
    <xf numFmtId="3" fontId="12" fillId="0" borderId="58" xfId="0" applyNumberFormat="1" applyFont="1" applyBorder="1" applyAlignment="1">
      <alignment horizontal="right" vertical="center"/>
    </xf>
    <xf numFmtId="0" fontId="12" fillId="0" borderId="58" xfId="0" applyFont="1" applyBorder="1" applyAlignment="1">
      <alignment horizontal="right" vertical="center"/>
    </xf>
    <xf numFmtId="0" fontId="12" fillId="0" borderId="5" xfId="0" applyFont="1" applyBorder="1" applyAlignment="1">
      <alignment horizontal="right" vertical="center"/>
    </xf>
    <xf numFmtId="0" fontId="12" fillId="3" borderId="10" xfId="0" applyFont="1" applyFill="1" applyBorder="1" applyAlignment="1">
      <alignment horizontal="left" vertical="center"/>
    </xf>
    <xf numFmtId="3" fontId="12" fillId="0" borderId="10" xfId="0" applyNumberFormat="1" applyFont="1" applyBorder="1" applyAlignment="1">
      <alignment horizontal="right" vertical="center"/>
    </xf>
    <xf numFmtId="0" fontId="12" fillId="0" borderId="10" xfId="0" applyFont="1" applyBorder="1" applyAlignment="1">
      <alignment horizontal="right" vertical="center"/>
    </xf>
    <xf numFmtId="177" fontId="12" fillId="0" borderId="10" xfId="0" applyNumberFormat="1" applyFont="1" applyBorder="1" applyAlignment="1">
      <alignment horizontal="right" vertical="center" shrinkToFit="1"/>
    </xf>
    <xf numFmtId="0" fontId="12" fillId="0" borderId="6" xfId="0" applyFont="1" applyBorder="1" applyAlignment="1">
      <alignment horizontal="right" vertical="center"/>
    </xf>
    <xf numFmtId="177" fontId="12" fillId="3" borderId="16" xfId="0" applyNumberFormat="1" applyFont="1" applyFill="1" applyBorder="1" applyAlignment="1">
      <alignment horizontal="right" vertical="center"/>
    </xf>
    <xf numFmtId="49" fontId="66" fillId="0" borderId="58" xfId="0" applyNumberFormat="1" applyFont="1" applyBorder="1" applyAlignment="1">
      <alignment horizontal="center" vertical="center"/>
    </xf>
    <xf numFmtId="49" fontId="67" fillId="0" borderId="58" xfId="0" applyNumberFormat="1" applyFont="1" applyBorder="1" applyAlignment="1">
      <alignment horizontal="center" vertical="center"/>
    </xf>
    <xf numFmtId="49" fontId="65" fillId="0" borderId="31" xfId="0" applyNumberFormat="1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2" fillId="0" borderId="77" xfId="0" applyFont="1" applyBorder="1" applyAlignment="1">
      <alignment horizontal="center" vertical="center"/>
    </xf>
    <xf numFmtId="6" fontId="12" fillId="0" borderId="58" xfId="12" applyFont="1" applyBorder="1" applyAlignment="1">
      <alignment horizontal="right" vertical="center" shrinkToFit="1"/>
    </xf>
    <xf numFmtId="177" fontId="12" fillId="3" borderId="8" xfId="0" applyNumberFormat="1" applyFont="1" applyFill="1" applyBorder="1" applyAlignment="1">
      <alignment horizontal="right" vertical="center"/>
    </xf>
    <xf numFmtId="49" fontId="65" fillId="0" borderId="0" xfId="0" applyNumberFormat="1" applyFont="1" applyAlignment="1">
      <alignment horizontal="center" vertical="center"/>
    </xf>
    <xf numFmtId="49" fontId="66" fillId="0" borderId="7" xfId="0" applyNumberFormat="1" applyFont="1" applyBorder="1" applyAlignment="1">
      <alignment horizontal="center" vertical="center"/>
    </xf>
    <xf numFmtId="49" fontId="50" fillId="0" borderId="7" xfId="0" applyNumberFormat="1" applyFont="1" applyBorder="1">
      <alignment vertical="center"/>
    </xf>
    <xf numFmtId="49" fontId="25" fillId="0" borderId="7" xfId="0" applyNumberFormat="1" applyFont="1" applyBorder="1">
      <alignment vertical="center"/>
    </xf>
    <xf numFmtId="0" fontId="12" fillId="0" borderId="78" xfId="0" applyFont="1" applyBorder="1">
      <alignment vertical="center"/>
    </xf>
    <xf numFmtId="0" fontId="12" fillId="0" borderId="54" xfId="0" applyFont="1" applyBorder="1" applyAlignment="1"/>
    <xf numFmtId="180" fontId="12" fillId="0" borderId="5" xfId="2" applyNumberFormat="1" applyFont="1" applyFill="1" applyBorder="1" applyAlignment="1">
      <alignment horizontal="right" vertical="center"/>
    </xf>
    <xf numFmtId="177" fontId="12" fillId="0" borderId="5" xfId="0" applyNumberFormat="1" applyFont="1" applyBorder="1">
      <alignment vertical="center"/>
    </xf>
    <xf numFmtId="178" fontId="12" fillId="0" borderId="5" xfId="2" applyNumberFormat="1" applyFont="1" applyFill="1" applyBorder="1" applyAlignment="1">
      <alignment horizontal="right" vertical="center"/>
    </xf>
    <xf numFmtId="49" fontId="12" fillId="0" borderId="25" xfId="0" applyNumberFormat="1" applyFont="1" applyBorder="1">
      <alignment vertical="center"/>
    </xf>
    <xf numFmtId="0" fontId="12" fillId="0" borderId="51" xfId="0" applyFont="1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12" fillId="0" borderId="63" xfId="0" applyFont="1" applyBorder="1">
      <alignment vertical="center"/>
    </xf>
    <xf numFmtId="176" fontId="12" fillId="0" borderId="10" xfId="2" applyFont="1" applyFill="1" applyBorder="1" applyAlignment="1">
      <alignment horizontal="right" vertical="center"/>
    </xf>
    <xf numFmtId="177" fontId="12" fillId="0" borderId="10" xfId="0" applyNumberFormat="1" applyFont="1" applyBorder="1">
      <alignment vertical="center"/>
    </xf>
    <xf numFmtId="178" fontId="12" fillId="0" borderId="10" xfId="2" applyNumberFormat="1" applyFont="1" applyFill="1" applyBorder="1" applyAlignment="1">
      <alignment horizontal="right" vertical="center"/>
    </xf>
    <xf numFmtId="49" fontId="12" fillId="0" borderId="16" xfId="0" applyNumberFormat="1" applyFont="1" applyBorder="1">
      <alignment vertical="center"/>
    </xf>
    <xf numFmtId="0" fontId="12" fillId="0" borderId="52" xfId="0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49" fontId="12" fillId="0" borderId="11" xfId="0" applyNumberFormat="1" applyFont="1" applyBorder="1" applyAlignment="1">
      <alignment horizontal="left" vertical="center"/>
    </xf>
    <xf numFmtId="0" fontId="12" fillId="0" borderId="11" xfId="0" applyFont="1" applyBorder="1" applyAlignment="1">
      <alignment vertical="center" shrinkToFit="1"/>
    </xf>
    <xf numFmtId="176" fontId="12" fillId="0" borderId="11" xfId="2" applyFont="1" applyFill="1" applyBorder="1" applyAlignment="1">
      <alignment horizontal="right" vertical="center"/>
    </xf>
    <xf numFmtId="1" fontId="12" fillId="0" borderId="11" xfId="0" applyNumberFormat="1" applyFont="1" applyBorder="1" applyAlignment="1">
      <alignment horizontal="center" vertical="center"/>
    </xf>
    <xf numFmtId="177" fontId="12" fillId="0" borderId="11" xfId="0" applyNumberFormat="1" applyFont="1" applyBorder="1">
      <alignment vertical="center"/>
    </xf>
    <xf numFmtId="178" fontId="12" fillId="0" borderId="11" xfId="2" applyNumberFormat="1" applyFont="1" applyFill="1" applyBorder="1" applyAlignment="1">
      <alignment horizontal="right" vertical="center"/>
    </xf>
    <xf numFmtId="0" fontId="12" fillId="0" borderId="11" xfId="0" applyFont="1" applyBorder="1">
      <alignment vertical="center"/>
    </xf>
    <xf numFmtId="49" fontId="12" fillId="0" borderId="55" xfId="0" applyNumberFormat="1" applyFont="1" applyBorder="1">
      <alignment vertical="center"/>
    </xf>
    <xf numFmtId="0" fontId="12" fillId="0" borderId="53" xfId="0" applyFont="1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12" fillId="0" borderId="31" xfId="0" applyFont="1" applyBorder="1">
      <alignment vertical="center"/>
    </xf>
    <xf numFmtId="176" fontId="12" fillId="0" borderId="1" xfId="0" applyNumberFormat="1" applyFont="1" applyBorder="1" applyAlignment="1">
      <alignment horizontal="right" vertical="center"/>
    </xf>
    <xf numFmtId="0" fontId="12" fillId="0" borderId="12" xfId="0" applyFont="1" applyBorder="1" applyAlignment="1">
      <alignment horizontal="center" vertical="center"/>
    </xf>
    <xf numFmtId="177" fontId="12" fillId="0" borderId="1" xfId="0" applyNumberFormat="1" applyFont="1" applyBorder="1" applyAlignment="1">
      <alignment horizontal="right" vertical="center"/>
    </xf>
    <xf numFmtId="0" fontId="0" fillId="0" borderId="41" xfId="0" applyBorder="1">
      <alignment vertical="center"/>
    </xf>
    <xf numFmtId="0" fontId="70" fillId="0" borderId="0" xfId="0" applyFont="1">
      <alignment vertical="center"/>
    </xf>
    <xf numFmtId="0" fontId="70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1" fillId="0" borderId="0" xfId="0" applyFont="1">
      <alignment vertical="center"/>
    </xf>
    <xf numFmtId="0" fontId="63" fillId="5" borderId="54" xfId="0" applyFont="1" applyFill="1" applyBorder="1" applyAlignment="1">
      <alignment horizontal="center" vertical="center"/>
    </xf>
    <xf numFmtId="49" fontId="63" fillId="5" borderId="5" xfId="0" applyNumberFormat="1" applyFont="1" applyFill="1" applyBorder="1" applyAlignment="1">
      <alignment horizontal="center" vertical="center"/>
    </xf>
    <xf numFmtId="3" fontId="64" fillId="0" borderId="5" xfId="0" applyNumberFormat="1" applyFont="1" applyBorder="1" applyAlignment="1">
      <alignment horizontal="left" vertical="center"/>
    </xf>
    <xf numFmtId="0" fontId="64" fillId="0" borderId="5" xfId="0" applyFont="1" applyBorder="1" applyAlignment="1">
      <alignment horizontal="left" vertical="center"/>
    </xf>
    <xf numFmtId="177" fontId="64" fillId="0" borderId="5" xfId="0" applyNumberFormat="1" applyFont="1" applyBorder="1" applyAlignment="1">
      <alignment horizontal="left" vertical="center" shrinkToFit="1"/>
    </xf>
    <xf numFmtId="177" fontId="64" fillId="0" borderId="25" xfId="0" applyNumberFormat="1" applyFont="1" applyBorder="1" applyAlignment="1">
      <alignment horizontal="left" vertical="center"/>
    </xf>
    <xf numFmtId="49" fontId="12" fillId="5" borderId="10" xfId="0" applyNumberFormat="1" applyFont="1" applyFill="1" applyBorder="1" applyAlignment="1">
      <alignment horizontal="center" vertical="center"/>
    </xf>
    <xf numFmtId="49" fontId="12" fillId="3" borderId="10" xfId="0" applyNumberFormat="1" applyFont="1" applyFill="1" applyBorder="1" applyAlignment="1">
      <alignment horizontal="center" vertical="center"/>
    </xf>
    <xf numFmtId="177" fontId="12" fillId="0" borderId="16" xfId="0" applyNumberFormat="1" applyFont="1" applyBorder="1" applyAlignment="1">
      <alignment horizontal="right" vertical="center"/>
    </xf>
    <xf numFmtId="6" fontId="12" fillId="0" borderId="10" xfId="12" applyFont="1" applyBorder="1" applyAlignment="1">
      <alignment horizontal="right" vertical="center" shrinkToFit="1"/>
    </xf>
    <xf numFmtId="49" fontId="12" fillId="0" borderId="63" xfId="0" applyNumberFormat="1" applyFont="1" applyBorder="1" applyAlignment="1">
      <alignment horizontal="left" vertical="center"/>
    </xf>
    <xf numFmtId="180" fontId="12" fillId="0" borderId="10" xfId="2" applyNumberFormat="1" applyFont="1" applyFill="1" applyBorder="1" applyAlignment="1">
      <alignment horizontal="right" vertical="center"/>
    </xf>
    <xf numFmtId="178" fontId="12" fillId="0" borderId="16" xfId="2" applyNumberFormat="1" applyFont="1" applyFill="1" applyBorder="1" applyAlignment="1">
      <alignment horizontal="right" vertical="center"/>
    </xf>
    <xf numFmtId="3" fontId="12" fillId="5" borderId="10" xfId="0" applyNumberFormat="1" applyFont="1" applyFill="1" applyBorder="1" applyAlignment="1">
      <alignment horizontal="right" vertical="center"/>
    </xf>
    <xf numFmtId="0" fontId="12" fillId="5" borderId="10" xfId="0" applyFont="1" applyFill="1" applyBorder="1" applyAlignment="1">
      <alignment horizontal="right" vertical="center"/>
    </xf>
    <xf numFmtId="177" fontId="12" fillId="5" borderId="10" xfId="0" applyNumberFormat="1" applyFont="1" applyFill="1" applyBorder="1" applyAlignment="1">
      <alignment horizontal="right" vertical="center" shrinkToFit="1"/>
    </xf>
    <xf numFmtId="177" fontId="12" fillId="5" borderId="16" xfId="0" applyNumberFormat="1" applyFont="1" applyFill="1" applyBorder="1" applyAlignment="1">
      <alignment horizontal="right" vertical="center"/>
    </xf>
    <xf numFmtId="0" fontId="25" fillId="3" borderId="10" xfId="0" applyFont="1" applyFill="1" applyBorder="1" applyAlignment="1">
      <alignment horizontal="left" vertical="center"/>
    </xf>
    <xf numFmtId="0" fontId="12" fillId="5" borderId="10" xfId="0" applyFont="1" applyFill="1" applyBorder="1" applyAlignment="1">
      <alignment horizontal="center" vertical="center"/>
    </xf>
    <xf numFmtId="0" fontId="12" fillId="0" borderId="63" xfId="0" applyFont="1" applyBorder="1" applyAlignment="1">
      <alignment horizontal="left" vertical="center"/>
    </xf>
    <xf numFmtId="0" fontId="12" fillId="3" borderId="63" xfId="0" applyFont="1" applyFill="1" applyBorder="1" applyAlignment="1">
      <alignment horizontal="left" vertical="center"/>
    </xf>
    <xf numFmtId="0" fontId="12" fillId="5" borderId="63" xfId="0" applyFont="1" applyFill="1" applyBorder="1" applyAlignment="1">
      <alignment horizontal="left" vertical="center"/>
    </xf>
    <xf numFmtId="49" fontId="24" fillId="0" borderId="63" xfId="0" applyNumberFormat="1" applyFont="1" applyBorder="1" applyAlignment="1">
      <alignment horizontal="left" vertical="center"/>
    </xf>
    <xf numFmtId="49" fontId="24" fillId="5" borderId="63" xfId="0" applyNumberFormat="1" applyFont="1" applyFill="1" applyBorder="1" applyAlignment="1">
      <alignment horizontal="left" vertical="center"/>
    </xf>
    <xf numFmtId="49" fontId="12" fillId="5" borderId="63" xfId="0" applyNumberFormat="1" applyFont="1" applyFill="1" applyBorder="1" applyAlignment="1">
      <alignment horizontal="left" vertical="center"/>
    </xf>
    <xf numFmtId="49" fontId="24" fillId="0" borderId="63" xfId="14" applyNumberFormat="1" applyFont="1" applyBorder="1" applyAlignment="1">
      <alignment horizontal="left" vertical="center"/>
    </xf>
    <xf numFmtId="0" fontId="16" fillId="0" borderId="63" xfId="0" applyFont="1" applyBorder="1" applyAlignment="1">
      <alignment horizontal="left" vertical="center"/>
    </xf>
    <xf numFmtId="0" fontId="16" fillId="5" borderId="63" xfId="0" applyFont="1" applyFill="1" applyBorder="1" applyAlignment="1">
      <alignment horizontal="left" vertical="center"/>
    </xf>
    <xf numFmtId="49" fontId="12" fillId="0" borderId="56" xfId="0" applyNumberFormat="1" applyFont="1" applyBorder="1" applyAlignment="1">
      <alignment horizontal="left" vertical="center"/>
    </xf>
    <xf numFmtId="0" fontId="12" fillId="5" borderId="10" xfId="0" applyFont="1" applyFill="1" applyBorder="1">
      <alignment vertical="center"/>
    </xf>
    <xf numFmtId="0" fontId="46" fillId="0" borderId="10" xfId="0" applyFont="1" applyBorder="1" applyAlignment="1">
      <alignment horizontal="center" vertical="center"/>
    </xf>
    <xf numFmtId="0" fontId="68" fillId="0" borderId="10" xfId="0" applyFont="1" applyBorder="1" applyAlignment="1">
      <alignment horizontal="left" vertical="center"/>
    </xf>
    <xf numFmtId="0" fontId="46" fillId="5" borderId="10" xfId="0" applyFont="1" applyFill="1" applyBorder="1" applyAlignment="1">
      <alignment horizontal="center" vertical="center"/>
    </xf>
    <xf numFmtId="0" fontId="46" fillId="0" borderId="10" xfId="14" applyFont="1" applyBorder="1" applyAlignment="1">
      <alignment horizontal="center" vertical="center"/>
    </xf>
    <xf numFmtId="0" fontId="68" fillId="5" borderId="10" xfId="0" applyFont="1" applyFill="1" applyBorder="1" applyAlignment="1">
      <alignment horizontal="center" vertical="center"/>
    </xf>
    <xf numFmtId="0" fontId="64" fillId="0" borderId="10" xfId="0" applyFont="1" applyBorder="1" applyAlignment="1">
      <alignment horizontal="center" vertical="center"/>
    </xf>
    <xf numFmtId="0" fontId="64" fillId="5" borderId="10" xfId="0" applyFont="1" applyFill="1" applyBorder="1" applyAlignment="1">
      <alignment horizontal="center" vertical="center"/>
    </xf>
    <xf numFmtId="176" fontId="12" fillId="5" borderId="10" xfId="0" applyNumberFormat="1" applyFont="1" applyFill="1" applyBorder="1" applyAlignment="1">
      <alignment horizontal="right" vertical="center"/>
    </xf>
    <xf numFmtId="177" fontId="12" fillId="5" borderId="10" xfId="0" applyNumberFormat="1" applyFont="1" applyFill="1" applyBorder="1" applyAlignment="1">
      <alignment horizontal="right" vertical="center"/>
    </xf>
    <xf numFmtId="177" fontId="12" fillId="0" borderId="10" xfId="14" applyNumberFormat="1" applyFont="1" applyBorder="1" applyAlignment="1">
      <alignment horizontal="right" vertical="center"/>
    </xf>
    <xf numFmtId="177" fontId="12" fillId="3" borderId="10" xfId="0" applyNumberFormat="1" applyFont="1" applyFill="1" applyBorder="1" applyAlignment="1">
      <alignment horizontal="right" vertical="center"/>
    </xf>
    <xf numFmtId="177" fontId="12" fillId="3" borderId="10" xfId="0" applyNumberFormat="1" applyFont="1" applyFill="1" applyBorder="1" applyAlignment="1">
      <alignment horizontal="right" vertical="center" shrinkToFit="1"/>
    </xf>
    <xf numFmtId="1" fontId="12" fillId="0" borderId="10" xfId="0" applyNumberFormat="1" applyFont="1" applyBorder="1" applyAlignment="1">
      <alignment horizontal="right" vertical="center"/>
    </xf>
    <xf numFmtId="3" fontId="12" fillId="0" borderId="10" xfId="0" applyNumberFormat="1" applyFont="1" applyBorder="1" applyAlignment="1">
      <alignment horizontal="right" vertical="center" shrinkToFit="1"/>
    </xf>
    <xf numFmtId="3" fontId="12" fillId="5" borderId="10" xfId="0" applyNumberFormat="1" applyFont="1" applyFill="1" applyBorder="1" applyAlignment="1">
      <alignment horizontal="right" vertical="center" shrinkToFit="1"/>
    </xf>
    <xf numFmtId="3" fontId="12" fillId="0" borderId="10" xfId="14" applyNumberFormat="1" applyFont="1" applyBorder="1" applyAlignment="1">
      <alignment horizontal="right" vertical="center"/>
    </xf>
    <xf numFmtId="177" fontId="12" fillId="0" borderId="16" xfId="14" applyNumberFormat="1" applyFont="1" applyBorder="1" applyAlignment="1">
      <alignment horizontal="right" vertical="center"/>
    </xf>
    <xf numFmtId="3" fontId="12" fillId="3" borderId="10" xfId="0" applyNumberFormat="1" applyFont="1" applyFill="1" applyBorder="1" applyAlignment="1">
      <alignment horizontal="right" vertical="center"/>
    </xf>
    <xf numFmtId="0" fontId="12" fillId="3" borderId="10" xfId="0" applyFont="1" applyFill="1" applyBorder="1" applyAlignment="1">
      <alignment horizontal="right" vertical="center"/>
    </xf>
    <xf numFmtId="3" fontId="12" fillId="3" borderId="10" xfId="0" applyNumberFormat="1" applyFont="1" applyFill="1" applyBorder="1" applyAlignment="1">
      <alignment horizontal="right" vertical="center" shrinkToFit="1"/>
    </xf>
    <xf numFmtId="1" fontId="12" fillId="3" borderId="10" xfId="0" applyNumberFormat="1" applyFont="1" applyFill="1" applyBorder="1" applyAlignment="1">
      <alignment horizontal="right" vertical="center"/>
    </xf>
    <xf numFmtId="0" fontId="12" fillId="0" borderId="16" xfId="0" applyFont="1" applyBorder="1" applyAlignment="1">
      <alignment horizontal="right" vertical="center"/>
    </xf>
    <xf numFmtId="0" fontId="12" fillId="3" borderId="16" xfId="0" applyFont="1" applyFill="1" applyBorder="1" applyAlignment="1">
      <alignment horizontal="right" vertical="center"/>
    </xf>
    <xf numFmtId="0" fontId="24" fillId="0" borderId="10" xfId="0" applyFont="1" applyBorder="1" applyAlignment="1">
      <alignment horizontal="center" vertical="center"/>
    </xf>
    <xf numFmtId="176" fontId="12" fillId="5" borderId="10" xfId="2" applyFont="1" applyFill="1" applyBorder="1" applyAlignment="1">
      <alignment horizontal="right" vertical="center"/>
    </xf>
    <xf numFmtId="1" fontId="12" fillId="5" borderId="10" xfId="0" applyNumberFormat="1" applyFont="1" applyFill="1" applyBorder="1" applyAlignment="1">
      <alignment horizontal="right" vertical="center"/>
    </xf>
    <xf numFmtId="178" fontId="12" fillId="3" borderId="10" xfId="0" applyNumberFormat="1" applyFont="1" applyFill="1" applyBorder="1" applyAlignment="1">
      <alignment horizontal="right" vertical="center" shrinkToFit="1"/>
    </xf>
    <xf numFmtId="178" fontId="12" fillId="3" borderId="16" xfId="0" applyNumberFormat="1" applyFont="1" applyFill="1" applyBorder="1" applyAlignment="1">
      <alignment horizontal="right" vertical="center"/>
    </xf>
    <xf numFmtId="178" fontId="12" fillId="3" borderId="10" xfId="0" applyNumberFormat="1" applyFont="1" applyFill="1" applyBorder="1" applyAlignment="1">
      <alignment horizontal="right" vertical="center"/>
    </xf>
    <xf numFmtId="178" fontId="12" fillId="5" borderId="10" xfId="0" applyNumberFormat="1" applyFont="1" applyFill="1" applyBorder="1" applyAlignment="1">
      <alignment horizontal="right" vertical="center"/>
    </xf>
    <xf numFmtId="178" fontId="12" fillId="5" borderId="16" xfId="0" applyNumberFormat="1" applyFont="1" applyFill="1" applyBorder="1" applyAlignment="1">
      <alignment horizontal="right" vertical="center"/>
    </xf>
    <xf numFmtId="178" fontId="12" fillId="3" borderId="16" xfId="2" applyNumberFormat="1" applyFont="1" applyFill="1" applyBorder="1" applyAlignment="1">
      <alignment horizontal="right" vertical="center"/>
    </xf>
    <xf numFmtId="178" fontId="12" fillId="5" borderId="16" xfId="2" applyNumberFormat="1" applyFont="1" applyFill="1" applyBorder="1" applyAlignment="1">
      <alignment horizontal="right" vertical="center"/>
    </xf>
    <xf numFmtId="178" fontId="12" fillId="0" borderId="10" xfId="0" applyNumberFormat="1" applyFont="1" applyBorder="1" applyAlignment="1">
      <alignment horizontal="right" vertical="center"/>
    </xf>
    <xf numFmtId="178" fontId="12" fillId="0" borderId="16" xfId="0" applyNumberFormat="1" applyFont="1" applyBorder="1" applyAlignment="1">
      <alignment horizontal="right" vertical="center"/>
    </xf>
    <xf numFmtId="178" fontId="12" fillId="0" borderId="11" xfId="0" applyNumberFormat="1" applyFont="1" applyBorder="1" applyAlignment="1">
      <alignment horizontal="right" vertical="center"/>
    </xf>
    <xf numFmtId="178" fontId="12" fillId="0" borderId="55" xfId="0" applyNumberFormat="1" applyFont="1" applyBorder="1" applyAlignment="1">
      <alignment horizontal="right" vertical="center"/>
    </xf>
    <xf numFmtId="49" fontId="66" fillId="0" borderId="23" xfId="0" applyNumberFormat="1" applyFont="1" applyBorder="1">
      <alignment vertical="center"/>
    </xf>
    <xf numFmtId="49" fontId="12" fillId="0" borderId="58" xfId="0" applyNumberFormat="1" applyFont="1" applyBorder="1">
      <alignment vertical="center"/>
    </xf>
    <xf numFmtId="56" fontId="15" fillId="0" borderId="58" xfId="0" applyNumberFormat="1" applyFont="1" applyBorder="1" applyAlignment="1">
      <alignment horizontal="center" vertical="center"/>
    </xf>
    <xf numFmtId="0" fontId="0" fillId="0" borderId="58" xfId="0" applyBorder="1">
      <alignment vertical="center"/>
    </xf>
    <xf numFmtId="56" fontId="12" fillId="0" borderId="58" xfId="0" applyNumberFormat="1" applyFont="1" applyBorder="1" applyAlignment="1">
      <alignment horizontal="center" vertical="center"/>
    </xf>
    <xf numFmtId="0" fontId="69" fillId="0" borderId="58" xfId="0" applyFont="1" applyBorder="1" applyAlignment="1">
      <alignment horizontal="center" vertical="center"/>
    </xf>
    <xf numFmtId="0" fontId="12" fillId="0" borderId="58" xfId="0" applyFont="1" applyBorder="1">
      <alignment vertical="center"/>
    </xf>
    <xf numFmtId="0" fontId="70" fillId="0" borderId="12" xfId="0" applyFont="1" applyBorder="1">
      <alignment vertical="center"/>
    </xf>
    <xf numFmtId="49" fontId="25" fillId="0" borderId="58" xfId="0" applyNumberFormat="1" applyFont="1" applyBorder="1">
      <alignment vertical="center"/>
    </xf>
    <xf numFmtId="0" fontId="0" fillId="0" borderId="58" xfId="0" applyBorder="1" applyAlignment="1">
      <alignment horizontal="center" vertical="center"/>
    </xf>
    <xf numFmtId="0" fontId="0" fillId="0" borderId="58" xfId="0" applyBorder="1" applyAlignment="1">
      <alignment horizontal="right" vertical="center"/>
    </xf>
    <xf numFmtId="0" fontId="70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2" fillId="3" borderId="60" xfId="0" applyFont="1" applyFill="1" applyBorder="1" applyAlignment="1">
      <alignment horizontal="left" vertical="center"/>
    </xf>
    <xf numFmtId="0" fontId="25" fillId="5" borderId="60" xfId="0" applyFont="1" applyFill="1" applyBorder="1" applyAlignment="1">
      <alignment horizontal="left" vertical="center"/>
    </xf>
    <xf numFmtId="0" fontId="12" fillId="0" borderId="60" xfId="0" applyFont="1" applyBorder="1">
      <alignment vertical="center"/>
    </xf>
    <xf numFmtId="0" fontId="12" fillId="0" borderId="60" xfId="0" applyFont="1" applyBorder="1" applyAlignment="1">
      <alignment vertical="center" shrinkToFit="1"/>
    </xf>
    <xf numFmtId="0" fontId="25" fillId="5" borderId="60" xfId="0" applyFont="1" applyFill="1" applyBorder="1">
      <alignment vertical="center"/>
    </xf>
    <xf numFmtId="0" fontId="12" fillId="0" borderId="60" xfId="14" applyFont="1" applyBorder="1">
      <alignment vertical="center"/>
    </xf>
    <xf numFmtId="0" fontId="12" fillId="3" borderId="60" xfId="0" applyFont="1" applyFill="1" applyBorder="1">
      <alignment vertical="center"/>
    </xf>
    <xf numFmtId="0" fontId="62" fillId="5" borderId="60" xfId="0" applyFont="1" applyFill="1" applyBorder="1" applyAlignment="1">
      <alignment horizontal="left" vertical="center"/>
    </xf>
    <xf numFmtId="0" fontId="24" fillId="3" borderId="60" xfId="0" applyFont="1" applyFill="1" applyBorder="1">
      <alignment vertical="center"/>
    </xf>
    <xf numFmtId="0" fontId="12" fillId="8" borderId="60" xfId="0" applyFont="1" applyFill="1" applyBorder="1">
      <alignment vertical="center"/>
    </xf>
    <xf numFmtId="0" fontId="62" fillId="5" borderId="60" xfId="0" applyFont="1" applyFill="1" applyBorder="1">
      <alignment vertical="center"/>
    </xf>
    <xf numFmtId="0" fontId="64" fillId="0" borderId="60" xfId="0" applyFont="1" applyBorder="1">
      <alignment vertical="center"/>
    </xf>
    <xf numFmtId="0" fontId="12" fillId="0" borderId="50" xfId="0" applyFont="1" applyBorder="1">
      <alignment vertical="center"/>
    </xf>
    <xf numFmtId="49" fontId="62" fillId="0" borderId="83" xfId="0" applyNumberFormat="1" applyFont="1" applyBorder="1" applyAlignment="1">
      <alignment horizontal="center" vertical="center"/>
    </xf>
    <xf numFmtId="49" fontId="62" fillId="0" borderId="78" xfId="0" applyNumberFormat="1" applyFont="1" applyBorder="1" applyAlignment="1">
      <alignment horizontal="center" vertical="center"/>
    </xf>
    <xf numFmtId="49" fontId="62" fillId="0" borderId="82" xfId="0" applyNumberFormat="1" applyFont="1" applyBorder="1" applyAlignment="1">
      <alignment horizontal="center" vertical="center"/>
    </xf>
    <xf numFmtId="0" fontId="12" fillId="0" borderId="66" xfId="0" applyFont="1" applyBorder="1">
      <alignment vertical="center"/>
    </xf>
    <xf numFmtId="0" fontId="12" fillId="0" borderId="6" xfId="0" applyFont="1" applyBorder="1" applyAlignment="1">
      <alignment vertical="center" shrinkToFit="1"/>
    </xf>
    <xf numFmtId="176" fontId="12" fillId="0" borderId="6" xfId="2" applyFont="1" applyFill="1" applyBorder="1" applyAlignment="1">
      <alignment horizontal="right" vertical="center"/>
    </xf>
    <xf numFmtId="1" fontId="12" fillId="0" borderId="6" xfId="0" applyNumberFormat="1" applyFont="1" applyBorder="1" applyAlignment="1">
      <alignment horizontal="center" vertical="center"/>
    </xf>
    <xf numFmtId="177" fontId="12" fillId="0" borderId="6" xfId="0" applyNumberFormat="1" applyFont="1" applyBorder="1">
      <alignment vertical="center"/>
    </xf>
    <xf numFmtId="178" fontId="12" fillId="0" borderId="6" xfId="2" applyNumberFormat="1" applyFont="1" applyFill="1" applyBorder="1" applyAlignment="1">
      <alignment horizontal="right" vertical="center"/>
    </xf>
    <xf numFmtId="49" fontId="12" fillId="0" borderId="76" xfId="0" applyNumberFormat="1" applyFont="1" applyBorder="1">
      <alignment vertical="center"/>
    </xf>
    <xf numFmtId="0" fontId="0" fillId="0" borderId="75" xfId="0" applyBorder="1" applyAlignment="1">
      <alignment horizontal="center" vertical="center"/>
    </xf>
    <xf numFmtId="0" fontId="62" fillId="5" borderId="10" xfId="0" applyFont="1" applyFill="1" applyBorder="1" applyAlignment="1">
      <alignment horizontal="left" vertical="center"/>
    </xf>
    <xf numFmtId="0" fontId="62" fillId="5" borderId="5" xfId="0" applyFont="1" applyFill="1" applyBorder="1" applyAlignment="1">
      <alignment horizontal="left" vertical="center"/>
    </xf>
    <xf numFmtId="0" fontId="0" fillId="0" borderId="60" xfId="0" applyBorder="1">
      <alignment vertical="center"/>
    </xf>
    <xf numFmtId="0" fontId="17" fillId="0" borderId="10" xfId="0" applyFont="1" applyBorder="1">
      <alignment vertical="center"/>
    </xf>
    <xf numFmtId="0" fontId="22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49" fontId="25" fillId="0" borderId="10" xfId="0" applyNumberFormat="1" applyFont="1" applyBorder="1">
      <alignment vertical="center"/>
    </xf>
    <xf numFmtId="1" fontId="24" fillId="0" borderId="58" xfId="2" applyNumberFormat="1" applyFont="1" applyFill="1" applyBorder="1" applyAlignment="1">
      <alignment horizontal="left" vertical="center"/>
    </xf>
    <xf numFmtId="0" fontId="24" fillId="0" borderId="47" xfId="0" applyNumberFormat="1" applyFont="1" applyBorder="1" applyAlignment="1">
      <alignment horizontal="left" vertical="center"/>
    </xf>
    <xf numFmtId="0" fontId="24" fillId="0" borderId="47" xfId="0" applyNumberFormat="1" applyFont="1" applyBorder="1" applyAlignment="1">
      <alignment horizontal="center" vertical="center"/>
    </xf>
    <xf numFmtId="180" fontId="24" fillId="0" borderId="47" xfId="0" applyNumberFormat="1" applyFont="1" applyBorder="1" applyAlignment="1">
      <alignment horizontal="right" vertical="center"/>
    </xf>
  </cellXfs>
  <cellStyles count="15">
    <cellStyle name="ハイパーリンク" xfId="1" builtinId="8"/>
    <cellStyle name="桁区切り" xfId="2" builtinId="6"/>
    <cellStyle name="桁区切り 2" xfId="3" xr:uid="{00000000-0005-0000-0000-000003000000}"/>
    <cellStyle name="通貨" xfId="12" builtinId="7"/>
    <cellStyle name="標準" xfId="0" builtinId="0"/>
    <cellStyle name="標準 2" xfId="4" xr:uid="{00000000-0005-0000-0000-000006000000}"/>
    <cellStyle name="標準 3" xfId="5" xr:uid="{00000000-0005-0000-0000-000007000000}"/>
    <cellStyle name="標準 4" xfId="6" xr:uid="{ACAB8A87-129D-420D-873C-108EB08CBDC7}"/>
    <cellStyle name="標準 4 2" xfId="7" xr:uid="{8A689DF7-0F38-48DF-A2E1-2578A44E0094}"/>
    <cellStyle name="標準 4 2 2" xfId="8" xr:uid="{C85A73DC-9311-4595-A34D-F27B3BFB3CEC}"/>
    <cellStyle name="標準 4 2 2 2" xfId="9" xr:uid="{61A41DB0-3BE9-4094-A5C1-CF005F445984}"/>
    <cellStyle name="標準 4 2 2 2 2" xfId="11" xr:uid="{73C9D90A-4087-4C89-AF2C-7BEE2C949CD1}"/>
    <cellStyle name="標準 4 2 2 2 2 2" xfId="13" xr:uid="{3602255E-FDAE-4EBA-BE0C-A4E749982C91}"/>
    <cellStyle name="標準 4 2 2 2 2 2 2" xfId="14" xr:uid="{D71A3FD5-8B8D-4AD9-8726-1BFB16456FCC}"/>
    <cellStyle name="標準 5" xfId="10" xr:uid="{2B9876AE-5E37-473F-9835-F480CAEC330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284134</xdr:colOff>
      <xdr:row>38</xdr:row>
      <xdr:rowOff>48895</xdr:rowOff>
    </xdr:from>
    <xdr:to>
      <xdr:col>14</xdr:col>
      <xdr:colOff>691977</xdr:colOff>
      <xdr:row>46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41F035-D532-48E0-AF4E-B54806D7D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23543" y="6987713"/>
          <a:ext cx="3184525" cy="1440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about:blank" TargetMode="External"/><Relationship Id="rId1" Type="http://schemas.openxmlformats.org/officeDocument/2006/relationships/externalLinkPath" Target="about:blank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800906-VT-DD-01%20.xlsx" TargetMode="External"/><Relationship Id="rId1" Type="http://schemas.openxmlformats.org/officeDocument/2006/relationships/externalLinkPath" Target="file:///C:\Users\19544\Downloads\SY-5800906-VT-DD-01%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9544\Downloads\SY-4T601005-VT-DD-01%20(4).xlsx" TargetMode="External"/><Relationship Id="rId1" Type="http://schemas.openxmlformats.org/officeDocument/2006/relationships/externalLinkPath" Target="file:///\\10.251.98.9\fileshare\Users\19544\Downloads\SY-4T601005-VT-DD-01%20(4)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5500522-VT-DD-01%20.xlsx" TargetMode="External"/><Relationship Id="rId1" Type="http://schemas.openxmlformats.org/officeDocument/2006/relationships/externalLinkPath" Target="SY-5500522-VT-DD-01%2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8542\AppData\Local\Microsoft\Windows\INetCache\Content.Outlook\B2GLTWBL\0324WISM\&#12505;&#12488;&#12490;&#12512;&#36664;&#20986;&#20837;\NEW%20&#12505;&#12488;&#12490;&#12512;INVOIC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SHUNYA-SHARING\disk\&#32299;&#35069;&#20181;&#27096;&#26360;\&#22826;&#30000;\&#36664;&#20986;\SY-6500508-VT-DD-01.xlsx" TargetMode="External"/><Relationship Id="rId1" Type="http://schemas.openxmlformats.org/officeDocument/2006/relationships/externalLinkPath" Target="SY-6500508-VT-DD-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縫製仕様書1-1"/>
      <sheetName val="縫製仕様書-1-2"/>
      <sheetName val="布帛"/>
      <sheetName val="縫製仕様書-2-1"/>
      <sheetName val="縫製仕様書-2-2 "/>
      <sheetName val="ネーム・品質"/>
      <sheetName val="shipper master"/>
      <sheetName val="invoice"/>
      <sheetName val="case mark"/>
      <sheetName val="NARITA"/>
      <sheetName val="LABEL"/>
      <sheetName val="inst"/>
      <sheetName val="goods master"/>
      <sheetName val="UNDER VALUE(SHUNYA)"/>
      <sheetName val="CC(Shunya)) (2)"/>
      <sheetName val="CC(Shunya))"/>
    </sheetNames>
    <sheetDataSet>
      <sheetData sheetId="0"/>
      <sheetData sheetId="1">
        <row r="5">
          <cell r="C5" t="str">
            <v>COTDJK</v>
          </cell>
        </row>
      </sheetData>
      <sheetData sheetId="2"/>
      <sheetData sheetId="3"/>
      <sheetData sheetId="4"/>
      <sheetData sheetId="5"/>
      <sheetData sheetId="6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  <row r="50">
          <cell r="C50" t="str">
            <v xml:space="preserve">VIVAN GARMENTS VIET NAM </v>
          </cell>
        </row>
        <row r="51">
          <cell r="C51" t="str">
            <v xml:space="preserve"> COMPANY LIMITED</v>
          </cell>
        </row>
        <row r="52">
          <cell r="C52" t="str">
            <v xml:space="preserve"> HOCHIMINH-CITY, VIETNAM</v>
          </cell>
        </row>
        <row r="54">
          <cell r="C54" t="str">
            <v xml:space="preserve"> MADE IN JAPAN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LABEL"/>
    </sheetNames>
    <sheetDataSet>
      <sheetData sheetId="0">
        <row r="2">
          <cell r="C2" t="str">
            <v xml:space="preserve"> SHUNYA CO., LTD.</v>
          </cell>
        </row>
        <row r="3">
          <cell r="C3" t="str">
            <v xml:space="preserve"> KENSHIN BLDG., 1F, 1-22-10 DOUGENZAKA,</v>
          </cell>
        </row>
        <row r="4">
          <cell r="C4" t="str">
            <v xml:space="preserve"> SHIBUYA-KU 150-0043</v>
          </cell>
        </row>
        <row r="5">
          <cell r="C5" t="str">
            <v xml:space="preserve"> TEL : +81(0)3-5459-1177</v>
          </cell>
        </row>
        <row r="9">
          <cell r="C9" t="str">
            <v>VIVAN GARMENTS VIET NAM COMPANY LIMITED</v>
          </cell>
        </row>
        <row r="10">
          <cell r="C10" t="str">
            <v>D17 Street , Sai Gon South Residential Area</v>
          </cell>
        </row>
        <row r="11">
          <cell r="C11" t="str">
            <v>Hamlet 3 , Long Hau Commune , Can Giuoc District,</v>
          </cell>
        </row>
        <row r="12">
          <cell r="C12" t="str">
            <v xml:space="preserve"> Long An Province , VietNam</v>
          </cell>
        </row>
        <row r="13">
          <cell r="C13" t="str">
            <v xml:space="preserve"> TEL : ( 084 ) 097 22 00 798  ATTN : MR. TUAN</v>
          </cell>
        </row>
        <row r="15">
          <cell r="C15" t="str">
            <v xml:space="preserve"> - SAME AS BUYER -</v>
          </cell>
        </row>
        <row r="21">
          <cell r="C21" t="str">
            <v xml:space="preserve"> NO COMMERCIAL</v>
          </cell>
        </row>
        <row r="24">
          <cell r="C24" t="str">
            <v xml:space="preserve"> AIRCRAFT</v>
          </cell>
        </row>
        <row r="32">
          <cell r="C32" t="str">
            <v xml:space="preserve"> TOKYO, JAPAN</v>
          </cell>
        </row>
        <row r="33">
          <cell r="C33" t="str">
            <v xml:space="preserve"> HOCHIMINH-CITY, VIETNAM</v>
          </cell>
        </row>
        <row r="36">
          <cell r="C36" t="str">
            <v>FABRIC &amp; PARTS FOR WEAR &amp; SAMPLE CLOTHES</v>
          </cell>
        </row>
        <row r="38">
          <cell r="C38" t="str">
            <v>- DETAILS AS PER ATTACHED SHEET -</v>
          </cell>
        </row>
        <row r="48">
          <cell r="C48" t="str">
            <v>F.O.B. TOKYO IN YEN</v>
          </cell>
        </row>
        <row r="60">
          <cell r="C60" t="str">
            <v>COUNTRY OF ORIGIN : JAPAN</v>
          </cell>
        </row>
        <row r="63">
          <cell r="C63" t="str">
            <v>" THESE GOODS WILL BE RETURN TO JAPAN</v>
          </cell>
        </row>
        <row r="64">
          <cell r="C64" t="str">
            <v xml:space="preserve">  AFTER MANUFACTURED AT VIET NAM "</v>
          </cell>
        </row>
      </sheetData>
      <sheetData sheetId="1"/>
      <sheetData sheetId="2"/>
      <sheetData sheetId="3">
        <row r="28">
          <cell r="F28" t="str">
            <v>M.</v>
          </cell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invoice"/>
      <sheetName val="case mark (2)"/>
      <sheetName val="NARITA"/>
      <sheetName val="NARITA (2)"/>
      <sheetName val="サンプル製品カタログ"/>
      <sheetName val="LABEL"/>
      <sheetName val="LABEL②"/>
    </sheetNames>
    <sheetDataSet>
      <sheetData sheetId="0"/>
      <sheetData sheetId="1">
        <row r="24">
          <cell r="B24" t="str">
            <v>FABRIC &amp; PARTS FOR WEAR &amp; SAMPLE CLOTHES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 refreshError="1"/>
      <sheetData sheetId="1" refreshError="1"/>
      <sheetData sheetId="2" refreshError="1"/>
      <sheetData sheetId="3">
        <row r="6">
          <cell r="D6" t="str">
            <v>FABRIC &amp; PARTS FOR WEAR &amp; SAMPLE CLOTHES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per master"/>
      <sheetName val="inst"/>
      <sheetName val="goods master"/>
      <sheetName val="invoice"/>
      <sheetName val="case mark"/>
      <sheetName val="UNDER VALUE(SHUNYA)"/>
      <sheetName val="CC(Shunya)) (2)"/>
      <sheetName val="CC(Shunya))"/>
    </sheetNames>
    <sheetDataSet>
      <sheetData sheetId="0" refreshError="1">
        <row r="36">
          <cell r="C36" t="str">
            <v>FABRIC &amp; PARTS FOR WEAR</v>
          </cell>
        </row>
        <row r="48">
          <cell r="C48" t="str">
            <v>F.O.B. TOKYO IN YEN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ipper master"/>
      <sheetName val="case mark "/>
      <sheetName val="invoice"/>
      <sheetName val="NARITA "/>
      <sheetName val="NARITA (2)"/>
      <sheetName val="サンプル製品カタログ"/>
      <sheetName val="LABEL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149"/>
  <sheetViews>
    <sheetView tabSelected="1" workbookViewId="0">
      <selection activeCell="F51" sqref="F51"/>
    </sheetView>
  </sheetViews>
  <sheetFormatPr defaultColWidth="9" defaultRowHeight="12.5"/>
  <cols>
    <col min="1" max="1" width="3.90625" style="7" customWidth="1"/>
    <col min="2" max="2" width="21.36328125" style="3" customWidth="1"/>
    <col min="3" max="3" width="63.08984375" style="2" customWidth="1"/>
    <col min="4" max="16384" width="9" style="1"/>
  </cols>
  <sheetData>
    <row r="1" spans="1:3" s="3" customFormat="1" ht="25.5" customHeight="1">
      <c r="A1" s="7">
        <v>1</v>
      </c>
      <c r="B1" s="7" t="s">
        <v>1</v>
      </c>
      <c r="C1" s="2" t="s">
        <v>0</v>
      </c>
    </row>
    <row r="2" spans="1:3" s="8" customFormat="1">
      <c r="A2" s="7">
        <f>A1+1</f>
        <v>2</v>
      </c>
      <c r="B2" s="4" t="s">
        <v>5</v>
      </c>
      <c r="C2" s="4" t="s">
        <v>65</v>
      </c>
    </row>
    <row r="3" spans="1:3">
      <c r="A3" s="7">
        <f>A2+1</f>
        <v>3</v>
      </c>
      <c r="B3" s="4" t="s">
        <v>3</v>
      </c>
      <c r="C3" s="2" t="s">
        <v>66</v>
      </c>
    </row>
    <row r="4" spans="1:3">
      <c r="A4" s="7">
        <f t="shared" ref="A4:A68" si="0">A3+1</f>
        <v>4</v>
      </c>
      <c r="B4" s="4" t="s">
        <v>2</v>
      </c>
      <c r="C4" s="2" t="s">
        <v>67</v>
      </c>
    </row>
    <row r="5" spans="1:3" s="8" customFormat="1">
      <c r="A5" s="7">
        <f t="shared" si="0"/>
        <v>5</v>
      </c>
      <c r="B5" s="4" t="s">
        <v>4</v>
      </c>
      <c r="C5" s="4" t="s">
        <v>68</v>
      </c>
    </row>
    <row r="6" spans="1:3" s="8" customFormat="1">
      <c r="A6" s="7">
        <f t="shared" si="0"/>
        <v>6</v>
      </c>
      <c r="B6" s="4" t="s">
        <v>6</v>
      </c>
      <c r="C6" s="3"/>
    </row>
    <row r="7" spans="1:3" s="8" customFormat="1">
      <c r="A7" s="7">
        <f t="shared" si="0"/>
        <v>7</v>
      </c>
      <c r="B7" s="4" t="s">
        <v>7</v>
      </c>
      <c r="C7" s="4"/>
    </row>
    <row r="8" spans="1:3" s="8" customFormat="1">
      <c r="A8" s="7">
        <f t="shared" si="0"/>
        <v>8</v>
      </c>
      <c r="B8" s="4" t="s">
        <v>8</v>
      </c>
      <c r="C8" s="4"/>
    </row>
    <row r="9" spans="1:3" s="8" customFormat="1">
      <c r="A9" s="7">
        <f t="shared" si="0"/>
        <v>9</v>
      </c>
      <c r="B9" s="9" t="s">
        <v>76</v>
      </c>
      <c r="C9" s="4" t="s">
        <v>101</v>
      </c>
    </row>
    <row r="10" spans="1:3" s="8" customFormat="1">
      <c r="A10" s="7">
        <f t="shared" si="0"/>
        <v>10</v>
      </c>
      <c r="B10" s="9" t="s">
        <v>77</v>
      </c>
      <c r="C10" s="4" t="s">
        <v>143</v>
      </c>
    </row>
    <row r="11" spans="1:3" s="8" customFormat="1">
      <c r="A11" s="7">
        <f t="shared" si="0"/>
        <v>11</v>
      </c>
      <c r="B11" s="9" t="s">
        <v>78</v>
      </c>
      <c r="C11" s="2" t="s">
        <v>102</v>
      </c>
    </row>
    <row r="12" spans="1:3" s="8" customFormat="1">
      <c r="A12" s="7">
        <f t="shared" si="0"/>
        <v>12</v>
      </c>
      <c r="B12" s="9" t="s">
        <v>79</v>
      </c>
      <c r="C12" s="2" t="s">
        <v>103</v>
      </c>
    </row>
    <row r="13" spans="1:3" s="8" customFormat="1">
      <c r="A13" s="7">
        <f t="shared" si="0"/>
        <v>13</v>
      </c>
      <c r="B13" s="9" t="s">
        <v>9</v>
      </c>
      <c r="C13" s="3" t="s">
        <v>106</v>
      </c>
    </row>
    <row r="14" spans="1:3" s="8" customFormat="1" ht="13.5">
      <c r="A14" s="7">
        <f t="shared" si="0"/>
        <v>14</v>
      </c>
      <c r="B14" s="9" t="s">
        <v>10</v>
      </c>
      <c r="C14" s="12"/>
    </row>
    <row r="15" spans="1:3" s="8" customFormat="1">
      <c r="A15" s="7">
        <f t="shared" si="0"/>
        <v>15</v>
      </c>
      <c r="B15" s="4" t="s">
        <v>11</v>
      </c>
      <c r="C15" s="4" t="s">
        <v>69</v>
      </c>
    </row>
    <row r="16" spans="1:3" s="8" customFormat="1">
      <c r="A16" s="7">
        <f t="shared" si="0"/>
        <v>16</v>
      </c>
      <c r="B16" s="4" t="s">
        <v>12</v>
      </c>
      <c r="C16" s="2"/>
    </row>
    <row r="17" spans="1:3" s="8" customFormat="1">
      <c r="A17" s="7">
        <f t="shared" si="0"/>
        <v>17</v>
      </c>
      <c r="B17" s="4" t="s">
        <v>13</v>
      </c>
      <c r="C17" s="2"/>
    </row>
    <row r="18" spans="1:3" s="8" customFormat="1">
      <c r="A18" s="7">
        <f t="shared" si="0"/>
        <v>18</v>
      </c>
      <c r="B18" s="4" t="s">
        <v>14</v>
      </c>
      <c r="C18" s="3"/>
    </row>
    <row r="19" spans="1:3" s="8" customFormat="1">
      <c r="A19" s="7">
        <f t="shared" si="0"/>
        <v>19</v>
      </c>
      <c r="B19" s="4" t="s">
        <v>15</v>
      </c>
      <c r="C19" s="4"/>
    </row>
    <row r="20" spans="1:3" s="8" customFormat="1">
      <c r="A20" s="7">
        <f t="shared" si="0"/>
        <v>20</v>
      </c>
      <c r="B20" s="4" t="s">
        <v>16</v>
      </c>
      <c r="C20" s="4"/>
    </row>
    <row r="21" spans="1:3" s="8" customFormat="1">
      <c r="A21" s="7">
        <f t="shared" si="0"/>
        <v>21</v>
      </c>
      <c r="B21" s="4" t="s">
        <v>10</v>
      </c>
      <c r="C21" s="10" t="s">
        <v>84</v>
      </c>
    </row>
    <row r="22" spans="1:3" s="8" customFormat="1">
      <c r="A22" s="7">
        <f t="shared" si="0"/>
        <v>22</v>
      </c>
      <c r="B22" s="4" t="s">
        <v>17</v>
      </c>
      <c r="C22" s="10"/>
    </row>
    <row r="23" spans="1:3" s="8" customFormat="1">
      <c r="A23" s="7">
        <f t="shared" si="0"/>
        <v>23</v>
      </c>
      <c r="B23" s="4" t="s">
        <v>18</v>
      </c>
      <c r="C23" s="10"/>
    </row>
    <row r="24" spans="1:3" s="8" customFormat="1">
      <c r="A24" s="7">
        <f t="shared" si="0"/>
        <v>24</v>
      </c>
      <c r="B24" s="4" t="s">
        <v>19</v>
      </c>
      <c r="C24" s="4" t="s">
        <v>80</v>
      </c>
    </row>
    <row r="25" spans="1:3" s="8" customFormat="1">
      <c r="A25" s="7">
        <f t="shared" si="0"/>
        <v>25</v>
      </c>
      <c r="B25" s="9" t="s">
        <v>20</v>
      </c>
      <c r="C25" s="25" t="s">
        <v>392</v>
      </c>
    </row>
    <row r="26" spans="1:3">
      <c r="A26" s="7">
        <f t="shared" si="0"/>
        <v>26</v>
      </c>
      <c r="B26" s="9" t="s">
        <v>21</v>
      </c>
      <c r="C26" s="26" t="s">
        <v>393</v>
      </c>
    </row>
    <row r="27" spans="1:3">
      <c r="A27" s="7">
        <f t="shared" si="0"/>
        <v>27</v>
      </c>
      <c r="B27" s="9" t="s">
        <v>22</v>
      </c>
      <c r="C27" s="26" t="str">
        <f>C26</f>
        <v xml:space="preserve"> SY-7801222-VT-DD-01</v>
      </c>
    </row>
    <row r="28" spans="1:3">
      <c r="A28" s="7">
        <f t="shared" si="0"/>
        <v>28</v>
      </c>
      <c r="B28" s="9" t="s">
        <v>23</v>
      </c>
      <c r="C28" s="11"/>
    </row>
    <row r="29" spans="1:3">
      <c r="A29" s="7">
        <f t="shared" si="0"/>
        <v>29</v>
      </c>
      <c r="B29" s="9" t="s">
        <v>24</v>
      </c>
      <c r="C29" s="11"/>
    </row>
    <row r="30" spans="1:3">
      <c r="A30" s="7">
        <f t="shared" si="0"/>
        <v>30</v>
      </c>
      <c r="B30" s="9" t="s">
        <v>25</v>
      </c>
    </row>
    <row r="31" spans="1:3">
      <c r="A31" s="7">
        <f t="shared" si="0"/>
        <v>31</v>
      </c>
      <c r="B31" s="4" t="s">
        <v>26</v>
      </c>
    </row>
    <row r="32" spans="1:3">
      <c r="A32" s="7">
        <f t="shared" si="0"/>
        <v>32</v>
      </c>
      <c r="B32" s="4" t="s">
        <v>27</v>
      </c>
      <c r="C32" s="2" t="s">
        <v>28</v>
      </c>
    </row>
    <row r="33" spans="1:3">
      <c r="A33" s="7">
        <f t="shared" si="0"/>
        <v>33</v>
      </c>
      <c r="B33" s="9" t="s">
        <v>29</v>
      </c>
      <c r="C33" s="2" t="s">
        <v>70</v>
      </c>
    </row>
    <row r="34" spans="1:3">
      <c r="A34" s="7">
        <f t="shared" si="0"/>
        <v>34</v>
      </c>
      <c r="B34" s="4" t="s">
        <v>30</v>
      </c>
    </row>
    <row r="35" spans="1:3">
      <c r="A35" s="7">
        <f t="shared" si="0"/>
        <v>35</v>
      </c>
      <c r="B35" s="4" t="s">
        <v>31</v>
      </c>
      <c r="C35" s="2" t="s">
        <v>64</v>
      </c>
    </row>
    <row r="36" spans="1:3">
      <c r="A36" s="7">
        <f t="shared" si="0"/>
        <v>36</v>
      </c>
      <c r="B36" s="9" t="s">
        <v>32</v>
      </c>
      <c r="C36" s="15" t="s">
        <v>105</v>
      </c>
    </row>
    <row r="37" spans="1:3">
      <c r="A37" s="7">
        <f t="shared" si="0"/>
        <v>37</v>
      </c>
      <c r="B37" s="9" t="s">
        <v>33</v>
      </c>
    </row>
    <row r="38" spans="1:3">
      <c r="A38" s="7">
        <f t="shared" si="0"/>
        <v>38</v>
      </c>
      <c r="B38" s="4" t="s">
        <v>34</v>
      </c>
      <c r="C38" s="11" t="s">
        <v>35</v>
      </c>
    </row>
    <row r="39" spans="1:3">
      <c r="A39" s="7">
        <f t="shared" si="0"/>
        <v>39</v>
      </c>
      <c r="B39" s="4" t="s">
        <v>36</v>
      </c>
      <c r="C39" s="11"/>
    </row>
    <row r="40" spans="1:3">
      <c r="A40" s="7">
        <f t="shared" si="0"/>
        <v>40</v>
      </c>
      <c r="B40" s="4" t="s">
        <v>37</v>
      </c>
    </row>
    <row r="41" spans="1:3">
      <c r="A41" s="7">
        <f t="shared" si="0"/>
        <v>41</v>
      </c>
      <c r="B41" s="4" t="s">
        <v>38</v>
      </c>
    </row>
    <row r="42" spans="1:3">
      <c r="A42" s="7">
        <f t="shared" si="0"/>
        <v>42</v>
      </c>
      <c r="B42" s="4" t="s">
        <v>39</v>
      </c>
    </row>
    <row r="43" spans="1:3">
      <c r="A43" s="7">
        <f t="shared" si="0"/>
        <v>43</v>
      </c>
      <c r="B43" s="9" t="s">
        <v>40</v>
      </c>
      <c r="C43" s="2" t="s">
        <v>395</v>
      </c>
    </row>
    <row r="44" spans="1:3">
      <c r="A44" s="7">
        <f t="shared" si="0"/>
        <v>44</v>
      </c>
      <c r="B44" s="4" t="s">
        <v>41</v>
      </c>
      <c r="C44" s="13"/>
    </row>
    <row r="45" spans="1:3">
      <c r="A45" s="7">
        <f t="shared" si="0"/>
        <v>45</v>
      </c>
      <c r="B45" s="9" t="s">
        <v>42</v>
      </c>
      <c r="C45" s="27">
        <f>invoice!O33</f>
        <v>1220920</v>
      </c>
    </row>
    <row r="46" spans="1:3">
      <c r="A46" s="7">
        <f t="shared" si="0"/>
        <v>46</v>
      </c>
      <c r="B46" s="4" t="s">
        <v>43</v>
      </c>
      <c r="C46" s="14"/>
    </row>
    <row r="47" spans="1:3">
      <c r="A47" s="7">
        <f t="shared" si="0"/>
        <v>47</v>
      </c>
      <c r="B47" s="4" t="s">
        <v>43</v>
      </c>
      <c r="C47" s="13"/>
    </row>
    <row r="48" spans="1:3">
      <c r="A48" s="7">
        <f t="shared" si="0"/>
        <v>48</v>
      </c>
      <c r="B48" s="4" t="s">
        <v>31</v>
      </c>
      <c r="C48" s="15" t="s">
        <v>64</v>
      </c>
    </row>
    <row r="49" spans="1:3">
      <c r="A49" s="7">
        <f t="shared" si="0"/>
        <v>49</v>
      </c>
      <c r="B49" s="9" t="s">
        <v>44</v>
      </c>
      <c r="C49" s="2" t="str">
        <f>C27</f>
        <v xml:space="preserve"> SY-7801222-VT-DD-01</v>
      </c>
    </row>
    <row r="50" spans="1:3">
      <c r="A50" s="7">
        <f t="shared" si="0"/>
        <v>50</v>
      </c>
      <c r="B50" s="9" t="s">
        <v>45</v>
      </c>
      <c r="C50" s="4" t="s">
        <v>101</v>
      </c>
    </row>
    <row r="51" spans="1:3">
      <c r="A51" s="7">
        <f t="shared" si="0"/>
        <v>51</v>
      </c>
      <c r="B51" s="9" t="s">
        <v>46</v>
      </c>
      <c r="C51" s="4" t="s">
        <v>143</v>
      </c>
    </row>
    <row r="52" spans="1:3">
      <c r="A52" s="7">
        <f t="shared" si="0"/>
        <v>52</v>
      </c>
      <c r="B52" s="9" t="s">
        <v>47</v>
      </c>
      <c r="C52" s="2" t="s">
        <v>102</v>
      </c>
    </row>
    <row r="53" spans="1:3">
      <c r="A53" s="7">
        <f t="shared" si="0"/>
        <v>53</v>
      </c>
      <c r="B53" s="9" t="s">
        <v>48</v>
      </c>
      <c r="C53" s="2" t="s">
        <v>103</v>
      </c>
    </row>
    <row r="54" spans="1:3">
      <c r="A54" s="7">
        <f t="shared" si="0"/>
        <v>54</v>
      </c>
      <c r="B54" s="9" t="s">
        <v>49</v>
      </c>
      <c r="C54" s="3" t="s">
        <v>104</v>
      </c>
    </row>
    <row r="55" spans="1:3">
      <c r="A55" s="7">
        <f t="shared" si="0"/>
        <v>55</v>
      </c>
      <c r="B55" s="28" t="s">
        <v>50</v>
      </c>
      <c r="C55" s="26" t="s">
        <v>394</v>
      </c>
    </row>
    <row r="56" spans="1:3">
      <c r="A56" s="7">
        <f t="shared" si="0"/>
        <v>56</v>
      </c>
      <c r="B56" s="4" t="s">
        <v>51</v>
      </c>
      <c r="C56" s="4"/>
    </row>
    <row r="57" spans="1:3">
      <c r="A57" s="7">
        <f t="shared" si="0"/>
        <v>57</v>
      </c>
      <c r="B57" s="4"/>
    </row>
    <row r="58" spans="1:3">
      <c r="A58" s="7">
        <f t="shared" si="0"/>
        <v>58</v>
      </c>
      <c r="B58" s="4"/>
    </row>
    <row r="59" spans="1:3">
      <c r="A59" s="7">
        <f t="shared" si="0"/>
        <v>59</v>
      </c>
      <c r="B59" s="4"/>
    </row>
    <row r="60" spans="1:3">
      <c r="A60" s="7">
        <f t="shared" si="0"/>
        <v>60</v>
      </c>
      <c r="B60" s="4" t="s">
        <v>52</v>
      </c>
      <c r="C60" s="2" t="s">
        <v>155</v>
      </c>
    </row>
    <row r="61" spans="1:3">
      <c r="A61" s="7">
        <f t="shared" si="0"/>
        <v>61</v>
      </c>
      <c r="B61" s="4" t="s">
        <v>53</v>
      </c>
    </row>
    <row r="62" spans="1:3">
      <c r="A62" s="7">
        <f t="shared" si="0"/>
        <v>62</v>
      </c>
      <c r="B62" s="4"/>
    </row>
    <row r="63" spans="1:3">
      <c r="A63" s="7">
        <f t="shared" si="0"/>
        <v>63</v>
      </c>
      <c r="B63" s="18" t="s">
        <v>81</v>
      </c>
      <c r="C63" s="17" t="s">
        <v>82</v>
      </c>
    </row>
    <row r="64" spans="1:3">
      <c r="A64" s="7">
        <f t="shared" si="0"/>
        <v>64</v>
      </c>
      <c r="B64" s="4"/>
      <c r="C64" s="17" t="s">
        <v>83</v>
      </c>
    </row>
    <row r="65" spans="1:3">
      <c r="A65" s="7">
        <f t="shared" si="0"/>
        <v>65</v>
      </c>
      <c r="B65" s="4"/>
    </row>
    <row r="66" spans="1:3">
      <c r="A66" s="7">
        <f t="shared" si="0"/>
        <v>66</v>
      </c>
      <c r="B66" s="4"/>
    </row>
    <row r="67" spans="1:3">
      <c r="A67" s="7">
        <f t="shared" si="0"/>
        <v>67</v>
      </c>
      <c r="B67" s="4" t="s">
        <v>54</v>
      </c>
      <c r="C67" s="6"/>
    </row>
    <row r="68" spans="1:3">
      <c r="A68" s="7">
        <f t="shared" si="0"/>
        <v>68</v>
      </c>
      <c r="B68" s="9" t="s">
        <v>55</v>
      </c>
      <c r="C68" s="2" t="s">
        <v>75</v>
      </c>
    </row>
    <row r="69" spans="1:3">
      <c r="A69" s="7">
        <f t="shared" ref="A69:A86" si="1">A68+1</f>
        <v>69</v>
      </c>
      <c r="B69" s="4" t="s">
        <v>56</v>
      </c>
      <c r="C69" s="2" t="s">
        <v>73</v>
      </c>
    </row>
    <row r="70" spans="1:3">
      <c r="A70" s="7">
        <f t="shared" si="1"/>
        <v>70</v>
      </c>
      <c r="B70" s="4" t="s">
        <v>57</v>
      </c>
    </row>
    <row r="71" spans="1:3">
      <c r="A71" s="7">
        <f t="shared" si="1"/>
        <v>71</v>
      </c>
      <c r="B71" s="4"/>
    </row>
    <row r="72" spans="1:3">
      <c r="A72" s="7">
        <f t="shared" si="1"/>
        <v>72</v>
      </c>
      <c r="B72" s="4"/>
    </row>
    <row r="73" spans="1:3">
      <c r="A73" s="7">
        <f t="shared" si="1"/>
        <v>73</v>
      </c>
      <c r="B73" s="4"/>
    </row>
    <row r="74" spans="1:3">
      <c r="A74" s="7">
        <f t="shared" si="1"/>
        <v>74</v>
      </c>
      <c r="B74" s="4"/>
    </row>
    <row r="75" spans="1:3">
      <c r="A75" s="7">
        <f t="shared" si="1"/>
        <v>75</v>
      </c>
      <c r="B75" s="4" t="s">
        <v>58</v>
      </c>
      <c r="C75" s="2" t="s">
        <v>72</v>
      </c>
    </row>
    <row r="76" spans="1:3">
      <c r="A76" s="7">
        <f t="shared" si="1"/>
        <v>76</v>
      </c>
      <c r="B76" s="4" t="s">
        <v>59</v>
      </c>
      <c r="C76" s="4"/>
    </row>
    <row r="77" spans="1:3">
      <c r="A77" s="7">
        <f t="shared" si="1"/>
        <v>77</v>
      </c>
      <c r="B77" s="4"/>
    </row>
    <row r="78" spans="1:3">
      <c r="A78" s="7">
        <f t="shared" si="1"/>
        <v>78</v>
      </c>
      <c r="B78" s="4" t="s">
        <v>60</v>
      </c>
      <c r="C78" s="2" t="s">
        <v>74</v>
      </c>
    </row>
    <row r="79" spans="1:3">
      <c r="A79" s="7">
        <f t="shared" si="1"/>
        <v>79</v>
      </c>
      <c r="B79" s="4" t="s">
        <v>61</v>
      </c>
      <c r="C79" s="2" t="s">
        <v>74</v>
      </c>
    </row>
    <row r="80" spans="1:3">
      <c r="A80" s="7">
        <f t="shared" si="1"/>
        <v>80</v>
      </c>
      <c r="B80" s="4"/>
    </row>
    <row r="81" spans="1:3">
      <c r="A81" s="7">
        <f t="shared" si="1"/>
        <v>81</v>
      </c>
      <c r="B81" s="4" t="s">
        <v>62</v>
      </c>
      <c r="C81" s="239" t="s">
        <v>184</v>
      </c>
    </row>
    <row r="82" spans="1:3">
      <c r="A82" s="7">
        <f t="shared" si="1"/>
        <v>82</v>
      </c>
      <c r="B82" s="4"/>
    </row>
    <row r="83" spans="1:3">
      <c r="A83" s="7">
        <f t="shared" si="1"/>
        <v>83</v>
      </c>
      <c r="B83" s="4" t="s">
        <v>63</v>
      </c>
      <c r="C83" s="2" t="s">
        <v>71</v>
      </c>
    </row>
    <row r="84" spans="1:3">
      <c r="A84" s="7">
        <f t="shared" si="1"/>
        <v>84</v>
      </c>
      <c r="B84" s="4"/>
    </row>
    <row r="85" spans="1:3">
      <c r="A85" s="7">
        <f t="shared" si="1"/>
        <v>85</v>
      </c>
      <c r="B85" s="4"/>
    </row>
    <row r="86" spans="1:3">
      <c r="A86" s="7">
        <f t="shared" si="1"/>
        <v>86</v>
      </c>
      <c r="B86" s="4"/>
    </row>
    <row r="87" spans="1:3">
      <c r="B87" s="4"/>
    </row>
    <row r="88" spans="1:3">
      <c r="B88" s="4"/>
    </row>
    <row r="89" spans="1:3">
      <c r="B89" s="4"/>
    </row>
    <row r="90" spans="1:3">
      <c r="B90" s="4"/>
    </row>
    <row r="91" spans="1:3">
      <c r="B91" s="4"/>
    </row>
    <row r="92" spans="1:3">
      <c r="B92" s="4"/>
    </row>
    <row r="93" spans="1:3">
      <c r="B93" s="4"/>
    </row>
    <row r="95" spans="1:3">
      <c r="B95" s="4"/>
    </row>
    <row r="96" spans="1:3">
      <c r="B96" s="4"/>
    </row>
    <row r="97" spans="2:2">
      <c r="B97" s="4"/>
    </row>
    <row r="98" spans="2:2">
      <c r="B98" s="4"/>
    </row>
    <row r="99" spans="2:2">
      <c r="B99" s="4"/>
    </row>
    <row r="100" spans="2:2">
      <c r="B100" s="4"/>
    </row>
    <row r="101" spans="2:2">
      <c r="B101" s="4"/>
    </row>
    <row r="102" spans="2:2">
      <c r="B102" s="4"/>
    </row>
    <row r="103" spans="2:2">
      <c r="B103" s="4"/>
    </row>
    <row r="104" spans="2:2">
      <c r="B104" s="4"/>
    </row>
    <row r="105" spans="2:2">
      <c r="B105" s="4"/>
    </row>
    <row r="106" spans="2:2">
      <c r="B106" s="4"/>
    </row>
    <row r="107" spans="2:2">
      <c r="B107" s="4"/>
    </row>
    <row r="108" spans="2:2">
      <c r="B108" s="4"/>
    </row>
    <row r="109" spans="2:2">
      <c r="B109" s="4"/>
    </row>
    <row r="110" spans="2:2">
      <c r="B110" s="4"/>
    </row>
    <row r="111" spans="2:2">
      <c r="B111" s="4"/>
    </row>
    <row r="112" spans="2:2">
      <c r="B112" s="4"/>
    </row>
    <row r="113" spans="2:2">
      <c r="B113" s="4"/>
    </row>
    <row r="114" spans="2:2">
      <c r="B114" s="4"/>
    </row>
    <row r="115" spans="2:2">
      <c r="B115" s="4"/>
    </row>
    <row r="116" spans="2:2">
      <c r="B116" s="4"/>
    </row>
    <row r="117" spans="2:2">
      <c r="B117" s="4"/>
    </row>
    <row r="118" spans="2:2">
      <c r="B118" s="4"/>
    </row>
    <row r="119" spans="2:2">
      <c r="B119" s="4"/>
    </row>
    <row r="120" spans="2:2">
      <c r="B120" s="4"/>
    </row>
    <row r="121" spans="2:2">
      <c r="B121" s="4"/>
    </row>
    <row r="122" spans="2:2">
      <c r="B122" s="4"/>
    </row>
    <row r="123" spans="2:2">
      <c r="B123" s="4"/>
    </row>
    <row r="124" spans="2:2">
      <c r="B124" s="4"/>
    </row>
    <row r="125" spans="2:2">
      <c r="B125" s="4"/>
    </row>
    <row r="126" spans="2:2">
      <c r="B126" s="4"/>
    </row>
    <row r="127" spans="2:2">
      <c r="B127" s="4"/>
    </row>
    <row r="128" spans="2:2">
      <c r="B128" s="4"/>
    </row>
    <row r="129" spans="2:2">
      <c r="B129" s="4"/>
    </row>
    <row r="130" spans="2:2">
      <c r="B130" s="4"/>
    </row>
    <row r="131" spans="2:2">
      <c r="B131" s="4"/>
    </row>
    <row r="132" spans="2:2">
      <c r="B132" s="4"/>
    </row>
    <row r="133" spans="2:2">
      <c r="B133" s="4"/>
    </row>
    <row r="134" spans="2:2">
      <c r="B134" s="4"/>
    </row>
    <row r="135" spans="2:2">
      <c r="B135" s="4"/>
    </row>
    <row r="136" spans="2:2">
      <c r="B136" s="4"/>
    </row>
    <row r="137" spans="2:2">
      <c r="B137" s="4"/>
    </row>
    <row r="138" spans="2:2">
      <c r="B138" s="4"/>
    </row>
    <row r="139" spans="2:2">
      <c r="B139" s="4"/>
    </row>
    <row r="140" spans="2:2">
      <c r="B140" s="4"/>
    </row>
    <row r="141" spans="2:2">
      <c r="B141" s="4"/>
    </row>
    <row r="142" spans="2:2">
      <c r="B142" s="4"/>
    </row>
    <row r="143" spans="2:2">
      <c r="B143" s="4"/>
    </row>
    <row r="144" spans="2:2">
      <c r="B144" s="4"/>
    </row>
    <row r="145" spans="2:2">
      <c r="B145" s="4"/>
    </row>
    <row r="146" spans="2:2">
      <c r="B146" s="4"/>
    </row>
    <row r="147" spans="2:2">
      <c r="B147" s="4"/>
    </row>
    <row r="148" spans="2:2">
      <c r="B148" s="4"/>
    </row>
    <row r="149" spans="2:2">
      <c r="B149" s="4"/>
    </row>
  </sheetData>
  <phoneticPr fontId="14"/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585B-2836-4BDA-9250-F13773F4C007}">
  <dimension ref="A1:O34"/>
  <sheetViews>
    <sheetView zoomScale="50" zoomScaleNormal="50" workbookViewId="0">
      <selection activeCell="O26" sqref="O26"/>
    </sheetView>
  </sheetViews>
  <sheetFormatPr defaultRowHeight="15"/>
  <cols>
    <col min="1" max="1" width="7.6328125" customWidth="1"/>
    <col min="7" max="7" width="18.08984375" customWidth="1"/>
    <col min="8" max="8" width="3.90625" customWidth="1"/>
  </cols>
  <sheetData>
    <row r="1" spans="1:15" s="94" customFormat="1" ht="32.25" customHeight="1">
      <c r="H1" s="95"/>
    </row>
    <row r="2" spans="1:15" s="94" customFormat="1" ht="32.5">
      <c r="A2" s="94" t="str">
        <f>'shipper master'!C26</f>
        <v xml:space="preserve"> SY-7801222-VT-DD-01</v>
      </c>
      <c r="H2" s="95"/>
      <c r="I2" s="94" t="str">
        <f>'shipper master'!C26</f>
        <v xml:space="preserve"> SY-7801222-VT-DD-01</v>
      </c>
    </row>
    <row r="3" spans="1:15" s="94" customFormat="1" ht="32.5">
      <c r="A3" s="94" t="str">
        <f>'[1]shipper master'!C50</f>
        <v xml:space="preserve">VIVAN GARMENTS VIET NAM </v>
      </c>
      <c r="H3" s="95"/>
      <c r="I3" s="94" t="str">
        <f>'[1]shipper master'!C50</f>
        <v xml:space="preserve">VIVAN GARMENTS VIET NAM </v>
      </c>
    </row>
    <row r="4" spans="1:15" s="94" customFormat="1" ht="32.5">
      <c r="A4" s="94" t="str">
        <f>'[1]shipper master'!C51</f>
        <v xml:space="preserve"> COMPANY LIMITED</v>
      </c>
      <c r="H4" s="95"/>
      <c r="I4" s="94" t="str">
        <f>'[1]shipper master'!C51</f>
        <v xml:space="preserve"> COMPANY LIMITED</v>
      </c>
    </row>
    <row r="5" spans="1:15" s="94" customFormat="1" ht="32.5">
      <c r="A5" s="94" t="str">
        <f>'[1]shipper master'!C52</f>
        <v xml:space="preserve"> HOCHIMINH-CITY, VIETNAM</v>
      </c>
      <c r="H5" s="95"/>
      <c r="I5" s="94" t="str">
        <f>'[1]shipper master'!C52</f>
        <v xml:space="preserve"> HOCHIMINH-CITY, VIETNAM</v>
      </c>
    </row>
    <row r="6" spans="1:15" s="94" customFormat="1" ht="32.5">
      <c r="A6" s="94" t="s">
        <v>109</v>
      </c>
      <c r="C6" s="94">
        <v>1</v>
      </c>
      <c r="D6" s="96"/>
      <c r="H6" s="95"/>
      <c r="I6" s="94" t="s">
        <v>109</v>
      </c>
      <c r="K6" s="94">
        <v>2</v>
      </c>
    </row>
    <row r="7" spans="1:15" s="94" customFormat="1" ht="32.25" customHeight="1">
      <c r="A7" s="94" t="str">
        <f>'[1]shipper master'!C54</f>
        <v xml:space="preserve"> MADE IN JAPAN</v>
      </c>
      <c r="H7" s="95"/>
      <c r="I7" s="94" t="str">
        <f>'[1]shipper master'!C54</f>
        <v xml:space="preserve"> MADE IN JAPAN</v>
      </c>
    </row>
    <row r="8" spans="1:15" s="94" customFormat="1" ht="19.5" customHeight="1">
      <c r="H8" s="95"/>
    </row>
    <row r="9" spans="1:15" s="94" customFormat="1" ht="19.5" customHeight="1">
      <c r="H9" s="95"/>
    </row>
    <row r="10" spans="1:15" s="94" customFormat="1" ht="19.5" customHeight="1">
      <c r="A10" s="97"/>
      <c r="B10" s="97"/>
      <c r="C10" s="97"/>
      <c r="D10" s="97"/>
      <c r="E10" s="97"/>
      <c r="F10" s="97"/>
      <c r="G10" s="97"/>
      <c r="H10" s="98"/>
      <c r="I10" s="97"/>
      <c r="J10" s="97"/>
      <c r="K10" s="97"/>
      <c r="L10" s="97"/>
      <c r="M10" s="97"/>
      <c r="N10" s="97"/>
      <c r="O10" s="97"/>
    </row>
    <row r="11" spans="1:15" s="94" customFormat="1" ht="19.5" customHeight="1">
      <c r="H11" s="95"/>
    </row>
    <row r="12" spans="1:15" s="94" customFormat="1" ht="19.5" customHeight="1">
      <c r="H12" s="95"/>
    </row>
    <row r="13" spans="1:15" s="94" customFormat="1" ht="32.5">
      <c r="A13" s="94" t="str">
        <f>'shipper master'!C26</f>
        <v xml:space="preserve"> SY-7801222-VT-DD-01</v>
      </c>
      <c r="H13" s="95"/>
      <c r="I13" s="94" t="str">
        <f>'shipper master'!C26</f>
        <v xml:space="preserve"> SY-7801222-VT-DD-01</v>
      </c>
    </row>
    <row r="14" spans="1:15" s="94" customFormat="1" ht="32.5">
      <c r="A14" s="94" t="str">
        <f>'[1]shipper master'!C50</f>
        <v xml:space="preserve">VIVAN GARMENTS VIET NAM </v>
      </c>
      <c r="H14" s="95"/>
      <c r="I14" s="94" t="str">
        <f>'[1]shipper master'!C50</f>
        <v xml:space="preserve">VIVAN GARMENTS VIET NAM </v>
      </c>
    </row>
    <row r="15" spans="1:15" s="94" customFormat="1" ht="32.5">
      <c r="A15" s="94" t="str">
        <f>'[1]shipper master'!C51</f>
        <v xml:space="preserve"> COMPANY LIMITED</v>
      </c>
      <c r="H15" s="95"/>
      <c r="I15" s="94" t="str">
        <f>'[1]shipper master'!C51</f>
        <v xml:space="preserve"> COMPANY LIMITED</v>
      </c>
    </row>
    <row r="16" spans="1:15" s="94" customFormat="1" ht="32.5">
      <c r="A16" s="94" t="str">
        <f>'[1]shipper master'!C52</f>
        <v xml:space="preserve"> HOCHIMINH-CITY, VIETNAM</v>
      </c>
      <c r="H16" s="95"/>
      <c r="I16" s="94" t="str">
        <f>'[1]shipper master'!C52</f>
        <v xml:space="preserve"> HOCHIMINH-CITY, VIETNAM</v>
      </c>
    </row>
    <row r="17" spans="1:11" s="94" customFormat="1" ht="32.5">
      <c r="A17" s="94" t="s">
        <v>109</v>
      </c>
      <c r="C17" s="94">
        <v>3</v>
      </c>
      <c r="H17" s="95"/>
      <c r="I17" s="94" t="s">
        <v>109</v>
      </c>
      <c r="K17" s="94">
        <v>4</v>
      </c>
    </row>
    <row r="18" spans="1:11" s="94" customFormat="1" ht="32.5">
      <c r="A18" s="94" t="str">
        <f>'[1]shipper master'!C54</f>
        <v xml:space="preserve"> MADE IN JAPAN</v>
      </c>
      <c r="H18" s="95"/>
      <c r="I18" s="94" t="str">
        <f>'[1]shipper master'!C54</f>
        <v xml:space="preserve"> MADE IN JAPAN</v>
      </c>
    </row>
    <row r="19" spans="1:11" s="99" customFormat="1" ht="34">
      <c r="A19" s="94"/>
    </row>
    <row r="20" spans="1:11" s="99" customFormat="1" ht="34"/>
    <row r="21" spans="1:11" s="99" customFormat="1" ht="34"/>
    <row r="22" spans="1:11" s="99" customFormat="1" ht="34"/>
    <row r="23" spans="1:11" s="99" customFormat="1" ht="34"/>
    <row r="24" spans="1:11" s="99" customFormat="1" ht="34"/>
    <row r="25" spans="1:11" s="99" customFormat="1" ht="34"/>
    <row r="26" spans="1:11" s="94" customFormat="1" ht="32.5"/>
    <row r="27" spans="1:11" s="94" customFormat="1" ht="32.5"/>
    <row r="28" spans="1:11" s="94" customFormat="1" ht="32.5"/>
    <row r="29" spans="1:11" s="94" customFormat="1" ht="32.5"/>
    <row r="30" spans="1:11" s="94" customFormat="1" ht="32.5"/>
    <row r="31" spans="1:11" s="94" customFormat="1" ht="32.5"/>
    <row r="32" spans="1:11" s="94" customFormat="1" ht="32.5"/>
    <row r="33" s="94" customFormat="1" ht="32.5"/>
    <row r="34" s="94" customFormat="1" ht="32.5"/>
  </sheetData>
  <phoneticPr fontId="14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566B-09EC-4DA3-BA5A-98BCA7A42B85}">
  <sheetPr>
    <tabColor rgb="FFFFFF00"/>
    <pageSetUpPr fitToPage="1"/>
  </sheetPr>
  <dimension ref="A1:O94"/>
  <sheetViews>
    <sheetView showZeros="0" view="pageBreakPreview" topLeftCell="A13" zoomScale="110" zoomScaleNormal="115" zoomScaleSheetLayoutView="110" workbookViewId="0">
      <selection activeCell="Q39" sqref="Q39"/>
    </sheetView>
  </sheetViews>
  <sheetFormatPr defaultColWidth="9" defaultRowHeight="16"/>
  <cols>
    <col min="1" max="1" width="8.6328125" style="103" customWidth="1"/>
    <col min="2" max="2" width="11.6328125" style="103" customWidth="1"/>
    <col min="3" max="3" width="4.81640625" style="103" customWidth="1"/>
    <col min="4" max="4" width="19.1796875" style="103" customWidth="1"/>
    <col min="5" max="5" width="6.08984375" style="103" customWidth="1"/>
    <col min="6" max="7" width="3.08984375" style="103" customWidth="1"/>
    <col min="8" max="8" width="2.90625" style="103" customWidth="1"/>
    <col min="9" max="9" width="3.08984375" style="103" hidden="1" customWidth="1"/>
    <col min="10" max="12" width="8.453125" style="103" customWidth="1"/>
    <col min="13" max="13" width="9.90625" style="103" customWidth="1"/>
    <col min="14" max="14" width="13" style="103" customWidth="1"/>
    <col min="15" max="15" width="13.90625" style="103" customWidth="1"/>
    <col min="16" max="16384" width="9" style="103"/>
  </cols>
  <sheetData>
    <row r="1" spans="1:15" s="100" customFormat="1" ht="32.25" customHeight="1">
      <c r="A1" s="286" t="s">
        <v>110</v>
      </c>
      <c r="B1" s="286"/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6"/>
    </row>
    <row r="2" spans="1:15" ht="23.25" customHeight="1">
      <c r="A2" s="101" t="str">
        <f>'[2]shipper master'!C2</f>
        <v xml:space="preserve"> SHUNYA CO., LTD.</v>
      </c>
      <c r="B2" s="102"/>
      <c r="C2" s="102"/>
      <c r="D2" s="102"/>
      <c r="E2" s="102"/>
      <c r="N2" s="104"/>
    </row>
    <row r="3" spans="1:15" ht="15.75" customHeight="1">
      <c r="A3" s="3" t="str">
        <f>'[2]shipper master'!C3</f>
        <v xml:space="preserve"> KENSHIN BLDG., 1F, 1-22-10 DOUGENZAKA,</v>
      </c>
      <c r="B3" s="102"/>
      <c r="C3" s="102"/>
      <c r="D3" s="102"/>
      <c r="E3" s="102"/>
      <c r="N3" s="104"/>
    </row>
    <row r="4" spans="1:15" ht="18" customHeight="1">
      <c r="A4" s="3" t="str">
        <f>'[2]shipper master'!C4</f>
        <v xml:space="preserve"> SHIBUYA-KU 150-0043</v>
      </c>
      <c r="B4" s="102"/>
      <c r="C4" s="102"/>
      <c r="D4" s="102"/>
      <c r="E4" s="102"/>
      <c r="F4" s="105"/>
      <c r="G4" s="105"/>
      <c r="H4" s="105"/>
      <c r="I4" s="105"/>
      <c r="J4" s="105"/>
      <c r="K4" s="105"/>
      <c r="L4" s="105"/>
      <c r="N4" s="3">
        <f>'[2]shipper master'!C6</f>
        <v>0</v>
      </c>
    </row>
    <row r="5" spans="1:15" ht="16.5" thickBot="1">
      <c r="A5" s="106" t="str">
        <f>'[2]shipper master'!C5</f>
        <v xml:space="preserve"> TEL : +81(0)3-5459-1177</v>
      </c>
      <c r="B5" s="102"/>
      <c r="C5" s="102"/>
      <c r="D5" s="102"/>
      <c r="N5" s="3">
        <f>'[2]shipper master'!C7</f>
        <v>0</v>
      </c>
      <c r="O5" s="107"/>
    </row>
    <row r="6" spans="1:15" ht="13.4" customHeight="1">
      <c r="A6" s="108" t="s">
        <v>111</v>
      </c>
      <c r="B6" s="109"/>
      <c r="C6" s="109"/>
      <c r="D6" s="109"/>
      <c r="E6" s="109"/>
      <c r="F6" s="110" t="s">
        <v>112</v>
      </c>
      <c r="G6" s="111"/>
      <c r="H6" s="111"/>
      <c r="I6" s="111"/>
      <c r="J6" s="109"/>
      <c r="K6" s="109"/>
      <c r="L6" s="109"/>
      <c r="M6" s="202"/>
      <c r="N6" s="110" t="s">
        <v>113</v>
      </c>
      <c r="O6" s="104"/>
    </row>
    <row r="7" spans="1:15" ht="13.4" customHeight="1">
      <c r="A7" s="3" t="str">
        <f>'[2]shipper master'!C9</f>
        <v>VIVAN GARMENTS VIET NAM COMPANY LIMITED</v>
      </c>
      <c r="B7" s="104"/>
      <c r="C7" s="104"/>
      <c r="D7" s="104"/>
      <c r="E7" s="104"/>
      <c r="F7" s="112" t="str">
        <f>'shipper master'!C26</f>
        <v xml:space="preserve"> SY-7801222-VT-DD-01</v>
      </c>
      <c r="G7" s="113"/>
      <c r="H7" s="113"/>
      <c r="I7" s="113"/>
      <c r="J7" s="113"/>
      <c r="K7" s="113"/>
      <c r="L7" s="113"/>
      <c r="M7" s="203"/>
      <c r="N7" s="114"/>
      <c r="O7" s="104"/>
    </row>
    <row r="8" spans="1:15" ht="13.4" customHeight="1">
      <c r="A8" s="3" t="str">
        <f>'[2]shipper master'!C10</f>
        <v>D17 Street , Sai Gon South Residential Area</v>
      </c>
      <c r="B8" s="104"/>
      <c r="C8" s="104"/>
      <c r="D8" s="104"/>
      <c r="E8" s="104"/>
      <c r="F8" s="115" t="s">
        <v>114</v>
      </c>
      <c r="G8" s="108"/>
      <c r="H8" s="108"/>
      <c r="I8" s="108"/>
      <c r="J8" s="104"/>
      <c r="K8" s="104"/>
      <c r="L8" s="104"/>
      <c r="M8" s="204"/>
      <c r="N8" s="116" t="str">
        <f>'shipper master'!C26</f>
        <v xml:space="preserve"> SY-7801222-VT-DD-01</v>
      </c>
      <c r="O8" s="104"/>
    </row>
    <row r="9" spans="1:15" ht="13.4" customHeight="1">
      <c r="A9" s="3" t="str">
        <f>'[2]shipper master'!C11</f>
        <v>Hamlet 3 , Long Hau Commune , Can Giuoc District,</v>
      </c>
      <c r="B9" s="104"/>
      <c r="C9" s="104"/>
      <c r="D9" s="104"/>
      <c r="E9" s="104"/>
      <c r="F9" s="205" t="str">
        <f>'shipper master'!C25</f>
        <v>Dec, 22 2025</v>
      </c>
      <c r="G9" s="117"/>
      <c r="H9" s="117"/>
      <c r="I9" s="117"/>
      <c r="J9" s="117"/>
      <c r="K9" s="117"/>
      <c r="L9" s="117"/>
      <c r="M9" s="118"/>
      <c r="N9" s="116" t="str">
        <f>'[1]shipper master'!C50</f>
        <v xml:space="preserve">VIVAN GARMENTS VIET NAM </v>
      </c>
      <c r="O9" s="104"/>
    </row>
    <row r="10" spans="1:15" ht="13.4" customHeight="1">
      <c r="A10" s="3" t="str">
        <f>'[2]shipper master'!C12</f>
        <v xml:space="preserve"> Long An Province , VietNam</v>
      </c>
      <c r="B10" s="104"/>
      <c r="C10" s="104"/>
      <c r="D10" s="104"/>
      <c r="E10" s="104"/>
      <c r="F10" s="115" t="s">
        <v>115</v>
      </c>
      <c r="G10" s="108"/>
      <c r="H10" s="108"/>
      <c r="I10" s="108"/>
      <c r="J10" s="104"/>
      <c r="K10" s="104"/>
      <c r="L10" s="104"/>
      <c r="M10" s="204"/>
      <c r="N10" s="116" t="str">
        <f>'[1]shipper master'!C51</f>
        <v xml:space="preserve"> COMPANY LIMITED</v>
      </c>
      <c r="O10" s="104"/>
    </row>
    <row r="11" spans="1:15" ht="13.4" customHeight="1">
      <c r="A11" s="113" t="str">
        <f>'[2]shipper master'!C13</f>
        <v xml:space="preserve"> TEL : ( 084 ) 097 22 00 798  ATTN : MR. TUAN</v>
      </c>
      <c r="B11" s="104"/>
      <c r="C11" s="104"/>
      <c r="D11" s="104"/>
      <c r="E11" s="123"/>
      <c r="F11" s="287" t="str">
        <f>'shipper master'!C26</f>
        <v xml:space="preserve"> SY-7801222-VT-DD-01</v>
      </c>
      <c r="G11" s="288"/>
      <c r="H11" s="288"/>
      <c r="I11" s="288"/>
      <c r="J11" s="288"/>
      <c r="K11" s="288"/>
      <c r="L11" s="288"/>
      <c r="M11" s="289"/>
      <c r="N11" s="116" t="str">
        <f>'[1]shipper master'!C52</f>
        <v xml:space="preserve"> HOCHIMINH-CITY, VIETNAM</v>
      </c>
      <c r="O11" s="104"/>
    </row>
    <row r="12" spans="1:15" ht="13.4" customHeight="1">
      <c r="A12" s="108" t="s">
        <v>116</v>
      </c>
      <c r="B12" s="119"/>
      <c r="C12" s="119"/>
      <c r="D12" s="119"/>
      <c r="E12" s="104"/>
      <c r="F12" s="115" t="s">
        <v>117</v>
      </c>
      <c r="G12" s="108"/>
      <c r="H12" s="108"/>
      <c r="I12" s="108"/>
      <c r="J12" s="104"/>
      <c r="K12" s="104"/>
      <c r="L12" s="104"/>
      <c r="M12" s="104"/>
      <c r="N12" s="120" t="s">
        <v>390</v>
      </c>
      <c r="O12" s="104"/>
    </row>
    <row r="13" spans="1:15" ht="13.4" customHeight="1">
      <c r="A13" s="3" t="str">
        <f>'[2]shipper master'!C15</f>
        <v xml:space="preserve"> - SAME AS BUYER -</v>
      </c>
      <c r="B13" s="104"/>
      <c r="C13" s="104"/>
      <c r="D13" s="104"/>
      <c r="E13" s="104"/>
      <c r="F13" s="287">
        <f>'[2]shipper master'!C30</f>
        <v>0</v>
      </c>
      <c r="G13" s="288"/>
      <c r="H13" s="288"/>
      <c r="I13" s="288"/>
      <c r="J13" s="288"/>
      <c r="K13" s="288"/>
      <c r="L13" s="288"/>
      <c r="M13" s="289"/>
      <c r="N13" s="116" t="s">
        <v>118</v>
      </c>
      <c r="O13" s="104"/>
    </row>
    <row r="14" spans="1:15" ht="13.4" customHeight="1">
      <c r="A14" s="3">
        <f>'[2]shipper master'!C16</f>
        <v>0</v>
      </c>
      <c r="B14" s="104"/>
      <c r="C14" s="104"/>
      <c r="D14" s="104"/>
      <c r="E14" s="104"/>
      <c r="F14" s="121" t="s">
        <v>24</v>
      </c>
      <c r="G14" s="3"/>
      <c r="H14" s="3"/>
      <c r="I14" s="3"/>
      <c r="J14" s="3"/>
      <c r="K14" s="3"/>
      <c r="L14" s="3"/>
      <c r="M14" s="122"/>
      <c r="N14" s="116" t="s">
        <v>159</v>
      </c>
      <c r="O14" s="104"/>
    </row>
    <row r="15" spans="1:15" ht="13.4" customHeight="1">
      <c r="A15" s="3">
        <f>'[2]shipper master'!C17</f>
        <v>0</v>
      </c>
      <c r="B15" s="104"/>
      <c r="C15" s="104"/>
      <c r="D15" s="104"/>
      <c r="E15" s="104"/>
      <c r="F15" s="287">
        <f>'[2]shipper master'!C29</f>
        <v>0</v>
      </c>
      <c r="G15" s="288"/>
      <c r="H15" s="288"/>
      <c r="I15" s="288"/>
      <c r="J15" s="288"/>
      <c r="K15" s="288"/>
      <c r="L15" s="288"/>
      <c r="M15" s="289"/>
      <c r="N15" s="116" t="s">
        <v>391</v>
      </c>
      <c r="O15" s="104"/>
    </row>
    <row r="16" spans="1:15" ht="13.4" customHeight="1">
      <c r="A16" s="3">
        <f>'[2]shipper master'!C18</f>
        <v>0</v>
      </c>
      <c r="B16" s="104"/>
      <c r="C16" s="104"/>
      <c r="D16" s="104"/>
      <c r="E16" s="104"/>
      <c r="F16" s="115" t="s">
        <v>119</v>
      </c>
      <c r="G16" s="108"/>
      <c r="H16" s="108"/>
      <c r="I16" s="108"/>
      <c r="J16" s="104"/>
      <c r="K16" s="104"/>
      <c r="L16" s="104"/>
      <c r="M16" s="104"/>
      <c r="N16" s="114"/>
      <c r="O16" s="104"/>
    </row>
    <row r="17" spans="1:15" ht="13.4" customHeight="1">
      <c r="A17" s="113">
        <f>'[2]shipper master'!C19</f>
        <v>0</v>
      </c>
      <c r="B17" s="123"/>
      <c r="C17" s="123"/>
      <c r="D17" s="123"/>
      <c r="E17" s="123"/>
      <c r="F17" s="290"/>
      <c r="G17" s="291"/>
      <c r="H17" s="291"/>
      <c r="I17" s="291"/>
      <c r="J17" s="291"/>
      <c r="K17" s="291"/>
      <c r="L17" s="291"/>
      <c r="M17" s="292"/>
      <c r="N17" s="114"/>
      <c r="O17" s="104"/>
    </row>
    <row r="18" spans="1:15" ht="13.4" customHeight="1">
      <c r="A18" s="108" t="s">
        <v>120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14"/>
      <c r="O18" s="104"/>
    </row>
    <row r="19" spans="1:15" ht="13.4" customHeight="1">
      <c r="A19" s="113" t="str">
        <f>'[2]shipper master'!C21</f>
        <v xml:space="preserve"> NO COMMERCIAL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4"/>
      <c r="O19" s="123"/>
    </row>
    <row r="20" spans="1:15" ht="13.4" customHeight="1">
      <c r="A20" s="108" t="s">
        <v>121</v>
      </c>
      <c r="B20" s="104"/>
      <c r="C20" s="104"/>
      <c r="D20" s="125" t="s">
        <v>122</v>
      </c>
      <c r="E20" s="126"/>
      <c r="F20" s="108" t="s">
        <v>123</v>
      </c>
      <c r="G20" s="108"/>
      <c r="H20" s="108"/>
      <c r="I20" s="108"/>
      <c r="J20" s="127" t="s">
        <v>124</v>
      </c>
      <c r="K20" s="127" t="s">
        <v>124</v>
      </c>
      <c r="L20" s="127" t="s">
        <v>124</v>
      </c>
      <c r="M20" s="128"/>
      <c r="N20" s="108" t="s">
        <v>125</v>
      </c>
      <c r="O20" s="104"/>
    </row>
    <row r="21" spans="1:15" s="1" customFormat="1" ht="13.4" customHeight="1" thickBot="1">
      <c r="A21" s="3" t="str">
        <f>'[2]shipper master'!C24</f>
        <v xml:space="preserve"> AIRCRAFT</v>
      </c>
      <c r="B21" s="106"/>
      <c r="C21" s="3"/>
      <c r="D21" s="129" t="str">
        <f>'[2]shipper master'!C32</f>
        <v xml:space="preserve"> TOKYO, JAPAN</v>
      </c>
      <c r="E21" s="4"/>
      <c r="F21" s="4"/>
      <c r="G21" s="4" t="str">
        <f>'[2]shipper master'!C33</f>
        <v xml:space="preserve"> HOCHIMINH-CITY, VIETNAM</v>
      </c>
      <c r="H21" s="3"/>
      <c r="I21" s="3"/>
      <c r="J21" s="106"/>
      <c r="K21" s="106"/>
      <c r="L21" s="106"/>
      <c r="M21" s="106"/>
      <c r="N21" s="4"/>
      <c r="O21" s="106"/>
    </row>
    <row r="22" spans="1:15" s="134" customFormat="1" ht="16.399999999999999" customHeight="1">
      <c r="A22" s="130" t="s">
        <v>126</v>
      </c>
      <c r="B22" s="130" t="s">
        <v>127</v>
      </c>
      <c r="C22" s="130"/>
      <c r="D22" s="131" t="s">
        <v>128</v>
      </c>
      <c r="E22" s="130" t="s">
        <v>129</v>
      </c>
      <c r="F22" s="131"/>
      <c r="G22" s="131"/>
      <c r="H22" s="131" t="s">
        <v>130</v>
      </c>
      <c r="I22" s="131"/>
      <c r="J22" s="131"/>
      <c r="K22" s="131"/>
      <c r="L22" s="131"/>
      <c r="M22" s="132" t="s">
        <v>131</v>
      </c>
      <c r="N22" s="130" t="s">
        <v>132</v>
      </c>
      <c r="O22" s="133" t="s">
        <v>133</v>
      </c>
    </row>
    <row r="23" spans="1:15" ht="13.4" customHeight="1">
      <c r="A23" s="135"/>
      <c r="B23" s="136"/>
      <c r="C23" s="136"/>
      <c r="D23" s="104"/>
      <c r="E23" s="136"/>
      <c r="F23" s="104"/>
      <c r="G23" s="104"/>
      <c r="H23" s="104"/>
      <c r="I23" s="104"/>
      <c r="J23" s="104"/>
      <c r="K23" s="104"/>
      <c r="L23" s="104"/>
      <c r="M23" s="137"/>
      <c r="N23" s="104"/>
      <c r="O23" s="114"/>
    </row>
    <row r="24" spans="1:15" s="1" customFormat="1" ht="13.4" customHeight="1">
      <c r="A24" s="138"/>
      <c r="B24" s="139" t="str">
        <f>'[2]shipper master'!C36</f>
        <v>FABRIC &amp; PARTS FOR WEAR &amp; SAMPLE CLOTHES</v>
      </c>
      <c r="C24" s="139"/>
      <c r="D24" s="4"/>
      <c r="E24" s="4"/>
      <c r="F24" s="4"/>
      <c r="G24" s="4"/>
      <c r="H24" s="4"/>
      <c r="I24" s="4"/>
      <c r="J24" s="4"/>
      <c r="K24" s="4"/>
      <c r="L24" s="4"/>
      <c r="M24" s="140"/>
      <c r="N24" s="141" t="str">
        <f>'[2]shipper master'!C48</f>
        <v>F.O.B. TOKYO IN YEN</v>
      </c>
      <c r="O24" s="142"/>
    </row>
    <row r="25" spans="1:15" s="1" customFormat="1" ht="13.4" customHeight="1">
      <c r="A25" s="138"/>
      <c r="B25" s="139"/>
      <c r="C25" s="139"/>
      <c r="D25" s="4"/>
      <c r="E25" s="4"/>
      <c r="F25" s="4"/>
      <c r="G25" s="4"/>
      <c r="H25" s="4"/>
      <c r="I25" s="4"/>
      <c r="J25" s="4"/>
      <c r="K25" s="4"/>
      <c r="L25" s="4"/>
      <c r="M25" s="140"/>
      <c r="N25" s="143"/>
      <c r="O25" s="142"/>
    </row>
    <row r="26" spans="1:15" s="1" customFormat="1" ht="13.4" customHeight="1">
      <c r="A26" s="144"/>
      <c r="B26" s="139">
        <f>'[2]shipper master'!C37</f>
        <v>0</v>
      </c>
      <c r="C26" s="139"/>
      <c r="D26" s="4"/>
      <c r="E26" s="4"/>
      <c r="F26" s="3"/>
      <c r="G26" s="3"/>
      <c r="H26" s="3"/>
      <c r="I26" s="3"/>
      <c r="J26" s="3"/>
      <c r="K26" s="3"/>
      <c r="L26" s="3"/>
      <c r="M26" s="146">
        <f>'NARITA '!E71+'NARITA (2)'!E113</f>
        <v>687</v>
      </c>
      <c r="N26" s="147" t="s">
        <v>148</v>
      </c>
      <c r="O26" s="148">
        <f>'NARITA '!H71+'NARITA (2)'!H113</f>
        <v>579080</v>
      </c>
    </row>
    <row r="27" spans="1:15" s="1" customFormat="1" ht="13.4" customHeight="1">
      <c r="A27" s="5"/>
      <c r="B27" s="4"/>
      <c r="C27" s="4"/>
      <c r="D27" s="3"/>
      <c r="E27" s="4"/>
      <c r="F27" s="4"/>
      <c r="G27" s="4"/>
      <c r="H27" s="4"/>
      <c r="I27" s="4"/>
      <c r="J27" s="4"/>
      <c r="K27" s="4"/>
      <c r="L27" s="4"/>
      <c r="M27" s="146">
        <f>'NARITA '!E72+'NARITA (2)'!E114</f>
        <v>3189</v>
      </c>
      <c r="N27" s="147" t="s">
        <v>145</v>
      </c>
      <c r="O27" s="148">
        <f>'NARITA '!H72+'NARITA (2)'!H114</f>
        <v>567140</v>
      </c>
    </row>
    <row r="28" spans="1:15" s="1" customFormat="1" ht="13.4" customHeight="1">
      <c r="A28" s="5"/>
      <c r="B28" s="4"/>
      <c r="C28" s="4"/>
      <c r="D28" s="3"/>
      <c r="E28" s="4"/>
      <c r="F28" s="4"/>
      <c r="G28" s="4"/>
      <c r="H28" s="4"/>
      <c r="I28" s="4"/>
      <c r="J28" s="4"/>
      <c r="K28" s="4"/>
      <c r="L28" s="4"/>
      <c r="M28" s="146">
        <f>'NARITA '!E73</f>
        <v>10</v>
      </c>
      <c r="N28" s="534" t="s">
        <v>213</v>
      </c>
      <c r="O28" s="148">
        <f>'NARITA '!H73</f>
        <v>10000</v>
      </c>
    </row>
    <row r="29" spans="1:15" s="1" customFormat="1" ht="13.4" customHeight="1">
      <c r="A29" s="5"/>
      <c r="B29" s="4"/>
      <c r="C29" s="4"/>
      <c r="D29" s="3"/>
      <c r="E29" s="4"/>
      <c r="F29" s="4"/>
      <c r="G29" s="4"/>
      <c r="H29" s="4"/>
      <c r="I29" s="4"/>
      <c r="J29" s="4"/>
      <c r="K29" s="4"/>
      <c r="L29" s="4"/>
      <c r="M29" s="146">
        <f>'NARITA (2)'!E115</f>
        <v>500</v>
      </c>
      <c r="N29" s="534" t="s">
        <v>252</v>
      </c>
      <c r="O29" s="148">
        <f>'NARITA (2)'!H115</f>
        <v>9500</v>
      </c>
    </row>
    <row r="30" spans="1:15" s="1" customFormat="1" ht="13.4" customHeight="1">
      <c r="A30" s="5"/>
      <c r="B30" s="4"/>
      <c r="C30" s="4"/>
      <c r="D30" s="3"/>
      <c r="E30" s="4"/>
      <c r="F30" s="4"/>
      <c r="G30" s="4"/>
      <c r="H30" s="4"/>
      <c r="I30" s="4"/>
      <c r="J30" s="4"/>
      <c r="K30" s="4"/>
      <c r="L30" s="4"/>
      <c r="M30" s="146">
        <f>'NARITA (2)'!E116</f>
        <v>25</v>
      </c>
      <c r="N30" s="534" t="s">
        <v>370</v>
      </c>
      <c r="O30" s="148">
        <f>'NARITA (2)'!H116</f>
        <v>55200</v>
      </c>
    </row>
    <row r="31" spans="1:15" s="1" customFormat="1" ht="13.4" customHeight="1">
      <c r="A31" s="149"/>
      <c r="B31" s="22" t="str">
        <f>'[2]shipper master'!C38</f>
        <v>- DETAILS AS PER ATTACHED SHEET -</v>
      </c>
      <c r="C31" s="22"/>
      <c r="D31" s="3"/>
      <c r="E31" s="4"/>
      <c r="F31" s="3"/>
      <c r="G31" s="3"/>
      <c r="H31" s="3"/>
      <c r="I31" s="3"/>
      <c r="J31" s="3"/>
      <c r="K31" s="3"/>
      <c r="L31" s="3"/>
      <c r="M31" s="150"/>
      <c r="N31" s="147"/>
      <c r="O31" s="151"/>
    </row>
    <row r="32" spans="1:15" s="1" customFormat="1" ht="13.4" customHeight="1">
      <c r="A32" s="149"/>
      <c r="B32" s="22"/>
      <c r="C32" s="22"/>
      <c r="D32" s="3"/>
      <c r="E32" s="4"/>
      <c r="F32" s="3"/>
      <c r="G32" s="3"/>
      <c r="H32" s="3"/>
      <c r="I32" s="3"/>
      <c r="J32" s="3"/>
      <c r="K32" s="3"/>
      <c r="L32" s="3"/>
      <c r="M32" s="150"/>
      <c r="N32" s="147"/>
      <c r="O32" s="151"/>
    </row>
    <row r="33" spans="1:15" s="1" customFormat="1" ht="17.25" customHeight="1" thickBot="1">
      <c r="A33" s="152" t="s">
        <v>144</v>
      </c>
      <c r="B33" s="193">
        <f>M26</f>
        <v>687</v>
      </c>
      <c r="C33" s="188" t="s">
        <v>147</v>
      </c>
      <c r="D33" s="193">
        <f>M27</f>
        <v>3189</v>
      </c>
      <c r="E33" s="188" t="s">
        <v>85</v>
      </c>
      <c r="F33" s="293">
        <f>M28</f>
        <v>10</v>
      </c>
      <c r="G33" s="293"/>
      <c r="H33" s="293"/>
      <c r="I33" s="153" t="s">
        <v>85</v>
      </c>
      <c r="J33" s="153" t="s">
        <v>213</v>
      </c>
      <c r="K33" s="536">
        <f>M29</f>
        <v>500</v>
      </c>
      <c r="L33" s="535" t="str">
        <f>N29</f>
        <v>SET.</v>
      </c>
      <c r="M33" s="537">
        <f>M30</f>
        <v>25</v>
      </c>
      <c r="N33" s="189" t="s">
        <v>370</v>
      </c>
      <c r="O33" s="154">
        <f>SUM(O26:O32)</f>
        <v>1220920</v>
      </c>
    </row>
    <row r="34" spans="1:15" s="1" customFormat="1" ht="13.4" customHeight="1" thickTop="1">
      <c r="A34" s="155"/>
      <c r="B34" s="156"/>
      <c r="C34" s="156"/>
      <c r="D34" s="3"/>
      <c r="E34" s="157"/>
      <c r="F34" s="3"/>
      <c r="G34" s="157"/>
      <c r="H34" s="3"/>
      <c r="I34" s="3"/>
      <c r="J34" s="3"/>
      <c r="K34" s="3"/>
      <c r="L34" s="3"/>
      <c r="M34" s="149"/>
      <c r="N34" s="158"/>
      <c r="O34" s="155"/>
    </row>
    <row r="35" spans="1:15" s="1" customFormat="1" ht="13.4" customHeight="1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159"/>
      <c r="N35" s="158"/>
      <c r="O35" s="160"/>
    </row>
    <row r="36" spans="1:15" s="1" customFormat="1" ht="13.4" customHeight="1">
      <c r="A36" s="3" t="str">
        <f>'[2]shipper master'!C63</f>
        <v>" THESE GOODS WILL BE RETURN TO JAPAN</v>
      </c>
      <c r="B36" s="161"/>
      <c r="C36" s="161"/>
      <c r="D36" s="161"/>
      <c r="E36" s="161"/>
      <c r="F36" s="161"/>
      <c r="G36" s="3"/>
      <c r="H36" s="3"/>
      <c r="I36" s="3" t="s">
        <v>134</v>
      </c>
      <c r="J36" s="3"/>
      <c r="K36" s="3"/>
      <c r="L36" s="3"/>
      <c r="M36" s="159" t="s">
        <v>135</v>
      </c>
      <c r="N36" s="158"/>
      <c r="O36" s="3"/>
    </row>
    <row r="37" spans="1:15" s="1" customFormat="1" ht="13.4" customHeight="1">
      <c r="A37" s="285" t="str">
        <f>'[2]shipper master'!C64</f>
        <v xml:space="preserve">  AFTER MANUFACTURED AT VIET NAM "</v>
      </c>
      <c r="B37" s="285"/>
      <c r="C37" s="285"/>
      <c r="D37" s="285"/>
      <c r="E37" s="4"/>
      <c r="F37" s="3"/>
      <c r="G37" s="3"/>
      <c r="H37" s="3"/>
      <c r="I37" s="3" t="s">
        <v>136</v>
      </c>
      <c r="J37" s="3"/>
      <c r="K37" s="3"/>
      <c r="L37" s="3"/>
      <c r="M37" s="159" t="s">
        <v>137</v>
      </c>
      <c r="N37" s="158"/>
      <c r="O37" s="160"/>
    </row>
    <row r="38" spans="1:15" s="1" customFormat="1" ht="13.4" customHeight="1">
      <c r="A38" s="3"/>
      <c r="B38" s="4"/>
      <c r="C38" s="4"/>
      <c r="D38" s="4">
        <f>'[2]shipper master'!C58</f>
        <v>0</v>
      </c>
      <c r="E38" s="4"/>
      <c r="F38" s="3"/>
      <c r="G38" s="3"/>
      <c r="H38" s="3"/>
      <c r="I38" s="3"/>
      <c r="J38" s="3"/>
      <c r="K38" s="3"/>
      <c r="L38" s="3"/>
      <c r="M38" s="149"/>
      <c r="N38" s="158"/>
      <c r="O38" s="3"/>
    </row>
    <row r="39" spans="1:15" s="1" customFormat="1" ht="13.4" customHeight="1">
      <c r="A39" s="4" t="str">
        <f>'[2]shipper master'!C60</f>
        <v>COUNTRY OF ORIGIN : JAPAN</v>
      </c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149"/>
      <c r="N39" s="158"/>
      <c r="O39" s="3"/>
    </row>
    <row r="40" spans="1:15" s="1" customFormat="1" ht="13.4" customHeight="1">
      <c r="A40" s="4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149"/>
      <c r="N40" s="158"/>
      <c r="O40" s="3"/>
    </row>
    <row r="41" spans="1:15" s="1" customFormat="1" ht="13.4" customHeight="1">
      <c r="A41" s="162" t="s">
        <v>138</v>
      </c>
      <c r="B41" s="163"/>
      <c r="C41" s="163"/>
      <c r="D41" s="164" t="s">
        <v>369</v>
      </c>
      <c r="E41" s="4"/>
      <c r="F41" s="3"/>
      <c r="G41" s="3"/>
      <c r="H41" s="3"/>
      <c r="I41" s="3"/>
      <c r="J41" s="3"/>
      <c r="K41" s="3"/>
      <c r="L41" s="3"/>
      <c r="M41" s="149"/>
      <c r="N41" s="158"/>
      <c r="O41" s="3"/>
    </row>
    <row r="42" spans="1:15" s="1" customFormat="1" ht="13.4" customHeight="1">
      <c r="A42" s="162" t="s">
        <v>139</v>
      </c>
      <c r="B42" s="163"/>
      <c r="C42" s="163"/>
      <c r="D42" s="165" t="s">
        <v>140</v>
      </c>
      <c r="E42" s="4"/>
      <c r="F42" s="3"/>
      <c r="G42" s="3"/>
      <c r="H42" s="3"/>
      <c r="I42" s="3"/>
      <c r="J42" s="3"/>
      <c r="K42" s="3"/>
      <c r="L42" s="3"/>
      <c r="M42" s="149"/>
      <c r="N42" s="158"/>
      <c r="O42" s="3"/>
    </row>
    <row r="43" spans="1:15" s="1" customFormat="1" ht="13.4" customHeight="1">
      <c r="A43" s="145"/>
      <c r="B43" s="139"/>
      <c r="C43" s="139"/>
      <c r="D43" s="166"/>
      <c r="E43" s="139"/>
      <c r="F43" s="167"/>
      <c r="G43" s="167"/>
      <c r="H43" s="167"/>
      <c r="I43" s="3"/>
      <c r="J43" s="3"/>
      <c r="K43" s="3"/>
      <c r="L43" s="3"/>
      <c r="M43" s="149"/>
      <c r="N43" s="158"/>
      <c r="O43" s="3"/>
    </row>
    <row r="44" spans="1:15" ht="18" customHeight="1">
      <c r="A44" s="145"/>
      <c r="B44" s="104"/>
      <c r="C44" s="104"/>
      <c r="D44" s="104"/>
      <c r="E44" s="104"/>
      <c r="F44" s="104"/>
      <c r="G44" s="104"/>
      <c r="H44" s="136"/>
      <c r="I44" s="104"/>
      <c r="J44" s="104"/>
      <c r="K44" s="104"/>
      <c r="L44" s="104"/>
      <c r="M44" s="136"/>
      <c r="N44" s="168"/>
      <c r="O44" s="104"/>
    </row>
    <row r="45" spans="1:15" ht="13.4" customHeight="1">
      <c r="A45" s="104"/>
      <c r="B45" s="169"/>
      <c r="C45" s="169"/>
      <c r="D45" s="104"/>
      <c r="E45" s="104"/>
      <c r="F45" s="104"/>
      <c r="G45" s="104"/>
      <c r="H45" s="104"/>
      <c r="I45" s="104"/>
      <c r="J45" s="104"/>
      <c r="K45" s="104"/>
      <c r="L45" s="104"/>
      <c r="M45" s="170"/>
      <c r="N45" s="168"/>
      <c r="O45" s="104"/>
    </row>
    <row r="46" spans="1:15" ht="13.4" customHeight="1">
      <c r="A46" s="104"/>
      <c r="B46" s="169"/>
      <c r="C46" s="169"/>
      <c r="D46" s="104"/>
      <c r="E46" s="104"/>
      <c r="F46" s="104"/>
      <c r="G46" s="104"/>
      <c r="H46" s="104"/>
      <c r="I46" s="104"/>
      <c r="J46" s="104"/>
      <c r="K46" s="104"/>
      <c r="L46" s="104"/>
      <c r="M46" s="170"/>
      <c r="N46" s="168"/>
      <c r="O46" s="104"/>
    </row>
    <row r="47" spans="1:15" ht="13.4" customHeight="1">
      <c r="A47" s="104"/>
      <c r="B47" s="104"/>
      <c r="C47" s="104"/>
      <c r="D47" s="104"/>
      <c r="E47" s="104"/>
      <c r="F47" s="104"/>
      <c r="G47" s="104"/>
      <c r="H47" s="123"/>
      <c r="I47" s="123"/>
      <c r="J47" s="123"/>
      <c r="K47" s="123"/>
      <c r="L47" s="123"/>
      <c r="M47" s="171"/>
      <c r="N47" s="172"/>
      <c r="O47" s="123"/>
    </row>
    <row r="48" spans="1:15" ht="13.4" customHeight="1">
      <c r="A48" s="104"/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70"/>
      <c r="N48" s="168"/>
      <c r="O48" s="104"/>
    </row>
    <row r="49" spans="1:15" ht="13.4" customHeight="1">
      <c r="A49" s="104"/>
      <c r="B49" s="104"/>
      <c r="C49" s="104"/>
      <c r="D49" s="104"/>
      <c r="E49" s="104"/>
      <c r="F49" s="104"/>
      <c r="G49" s="104"/>
      <c r="H49" s="104"/>
      <c r="I49" s="104"/>
      <c r="J49" s="104"/>
      <c r="K49" s="104"/>
      <c r="L49" s="104"/>
      <c r="M49" s="170"/>
      <c r="N49" s="168"/>
      <c r="O49" s="104"/>
    </row>
    <row r="50" spans="1:15" ht="13.4" customHeight="1">
      <c r="A50" s="104"/>
      <c r="B50" s="104"/>
      <c r="C50" s="104"/>
      <c r="D50" s="104"/>
      <c r="E50" s="104"/>
      <c r="F50" s="104"/>
      <c r="G50" s="104"/>
      <c r="H50" s="104"/>
      <c r="I50" s="104"/>
      <c r="J50" s="104"/>
      <c r="K50" s="104"/>
      <c r="L50" s="104"/>
      <c r="M50" s="170"/>
      <c r="N50" s="168"/>
      <c r="O50" s="104"/>
    </row>
    <row r="51" spans="1:15">
      <c r="A51" s="104"/>
      <c r="B51" s="104"/>
      <c r="C51" s="104"/>
      <c r="D51" s="104"/>
      <c r="E51" s="104"/>
      <c r="F51" s="104"/>
      <c r="G51" s="104"/>
      <c r="H51" s="104"/>
      <c r="I51" s="104"/>
      <c r="J51" s="104"/>
      <c r="K51" s="104"/>
      <c r="L51" s="104"/>
      <c r="M51" s="170"/>
      <c r="N51" s="168"/>
      <c r="O51" s="104"/>
    </row>
    <row r="52" spans="1:15">
      <c r="A52" s="104"/>
      <c r="B52" s="104"/>
      <c r="C52" s="104"/>
      <c r="D52" s="104"/>
      <c r="E52" s="104"/>
      <c r="F52" s="104"/>
      <c r="G52" s="104"/>
      <c r="H52" s="104"/>
      <c r="I52" s="104"/>
      <c r="J52" s="104"/>
      <c r="K52" s="104"/>
      <c r="L52" s="104"/>
      <c r="M52" s="170"/>
      <c r="N52" s="173"/>
      <c r="O52" s="104"/>
    </row>
    <row r="53" spans="1:15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70"/>
      <c r="N53" s="173"/>
      <c r="O53" s="104"/>
    </row>
    <row r="54" spans="1:15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70"/>
      <c r="N54" s="173"/>
      <c r="O54" s="104"/>
    </row>
    <row r="55" spans="1:15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70"/>
      <c r="N55" s="173"/>
      <c r="O55" s="104"/>
    </row>
    <row r="56" spans="1:15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70"/>
      <c r="N56" s="173"/>
      <c r="O56" s="104"/>
    </row>
    <row r="57" spans="1:15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70"/>
      <c r="N57" s="173"/>
      <c r="O57" s="104"/>
    </row>
    <row r="58" spans="1:15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70"/>
      <c r="N58" s="173"/>
      <c r="O58" s="104"/>
    </row>
    <row r="59" spans="1:15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70"/>
      <c r="N59" s="173"/>
      <c r="O59" s="104"/>
    </row>
    <row r="60" spans="1:15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70"/>
      <c r="N60" s="173"/>
      <c r="O60" s="104"/>
    </row>
    <row r="61" spans="1:15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70"/>
      <c r="N61" s="173"/>
      <c r="O61" s="104"/>
    </row>
    <row r="62" spans="1:15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70"/>
      <c r="N62" s="173"/>
      <c r="O62" s="104"/>
    </row>
    <row r="63" spans="1:15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70"/>
      <c r="N63" s="173"/>
      <c r="O63" s="104"/>
    </row>
    <row r="64" spans="1:15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70"/>
      <c r="N64" s="173"/>
      <c r="O64" s="104"/>
    </row>
    <row r="65" spans="1:1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70"/>
      <c r="N65" s="173"/>
      <c r="O65" s="104"/>
    </row>
    <row r="66" spans="1:15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70"/>
      <c r="N66" s="173"/>
      <c r="O66" s="104"/>
    </row>
    <row r="67" spans="1:15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70"/>
      <c r="N67" s="173"/>
      <c r="O67" s="104"/>
    </row>
    <row r="68" spans="1:15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70"/>
      <c r="N68" s="173"/>
      <c r="O68" s="104"/>
    </row>
    <row r="69" spans="1:15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70"/>
      <c r="N69" s="173"/>
      <c r="O69" s="104"/>
    </row>
    <row r="70" spans="1:15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70"/>
      <c r="N70" s="173"/>
      <c r="O70" s="104"/>
    </row>
    <row r="71" spans="1:15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70"/>
      <c r="N71" s="173"/>
      <c r="O71" s="104"/>
    </row>
    <row r="72" spans="1:15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70"/>
      <c r="N72" s="173"/>
      <c r="O72" s="104"/>
    </row>
    <row r="73" spans="1:15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70"/>
      <c r="N73" s="173"/>
      <c r="O73" s="104"/>
    </row>
    <row r="74" spans="1:15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70"/>
      <c r="N74" s="173"/>
      <c r="O74" s="104"/>
    </row>
    <row r="75" spans="1:15">
      <c r="M75" s="174"/>
      <c r="N75" s="175"/>
    </row>
    <row r="76" spans="1:15">
      <c r="M76" s="174"/>
      <c r="N76" s="175"/>
    </row>
    <row r="77" spans="1:15">
      <c r="N77" s="175"/>
    </row>
    <row r="78" spans="1:15">
      <c r="N78" s="175"/>
    </row>
    <row r="79" spans="1:15">
      <c r="N79" s="175"/>
    </row>
    <row r="80" spans="1:15">
      <c r="N80" s="175"/>
    </row>
    <row r="81" spans="14:14">
      <c r="N81" s="175"/>
    </row>
    <row r="82" spans="14:14">
      <c r="N82" s="175"/>
    </row>
    <row r="83" spans="14:14">
      <c r="N83" s="175"/>
    </row>
    <row r="84" spans="14:14">
      <c r="N84" s="175"/>
    </row>
    <row r="85" spans="14:14">
      <c r="N85" s="175"/>
    </row>
    <row r="86" spans="14:14">
      <c r="N86" s="175"/>
    </row>
    <row r="87" spans="14:14">
      <c r="N87" s="175"/>
    </row>
    <row r="88" spans="14:14">
      <c r="N88" s="175"/>
    </row>
    <row r="89" spans="14:14">
      <c r="N89" s="175"/>
    </row>
    <row r="90" spans="14:14">
      <c r="N90" s="175"/>
    </row>
    <row r="91" spans="14:14">
      <c r="N91" s="175"/>
    </row>
    <row r="92" spans="14:14">
      <c r="N92" s="175"/>
    </row>
    <row r="93" spans="14:14">
      <c r="N93" s="175"/>
    </row>
    <row r="94" spans="14:14">
      <c r="N94" s="175"/>
    </row>
  </sheetData>
  <mergeCells count="7">
    <mergeCell ref="A37:D37"/>
    <mergeCell ref="A1:O1"/>
    <mergeCell ref="F11:M11"/>
    <mergeCell ref="F13:M13"/>
    <mergeCell ref="F15:M15"/>
    <mergeCell ref="F17:M17"/>
    <mergeCell ref="F33:H33"/>
  </mergeCells>
  <phoneticPr fontId="14"/>
  <pageMargins left="0.39370078740157483" right="0.19685039370078741" top="0.59055118110236227" bottom="0.39370078740157483" header="0.51181102362204722" footer="0.51181102362204722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F2D7-8C5B-4657-9A89-31A2E6BE6E68}">
  <dimension ref="A1:N126"/>
  <sheetViews>
    <sheetView view="pageBreakPreview" topLeftCell="A52" zoomScale="70" zoomScaleNormal="90" zoomScaleSheetLayoutView="70" workbookViewId="0">
      <selection activeCell="I86" sqref="I86"/>
    </sheetView>
  </sheetViews>
  <sheetFormatPr defaultRowHeight="15"/>
  <cols>
    <col min="1" max="1" width="7.90625" style="7" customWidth="1"/>
    <col min="2" max="2" width="41.90625" style="22" customWidth="1"/>
    <col min="3" max="3" width="24.08984375" style="7" customWidth="1"/>
    <col min="4" max="4" width="60.36328125" style="3" customWidth="1"/>
    <col min="5" max="5" width="10.08984375" style="7" customWidth="1"/>
    <col min="6" max="6" width="5.6328125" style="7" customWidth="1"/>
    <col min="7" max="7" width="13.453125" style="7" customWidth="1"/>
    <col min="8" max="8" width="13.90625" style="7" customWidth="1"/>
    <col min="9" max="9" width="36" style="7" customWidth="1"/>
    <col min="10" max="10" width="14.453125" style="7" customWidth="1"/>
    <col min="11" max="11" width="11.453125" style="7" customWidth="1"/>
    <col min="12" max="12" width="25.36328125" style="7" customWidth="1"/>
    <col min="13" max="13" width="10.08984375" style="7" customWidth="1"/>
    <col min="14" max="14" width="7" style="7" customWidth="1"/>
  </cols>
  <sheetData>
    <row r="1" spans="1:14">
      <c r="A1" s="5"/>
      <c r="I1" s="5"/>
      <c r="J1" s="5"/>
      <c r="K1" s="5"/>
      <c r="L1" s="5"/>
      <c r="M1" s="5"/>
      <c r="N1" s="5"/>
    </row>
    <row r="2" spans="1:14" ht="15.5" thickBot="1">
      <c r="A2" s="306" t="s">
        <v>98</v>
      </c>
      <c r="B2" s="306"/>
      <c r="C2" s="306"/>
      <c r="D2" s="306"/>
      <c r="E2" s="306"/>
      <c r="F2" s="306"/>
      <c r="G2" s="306"/>
      <c r="H2" s="306"/>
      <c r="I2" s="35"/>
      <c r="L2" s="36"/>
      <c r="M2" s="36"/>
      <c r="N2" s="36"/>
    </row>
    <row r="3" spans="1:14" ht="15.5" thickBot="1">
      <c r="A3" s="37"/>
      <c r="B3" s="38"/>
      <c r="C3" s="37"/>
      <c r="D3" s="37"/>
      <c r="E3" s="37"/>
      <c r="F3" s="37"/>
      <c r="G3" s="37"/>
      <c r="H3" s="37"/>
      <c r="I3" s="35"/>
      <c r="L3" s="36"/>
      <c r="M3" s="36"/>
      <c r="N3" s="36"/>
    </row>
    <row r="4" spans="1:14" ht="21.75" customHeight="1" thickBot="1">
      <c r="A4" s="39" t="s">
        <v>36</v>
      </c>
      <c r="B4" s="24" t="s">
        <v>96</v>
      </c>
      <c r="C4" s="39" t="s">
        <v>86</v>
      </c>
      <c r="D4" s="23" t="s">
        <v>87</v>
      </c>
      <c r="E4" s="39" t="s">
        <v>88</v>
      </c>
      <c r="F4" s="307" t="s">
        <v>89</v>
      </c>
      <c r="G4" s="308"/>
      <c r="H4" s="40" t="s">
        <v>90</v>
      </c>
      <c r="I4" s="41" t="s">
        <v>91</v>
      </c>
      <c r="J4" s="42" t="s">
        <v>92</v>
      </c>
      <c r="K4" s="43" t="s">
        <v>93</v>
      </c>
      <c r="L4" s="44" t="s">
        <v>107</v>
      </c>
      <c r="M4" s="44" t="s">
        <v>94</v>
      </c>
      <c r="N4" s="45" t="s">
        <v>95</v>
      </c>
    </row>
    <row r="5" spans="1:14">
      <c r="A5" s="46"/>
      <c r="B5" s="47"/>
      <c r="C5" s="48"/>
      <c r="D5" s="49"/>
      <c r="E5" s="48"/>
      <c r="F5" s="48"/>
      <c r="G5" s="50"/>
      <c r="H5" s="50"/>
      <c r="I5" s="51"/>
      <c r="J5" s="52"/>
      <c r="K5" s="52"/>
      <c r="L5" s="52"/>
      <c r="M5" s="52"/>
      <c r="N5" s="53"/>
    </row>
    <row r="6" spans="1:14">
      <c r="A6" s="54"/>
      <c r="B6" s="55" t="s">
        <v>97</v>
      </c>
      <c r="C6" s="48"/>
      <c r="D6" s="56" t="str">
        <f>[3]invoice!B24</f>
        <v>FABRIC &amp; PARTS FOR WEAR &amp; SAMPLE CLOTHES</v>
      </c>
      <c r="E6" s="50"/>
      <c r="F6" s="50"/>
      <c r="G6" s="57" t="str">
        <f>'[1]shipper master'!C48</f>
        <v>F.O.B. TOKYO IN YEN</v>
      </c>
      <c r="H6" s="50"/>
      <c r="I6" s="58"/>
      <c r="J6" s="59"/>
      <c r="K6" s="59"/>
      <c r="L6" s="59"/>
      <c r="M6" s="59"/>
      <c r="N6" s="60"/>
    </row>
    <row r="7" spans="1:14" ht="15.5" thickBot="1">
      <c r="A7" s="61"/>
      <c r="B7" s="62"/>
      <c r="C7" s="63"/>
      <c r="D7" s="64" t="s">
        <v>108</v>
      </c>
      <c r="E7" s="63"/>
      <c r="F7" s="63"/>
      <c r="G7" s="65"/>
      <c r="H7" s="20"/>
      <c r="I7" s="66"/>
      <c r="J7" s="67"/>
      <c r="K7" s="67"/>
      <c r="L7" s="67"/>
      <c r="M7" s="68"/>
      <c r="N7" s="69"/>
    </row>
    <row r="8" spans="1:14" ht="15.65" customHeight="1">
      <c r="A8" s="309" t="s">
        <v>160</v>
      </c>
      <c r="B8" s="29"/>
      <c r="C8" s="29"/>
      <c r="D8" s="186" t="s">
        <v>176</v>
      </c>
      <c r="E8" s="70"/>
      <c r="F8" s="70"/>
      <c r="G8" s="71"/>
      <c r="H8" s="72"/>
      <c r="I8" s="207"/>
      <c r="J8" s="213"/>
      <c r="K8" s="72"/>
      <c r="L8" s="72"/>
      <c r="M8" s="72"/>
      <c r="N8" s="294">
        <v>2</v>
      </c>
    </row>
    <row r="9" spans="1:14">
      <c r="A9" s="310"/>
      <c r="B9" s="197" t="s">
        <v>171</v>
      </c>
      <c r="C9" s="194" t="s">
        <v>174</v>
      </c>
      <c r="D9" s="21" t="s">
        <v>149</v>
      </c>
      <c r="E9" s="199">
        <v>10</v>
      </c>
      <c r="F9" s="75" t="s">
        <v>147</v>
      </c>
      <c r="G9" s="195">
        <v>1370</v>
      </c>
      <c r="H9" s="196">
        <f>E9*G9</f>
        <v>13700</v>
      </c>
      <c r="I9" s="200"/>
      <c r="J9" s="214"/>
      <c r="K9" s="50"/>
      <c r="L9" s="78"/>
      <c r="M9" s="50"/>
      <c r="N9" s="295"/>
    </row>
    <row r="10" spans="1:14" ht="16.5">
      <c r="A10" s="310"/>
      <c r="B10" s="21" t="s">
        <v>161</v>
      </c>
      <c r="C10" s="73" t="s">
        <v>175</v>
      </c>
      <c r="D10" s="209" t="s">
        <v>164</v>
      </c>
      <c r="E10" s="74">
        <v>19</v>
      </c>
      <c r="F10" s="75" t="s">
        <v>147</v>
      </c>
      <c r="G10" s="195">
        <v>1370</v>
      </c>
      <c r="H10" s="196">
        <f>E10*G10</f>
        <v>26030</v>
      </c>
      <c r="I10" s="200" t="s">
        <v>185</v>
      </c>
      <c r="J10" s="214" t="s">
        <v>169</v>
      </c>
      <c r="K10" s="50"/>
      <c r="L10" s="50"/>
      <c r="M10" s="50"/>
      <c r="N10" s="295"/>
    </row>
    <row r="11" spans="1:14" ht="16.5">
      <c r="A11" s="310"/>
      <c r="B11" s="32" t="s">
        <v>172</v>
      </c>
      <c r="C11" s="73"/>
      <c r="D11" s="31" t="s">
        <v>173</v>
      </c>
      <c r="E11" s="74"/>
      <c r="F11" s="75"/>
      <c r="G11" s="76"/>
      <c r="H11" s="77"/>
      <c r="I11" s="200"/>
      <c r="J11" s="214"/>
      <c r="K11" s="50"/>
      <c r="L11" s="50"/>
      <c r="M11" s="50"/>
      <c r="N11" s="295"/>
    </row>
    <row r="12" spans="1:14" ht="15.5" thickBot="1">
      <c r="A12" s="311"/>
      <c r="B12" s="34" t="s">
        <v>163</v>
      </c>
      <c r="C12" s="79"/>
      <c r="D12" s="33"/>
      <c r="E12" s="80"/>
      <c r="F12" s="190"/>
      <c r="G12" s="81"/>
      <c r="H12" s="82"/>
      <c r="I12" s="208"/>
      <c r="J12" s="215"/>
      <c r="K12" s="19"/>
      <c r="L12" s="19"/>
      <c r="M12" s="19"/>
      <c r="N12" s="296"/>
    </row>
    <row r="13" spans="1:14" ht="15.5" thickBot="1">
      <c r="A13" s="212"/>
      <c r="B13" s="197"/>
      <c r="C13" s="194"/>
      <c r="D13" s="198"/>
      <c r="E13" s="227"/>
      <c r="F13" s="210"/>
      <c r="G13" s="83"/>
      <c r="H13" s="84"/>
      <c r="I13" s="200"/>
      <c r="J13" s="214"/>
      <c r="K13" s="16"/>
      <c r="L13" s="16"/>
      <c r="M13" s="16"/>
      <c r="N13" s="201"/>
    </row>
    <row r="14" spans="1:14" ht="15.65" customHeight="1">
      <c r="A14" s="309" t="s">
        <v>193</v>
      </c>
      <c r="B14" s="29"/>
      <c r="C14" s="29"/>
      <c r="D14" s="186" t="s">
        <v>189</v>
      </c>
      <c r="E14" s="70"/>
      <c r="F14" s="70"/>
      <c r="G14" s="71"/>
      <c r="H14" s="72"/>
      <c r="I14" s="207"/>
      <c r="J14" s="213"/>
      <c r="K14" s="72"/>
      <c r="L14" s="72"/>
      <c r="M14" s="72"/>
      <c r="N14" s="294">
        <v>4</v>
      </c>
    </row>
    <row r="15" spans="1:14">
      <c r="A15" s="310"/>
      <c r="B15" s="197" t="s">
        <v>186</v>
      </c>
      <c r="C15" s="194" t="s">
        <v>188</v>
      </c>
      <c r="D15" s="21" t="s">
        <v>100</v>
      </c>
      <c r="E15" s="199">
        <v>174</v>
      </c>
      <c r="F15" s="75" t="s">
        <v>147</v>
      </c>
      <c r="G15" s="195">
        <v>1110</v>
      </c>
      <c r="H15" s="196">
        <f>E15*G15</f>
        <v>193140</v>
      </c>
      <c r="I15" s="200"/>
      <c r="J15" s="214" t="s">
        <v>192</v>
      </c>
      <c r="K15" s="50"/>
      <c r="L15" s="78"/>
      <c r="M15" s="50"/>
      <c r="N15" s="295"/>
    </row>
    <row r="16" spans="1:14" ht="16.5">
      <c r="A16" s="310"/>
      <c r="B16" s="21" t="s">
        <v>100</v>
      </c>
      <c r="C16" s="73" t="s">
        <v>156</v>
      </c>
      <c r="D16" s="209" t="s">
        <v>164</v>
      </c>
      <c r="E16" s="74">
        <v>54</v>
      </c>
      <c r="F16" s="75" t="s">
        <v>147</v>
      </c>
      <c r="G16" s="195">
        <v>1110</v>
      </c>
      <c r="H16" s="196">
        <f>E16*G16</f>
        <v>59940</v>
      </c>
      <c r="I16" s="200" t="s">
        <v>191</v>
      </c>
      <c r="J16" s="214"/>
      <c r="K16" s="50"/>
      <c r="L16" s="50"/>
      <c r="M16" s="50"/>
      <c r="N16" s="295"/>
    </row>
    <row r="17" spans="1:14" ht="16.5">
      <c r="A17" s="310"/>
      <c r="B17" s="32" t="s">
        <v>187</v>
      </c>
      <c r="C17" s="73"/>
      <c r="D17" s="31" t="s">
        <v>190</v>
      </c>
      <c r="E17" s="74"/>
      <c r="F17" s="75"/>
      <c r="G17" s="76"/>
      <c r="H17" s="77"/>
      <c r="I17" s="200"/>
      <c r="J17" s="214"/>
      <c r="K17" s="50"/>
      <c r="L17" s="50"/>
      <c r="M17" s="50"/>
      <c r="N17" s="295"/>
    </row>
    <row r="18" spans="1:14" ht="15.5" thickBot="1">
      <c r="A18" s="311"/>
      <c r="B18" s="34" t="s">
        <v>163</v>
      </c>
      <c r="C18" s="79"/>
      <c r="D18" s="33"/>
      <c r="E18" s="80"/>
      <c r="F18" s="80"/>
      <c r="G18" s="81"/>
      <c r="H18" s="82"/>
      <c r="I18" s="208"/>
      <c r="J18" s="215"/>
      <c r="K18" s="19"/>
      <c r="L18" s="19"/>
      <c r="M18" s="19"/>
      <c r="N18" s="296"/>
    </row>
    <row r="19" spans="1:14" ht="15.5" thickBot="1">
      <c r="A19" s="212"/>
      <c r="B19" s="191"/>
      <c r="C19" s="73"/>
      <c r="D19" s="31"/>
      <c r="E19" s="199"/>
      <c r="F19" s="75"/>
      <c r="G19" s="195"/>
      <c r="H19" s="196"/>
      <c r="I19" s="200"/>
      <c r="J19" s="214"/>
      <c r="K19" s="89"/>
      <c r="L19" s="89"/>
      <c r="M19" s="89"/>
      <c r="N19" s="201"/>
    </row>
    <row r="20" spans="1:14" ht="15.65" customHeight="1">
      <c r="A20" s="309" t="s">
        <v>167</v>
      </c>
      <c r="B20" s="29"/>
      <c r="C20" s="29"/>
      <c r="D20" s="186" t="s">
        <v>162</v>
      </c>
      <c r="E20" s="70"/>
      <c r="F20" s="70"/>
      <c r="G20" s="71"/>
      <c r="H20" s="72"/>
      <c r="I20" s="207"/>
      <c r="J20" s="213"/>
      <c r="K20" s="72"/>
      <c r="L20" s="72"/>
      <c r="M20" s="72"/>
      <c r="N20" s="294">
        <v>2</v>
      </c>
    </row>
    <row r="21" spans="1:14">
      <c r="A21" s="310"/>
      <c r="B21" s="197" t="s">
        <v>194</v>
      </c>
      <c r="C21" s="194" t="s">
        <v>195</v>
      </c>
      <c r="D21" s="21" t="s">
        <v>149</v>
      </c>
      <c r="E21" s="199">
        <v>41</v>
      </c>
      <c r="F21" s="75" t="s">
        <v>148</v>
      </c>
      <c r="G21" s="195">
        <v>1020</v>
      </c>
      <c r="H21" s="77">
        <f>E21*G21</f>
        <v>41820</v>
      </c>
      <c r="I21" s="200"/>
      <c r="J21" s="214"/>
      <c r="K21" s="50"/>
      <c r="L21" s="50"/>
      <c r="M21" s="50"/>
      <c r="N21" s="295"/>
    </row>
    <row r="22" spans="1:14" ht="16.5">
      <c r="A22" s="310"/>
      <c r="B22" s="21" t="s">
        <v>149</v>
      </c>
      <c r="C22" s="73"/>
      <c r="D22" s="209" t="s">
        <v>164</v>
      </c>
      <c r="E22" s="74"/>
      <c r="F22" s="75"/>
      <c r="G22" s="195"/>
      <c r="H22" s="77"/>
      <c r="I22" s="200" t="s">
        <v>196</v>
      </c>
      <c r="J22" s="214" t="s">
        <v>197</v>
      </c>
      <c r="K22" s="50"/>
      <c r="L22" s="50"/>
      <c r="M22" s="50"/>
      <c r="N22" s="295"/>
    </row>
    <row r="23" spans="1:14" ht="16.5">
      <c r="A23" s="310"/>
      <c r="B23" s="32" t="s">
        <v>166</v>
      </c>
      <c r="C23" s="73"/>
      <c r="D23" s="31" t="s">
        <v>165</v>
      </c>
      <c r="E23" s="74"/>
      <c r="F23" s="75"/>
      <c r="G23" s="76"/>
      <c r="H23" s="77"/>
      <c r="I23" s="200"/>
      <c r="J23" s="214"/>
      <c r="K23" s="50"/>
      <c r="L23" s="50"/>
      <c r="M23" s="50"/>
      <c r="N23" s="295"/>
    </row>
    <row r="24" spans="1:14" ht="15.5" thickBot="1">
      <c r="A24" s="311"/>
      <c r="B24" s="34" t="s">
        <v>163</v>
      </c>
      <c r="C24" s="79"/>
      <c r="D24" s="33"/>
      <c r="E24" s="80"/>
      <c r="F24" s="80"/>
      <c r="G24" s="81"/>
      <c r="H24" s="82"/>
      <c r="I24" s="208"/>
      <c r="J24" s="215"/>
      <c r="K24" s="19"/>
      <c r="L24" s="19"/>
      <c r="M24" s="19"/>
      <c r="N24" s="296"/>
    </row>
    <row r="25" spans="1:14" ht="15.5" thickBot="1">
      <c r="A25" s="212"/>
      <c r="B25" s="191"/>
      <c r="C25" s="73"/>
      <c r="D25" s="31"/>
      <c r="E25" s="199"/>
      <c r="F25" s="75"/>
      <c r="G25" s="195"/>
      <c r="H25" s="196"/>
      <c r="I25" s="200"/>
      <c r="J25" s="214"/>
      <c r="K25" s="89"/>
      <c r="L25" s="89"/>
      <c r="M25" s="89"/>
      <c r="N25" s="201"/>
    </row>
    <row r="26" spans="1:14" ht="15.65" customHeight="1">
      <c r="A26" s="309" t="s">
        <v>202</v>
      </c>
      <c r="B26" s="29"/>
      <c r="C26" s="29"/>
      <c r="D26" s="186" t="s">
        <v>200</v>
      </c>
      <c r="E26" s="70"/>
      <c r="F26" s="70"/>
      <c r="G26" s="71"/>
      <c r="H26" s="72"/>
      <c r="I26" s="207"/>
      <c r="J26" s="213"/>
      <c r="K26" s="72"/>
      <c r="L26" s="72"/>
      <c r="M26" s="72"/>
      <c r="N26" s="294">
        <v>1</v>
      </c>
    </row>
    <row r="27" spans="1:14">
      <c r="A27" s="310"/>
      <c r="B27" s="197" t="s">
        <v>198</v>
      </c>
      <c r="C27" s="194" t="s">
        <v>199</v>
      </c>
      <c r="D27" s="21" t="s">
        <v>149</v>
      </c>
      <c r="E27" s="199">
        <v>74</v>
      </c>
      <c r="F27" s="75" t="s">
        <v>148</v>
      </c>
      <c r="G27" s="195">
        <v>880</v>
      </c>
      <c r="H27" s="77">
        <f>E27*G27</f>
        <v>65120</v>
      </c>
      <c r="I27" s="200"/>
      <c r="J27" s="214"/>
      <c r="K27" s="50"/>
      <c r="L27" s="50"/>
      <c r="M27" s="50"/>
      <c r="N27" s="295"/>
    </row>
    <row r="28" spans="1:14" ht="16.5">
      <c r="A28" s="310"/>
      <c r="B28" s="21" t="s">
        <v>149</v>
      </c>
      <c r="C28" s="73"/>
      <c r="D28" s="209" t="s">
        <v>211</v>
      </c>
      <c r="E28" s="74"/>
      <c r="F28" s="75"/>
      <c r="G28" s="195"/>
      <c r="H28" s="77"/>
      <c r="I28" s="200" t="s">
        <v>201</v>
      </c>
      <c r="J28" s="214" t="s">
        <v>206</v>
      </c>
      <c r="K28" s="50"/>
      <c r="L28" s="50"/>
      <c r="M28" s="50"/>
      <c r="N28" s="295"/>
    </row>
    <row r="29" spans="1:14" ht="16.5">
      <c r="A29" s="310"/>
      <c r="B29" s="32" t="s">
        <v>210</v>
      </c>
      <c r="C29" s="73"/>
      <c r="D29" s="31" t="s">
        <v>212</v>
      </c>
      <c r="E29" s="74"/>
      <c r="F29" s="75"/>
      <c r="G29" s="76"/>
      <c r="H29" s="77"/>
      <c r="I29" s="200"/>
      <c r="J29" s="214"/>
      <c r="K29" s="50"/>
      <c r="L29" s="50"/>
      <c r="M29" s="50"/>
      <c r="N29" s="295"/>
    </row>
    <row r="30" spans="1:14" ht="15.5" thickBot="1">
      <c r="A30" s="311"/>
      <c r="B30" s="34" t="s">
        <v>151</v>
      </c>
      <c r="C30" s="79"/>
      <c r="D30" s="33"/>
      <c r="E30" s="80"/>
      <c r="F30" s="80"/>
      <c r="G30" s="81"/>
      <c r="H30" s="82"/>
      <c r="I30" s="208"/>
      <c r="J30" s="215"/>
      <c r="K30" s="19"/>
      <c r="L30" s="19"/>
      <c r="M30" s="19"/>
      <c r="N30" s="296"/>
    </row>
    <row r="31" spans="1:14" ht="15.5" thickBot="1">
      <c r="A31" s="212"/>
      <c r="B31" s="191"/>
      <c r="C31" s="73"/>
      <c r="D31" s="31"/>
      <c r="E31" s="199"/>
      <c r="F31" s="75"/>
      <c r="G31" s="195"/>
      <c r="H31" s="196"/>
      <c r="I31" s="200"/>
      <c r="J31" s="214"/>
      <c r="K31" s="89"/>
      <c r="L31" s="89"/>
      <c r="M31" s="89"/>
      <c r="N31" s="201"/>
    </row>
    <row r="32" spans="1:14" ht="15.65" customHeight="1">
      <c r="A32" s="297" t="s">
        <v>214</v>
      </c>
      <c r="B32" s="228"/>
      <c r="C32" s="29"/>
      <c r="D32" s="186" t="s">
        <v>204</v>
      </c>
      <c r="E32" s="70"/>
      <c r="F32" s="70"/>
      <c r="G32" s="71"/>
      <c r="H32" s="72"/>
      <c r="I32" s="207"/>
      <c r="J32" s="300" t="s">
        <v>206</v>
      </c>
      <c r="K32" s="72"/>
      <c r="L32" s="72"/>
      <c r="M32" s="72"/>
      <c r="N32" s="294">
        <v>2</v>
      </c>
    </row>
    <row r="33" spans="1:14">
      <c r="A33" s="298"/>
      <c r="B33" s="229" t="s">
        <v>203</v>
      </c>
      <c r="C33" s="194" t="s">
        <v>180</v>
      </c>
      <c r="D33" s="21" t="s">
        <v>100</v>
      </c>
      <c r="E33" s="199">
        <v>74</v>
      </c>
      <c r="F33" s="75" t="s">
        <v>145</v>
      </c>
      <c r="G33" s="195">
        <v>1000</v>
      </c>
      <c r="H33" s="77">
        <f>E33*G33</f>
        <v>74000</v>
      </c>
      <c r="I33" s="251"/>
      <c r="J33" s="301"/>
      <c r="K33" s="50"/>
      <c r="L33" s="50"/>
      <c r="M33" s="50"/>
      <c r="N33" s="295"/>
    </row>
    <row r="34" spans="1:14">
      <c r="A34" s="298"/>
      <c r="B34" s="230" t="s">
        <v>168</v>
      </c>
      <c r="C34" s="73" t="s">
        <v>178</v>
      </c>
      <c r="D34" s="198"/>
      <c r="E34" s="74">
        <v>23</v>
      </c>
      <c r="F34" s="75" t="s">
        <v>145</v>
      </c>
      <c r="G34" s="76">
        <v>1000</v>
      </c>
      <c r="H34" s="77">
        <f>E34*G34</f>
        <v>23000</v>
      </c>
      <c r="I34" s="251"/>
      <c r="J34" s="301"/>
      <c r="K34" s="50"/>
      <c r="L34" s="50"/>
      <c r="M34" s="50"/>
      <c r="N34" s="295"/>
    </row>
    <row r="35" spans="1:14">
      <c r="A35" s="298"/>
      <c r="B35" s="231" t="s">
        <v>208</v>
      </c>
      <c r="C35" s="73"/>
      <c r="D35" s="30"/>
      <c r="E35" s="74"/>
      <c r="F35" s="75"/>
      <c r="G35" s="76"/>
      <c r="H35" s="77"/>
      <c r="I35" s="251"/>
      <c r="J35" s="301"/>
      <c r="K35" s="50"/>
      <c r="L35" s="50"/>
      <c r="M35" s="50"/>
      <c r="N35" s="295"/>
    </row>
    <row r="36" spans="1:14" ht="15.5" thickBot="1">
      <c r="A36" s="298"/>
      <c r="B36" s="232" t="s">
        <v>153</v>
      </c>
      <c r="C36" s="79"/>
      <c r="D36" s="33"/>
      <c r="E36" s="80"/>
      <c r="F36" s="80"/>
      <c r="G36" s="81"/>
      <c r="H36" s="82"/>
      <c r="I36" s="251"/>
      <c r="J36" s="301"/>
      <c r="K36" s="19"/>
      <c r="L36" s="19"/>
      <c r="M36" s="19"/>
      <c r="N36" s="295"/>
    </row>
    <row r="37" spans="1:14" ht="15.5" thickBot="1">
      <c r="A37" s="298"/>
      <c r="B37" s="273"/>
      <c r="C37" s="73"/>
      <c r="D37" s="31"/>
      <c r="E37" s="199"/>
      <c r="F37" s="75"/>
      <c r="G37" s="195"/>
      <c r="H37" s="196"/>
      <c r="I37" s="251"/>
      <c r="J37" s="301"/>
      <c r="K37" s="89"/>
      <c r="L37" s="89"/>
      <c r="M37" s="89"/>
      <c r="N37" s="295"/>
    </row>
    <row r="38" spans="1:14" ht="15.65" customHeight="1">
      <c r="A38" s="298"/>
      <c r="B38" s="272"/>
      <c r="C38" s="29"/>
      <c r="D38" s="186" t="s">
        <v>200</v>
      </c>
      <c r="E38" s="70"/>
      <c r="F38" s="70"/>
      <c r="G38" s="71"/>
      <c r="H38" s="72"/>
      <c r="I38" s="251" t="s">
        <v>205</v>
      </c>
      <c r="J38" s="301"/>
      <c r="K38" s="72"/>
      <c r="L38" s="72"/>
      <c r="M38" s="72"/>
      <c r="N38" s="295"/>
    </row>
    <row r="39" spans="1:14">
      <c r="A39" s="298"/>
      <c r="B39" s="229" t="s">
        <v>207</v>
      </c>
      <c r="C39" s="194" t="s">
        <v>179</v>
      </c>
      <c r="D39" s="21" t="s">
        <v>161</v>
      </c>
      <c r="E39" s="199">
        <v>10</v>
      </c>
      <c r="F39" s="75" t="s">
        <v>213</v>
      </c>
      <c r="G39" s="195">
        <v>1000</v>
      </c>
      <c r="H39" s="77">
        <f>E39*G39</f>
        <v>10000</v>
      </c>
      <c r="I39" s="251"/>
      <c r="J39" s="301"/>
      <c r="K39" s="50"/>
      <c r="L39" s="50"/>
      <c r="M39" s="50"/>
      <c r="N39" s="295"/>
    </row>
    <row r="40" spans="1:14">
      <c r="A40" s="298"/>
      <c r="B40" s="230" t="s">
        <v>168</v>
      </c>
      <c r="C40" s="73"/>
      <c r="D40" s="198"/>
      <c r="E40" s="74"/>
      <c r="F40" s="75"/>
      <c r="G40" s="76"/>
      <c r="H40" s="77"/>
      <c r="I40" s="251"/>
      <c r="J40" s="301"/>
      <c r="K40" s="50"/>
      <c r="L40" s="50"/>
      <c r="M40" s="50"/>
      <c r="N40" s="295"/>
    </row>
    <row r="41" spans="1:14">
      <c r="A41" s="298"/>
      <c r="B41" s="231" t="s">
        <v>208</v>
      </c>
      <c r="C41" s="73"/>
      <c r="D41" s="30"/>
      <c r="E41" s="74"/>
      <c r="F41" s="75"/>
      <c r="G41" s="76"/>
      <c r="H41" s="77"/>
      <c r="I41" s="251"/>
      <c r="J41" s="301"/>
      <c r="K41" s="50"/>
      <c r="L41" s="50"/>
      <c r="M41" s="50"/>
      <c r="N41" s="295"/>
    </row>
    <row r="42" spans="1:14" ht="15.5" thickBot="1">
      <c r="A42" s="299"/>
      <c r="B42" s="232" t="s">
        <v>209</v>
      </c>
      <c r="C42" s="79"/>
      <c r="D42" s="33"/>
      <c r="E42" s="80"/>
      <c r="F42" s="80"/>
      <c r="G42" s="81"/>
      <c r="H42" s="82"/>
      <c r="I42" s="208"/>
      <c r="J42" s="302"/>
      <c r="K42" s="19"/>
      <c r="L42" s="19"/>
      <c r="M42" s="19"/>
      <c r="N42" s="296"/>
    </row>
    <row r="43" spans="1:14" ht="15.5" thickBot="1">
      <c r="A43" s="212"/>
      <c r="B43" s="197"/>
      <c r="C43" s="194"/>
      <c r="D43" s="198"/>
      <c r="E43" s="227"/>
      <c r="F43" s="210"/>
      <c r="G43" s="83"/>
      <c r="H43" s="84"/>
      <c r="I43" s="200"/>
      <c r="J43" s="214"/>
      <c r="K43" s="16"/>
      <c r="L43" s="16"/>
      <c r="M43" s="16"/>
      <c r="N43" s="201"/>
    </row>
    <row r="44" spans="1:14" ht="15.65" customHeight="1">
      <c r="A44" s="309" t="s">
        <v>225</v>
      </c>
      <c r="B44" s="274"/>
      <c r="C44" s="29"/>
      <c r="D44" s="186" t="s">
        <v>221</v>
      </c>
      <c r="E44" s="70"/>
      <c r="F44" s="70"/>
      <c r="G44" s="71"/>
      <c r="H44" s="72"/>
      <c r="I44" s="207"/>
      <c r="J44" s="213"/>
      <c r="K44" s="72"/>
      <c r="L44" s="72"/>
      <c r="M44" s="72"/>
      <c r="N44" s="294">
        <v>3</v>
      </c>
    </row>
    <row r="45" spans="1:14">
      <c r="A45" s="310"/>
      <c r="B45" s="275" t="s">
        <v>215</v>
      </c>
      <c r="C45" s="73" t="s">
        <v>218</v>
      </c>
      <c r="D45" s="30" t="s">
        <v>149</v>
      </c>
      <c r="E45" s="199">
        <v>93</v>
      </c>
      <c r="F45" s="75" t="s">
        <v>145</v>
      </c>
      <c r="G45" s="195">
        <v>462</v>
      </c>
      <c r="H45" s="196">
        <f>E45*G45</f>
        <v>42966</v>
      </c>
      <c r="I45" s="200"/>
      <c r="J45" s="214"/>
      <c r="K45" s="50"/>
      <c r="L45" s="78"/>
      <c r="M45" s="50"/>
      <c r="N45" s="295"/>
    </row>
    <row r="46" spans="1:14">
      <c r="A46" s="310"/>
      <c r="B46" s="275" t="s">
        <v>216</v>
      </c>
      <c r="C46" s="73" t="s">
        <v>219</v>
      </c>
      <c r="D46" s="30" t="s">
        <v>168</v>
      </c>
      <c r="E46" s="74">
        <v>59</v>
      </c>
      <c r="F46" s="75" t="s">
        <v>145</v>
      </c>
      <c r="G46" s="195">
        <v>462</v>
      </c>
      <c r="H46" s="196">
        <f>E46*G46</f>
        <v>27258</v>
      </c>
      <c r="I46" s="200" t="s">
        <v>223</v>
      </c>
      <c r="J46" s="214" t="s">
        <v>224</v>
      </c>
      <c r="K46" s="50"/>
      <c r="L46" s="50"/>
      <c r="M46" s="50"/>
      <c r="N46" s="295"/>
    </row>
    <row r="47" spans="1:14">
      <c r="A47" s="310"/>
      <c r="B47" s="276" t="s">
        <v>149</v>
      </c>
      <c r="C47" s="73" t="s">
        <v>220</v>
      </c>
      <c r="D47" s="31" t="s">
        <v>383</v>
      </c>
      <c r="E47" s="74">
        <v>68</v>
      </c>
      <c r="F47" s="75" t="s">
        <v>145</v>
      </c>
      <c r="G47" s="195">
        <v>462</v>
      </c>
      <c r="H47" s="196">
        <f>E47*G47</f>
        <v>31416</v>
      </c>
      <c r="I47" s="200"/>
      <c r="J47" s="214"/>
      <c r="K47" s="50"/>
      <c r="L47" s="50"/>
      <c r="M47" s="50"/>
      <c r="N47" s="295"/>
    </row>
    <row r="48" spans="1:14" ht="17" thickBot="1">
      <c r="A48" s="311"/>
      <c r="B48" s="277" t="s">
        <v>217</v>
      </c>
      <c r="C48" s="278" t="s">
        <v>222</v>
      </c>
      <c r="D48" s="269"/>
      <c r="E48" s="280">
        <v>1</v>
      </c>
      <c r="F48" s="190" t="s">
        <v>145</v>
      </c>
      <c r="G48" s="281">
        <v>462</v>
      </c>
      <c r="H48" s="282">
        <f>E48*G48</f>
        <v>462</v>
      </c>
      <c r="I48" s="208"/>
      <c r="J48" s="215"/>
      <c r="K48" s="19"/>
      <c r="L48" s="19"/>
      <c r="M48" s="19"/>
      <c r="N48" s="296"/>
    </row>
    <row r="49" spans="1:14" ht="15.5" thickBot="1">
      <c r="A49" s="212"/>
      <c r="B49" s="197"/>
      <c r="C49" s="194"/>
      <c r="D49" s="198"/>
      <c r="E49" s="227"/>
      <c r="F49" s="210"/>
      <c r="G49" s="83"/>
      <c r="H49" s="84"/>
      <c r="I49" s="200"/>
      <c r="J49" s="214"/>
      <c r="K49" s="16"/>
      <c r="L49" s="16"/>
      <c r="M49" s="16"/>
      <c r="N49" s="201"/>
    </row>
    <row r="50" spans="1:14" ht="22" customHeight="1">
      <c r="A50" s="303" t="s">
        <v>226</v>
      </c>
      <c r="B50" s="29"/>
      <c r="C50" s="29"/>
      <c r="D50" s="283" t="s">
        <v>229</v>
      </c>
      <c r="E50" s="70"/>
      <c r="F50" s="70"/>
      <c r="G50" s="71"/>
      <c r="H50" s="72"/>
      <c r="I50" s="207"/>
      <c r="J50" s="213"/>
      <c r="K50" s="72"/>
      <c r="L50" s="72"/>
      <c r="M50" s="72"/>
      <c r="N50" s="294">
        <v>3</v>
      </c>
    </row>
    <row r="51" spans="1:14">
      <c r="A51" s="304"/>
      <c r="B51" s="197" t="s">
        <v>227</v>
      </c>
      <c r="C51" s="194" t="s">
        <v>228</v>
      </c>
      <c r="D51" s="284"/>
      <c r="E51" s="199">
        <v>680</v>
      </c>
      <c r="F51" s="75" t="s">
        <v>145</v>
      </c>
      <c r="G51" s="195">
        <v>200</v>
      </c>
      <c r="H51" s="196">
        <f>E51*G51</f>
        <v>136000</v>
      </c>
      <c r="I51" s="200" t="s">
        <v>230</v>
      </c>
      <c r="J51" s="214"/>
      <c r="K51" s="50"/>
      <c r="L51" s="78"/>
      <c r="M51" s="50"/>
      <c r="N51" s="295"/>
    </row>
    <row r="52" spans="1:14" ht="16.5">
      <c r="A52" s="304"/>
      <c r="B52" s="21"/>
      <c r="C52" s="73"/>
      <c r="D52" s="209"/>
      <c r="E52" s="74"/>
      <c r="F52" s="75"/>
      <c r="G52" s="195"/>
      <c r="H52" s="196"/>
      <c r="I52" s="200" t="s">
        <v>231</v>
      </c>
      <c r="J52" s="214" t="s">
        <v>232</v>
      </c>
      <c r="K52" s="50"/>
      <c r="L52" s="50"/>
      <c r="M52" s="50"/>
      <c r="N52" s="295"/>
    </row>
    <row r="53" spans="1:14">
      <c r="A53" s="304"/>
      <c r="B53" s="32"/>
      <c r="C53" s="73"/>
      <c r="D53" s="31"/>
      <c r="E53" s="74"/>
      <c r="F53" s="75"/>
      <c r="G53" s="195"/>
      <c r="H53" s="196"/>
      <c r="I53" s="200"/>
      <c r="J53" s="214" t="s">
        <v>233</v>
      </c>
      <c r="K53" s="50"/>
      <c r="L53" s="50"/>
      <c r="M53" s="50"/>
      <c r="N53" s="295"/>
    </row>
    <row r="54" spans="1:14" ht="15.5" thickBot="1">
      <c r="A54" s="305"/>
      <c r="B54" s="34"/>
      <c r="C54" s="79"/>
      <c r="D54" s="33"/>
      <c r="E54" s="80"/>
      <c r="F54" s="80"/>
      <c r="G54" s="81"/>
      <c r="H54" s="82"/>
      <c r="I54" s="208"/>
      <c r="J54" s="215"/>
      <c r="K54" s="19"/>
      <c r="L54" s="19"/>
      <c r="M54" s="19"/>
      <c r="N54" s="296"/>
    </row>
    <row r="55" spans="1:14" ht="15.5" thickBot="1">
      <c r="A55" s="212"/>
      <c r="B55" s="191"/>
      <c r="C55" s="73"/>
      <c r="D55" s="279"/>
      <c r="E55" s="199"/>
      <c r="F55" s="75"/>
      <c r="G55" s="195"/>
      <c r="H55" s="196"/>
      <c r="I55" s="251"/>
      <c r="J55" s="214"/>
      <c r="K55" s="89"/>
      <c r="L55" s="89"/>
      <c r="M55" s="89"/>
      <c r="N55" s="201"/>
    </row>
    <row r="56" spans="1:14" ht="15.65" customHeight="1">
      <c r="A56" s="309" t="s">
        <v>242</v>
      </c>
      <c r="B56" s="228"/>
      <c r="C56" s="29"/>
      <c r="D56" s="186" t="s">
        <v>177</v>
      </c>
      <c r="E56" s="70"/>
      <c r="F56" s="70"/>
      <c r="G56" s="71"/>
      <c r="H56" s="72"/>
      <c r="I56" s="316" t="s">
        <v>243</v>
      </c>
      <c r="J56" s="213"/>
      <c r="K56" s="72"/>
      <c r="L56" s="72"/>
      <c r="M56" s="72"/>
      <c r="N56" s="294">
        <v>1</v>
      </c>
    </row>
    <row r="57" spans="1:14">
      <c r="A57" s="310"/>
      <c r="B57" s="229" t="s">
        <v>157</v>
      </c>
      <c r="C57" s="73" t="s">
        <v>154</v>
      </c>
      <c r="D57" s="30" t="s">
        <v>146</v>
      </c>
      <c r="E57" s="199">
        <v>60</v>
      </c>
      <c r="F57" s="75" t="s">
        <v>85</v>
      </c>
      <c r="G57" s="195">
        <v>1000</v>
      </c>
      <c r="H57" s="77">
        <f>E57*G57</f>
        <v>60000</v>
      </c>
      <c r="I57" s="317"/>
      <c r="J57" s="253"/>
      <c r="K57" s="50"/>
      <c r="L57" s="50"/>
      <c r="M57" s="50"/>
      <c r="N57" s="314"/>
    </row>
    <row r="58" spans="1:14" ht="16.5">
      <c r="A58" s="310"/>
      <c r="B58" s="230" t="s">
        <v>158</v>
      </c>
      <c r="C58" s="73"/>
      <c r="D58" s="30"/>
      <c r="E58" s="74"/>
      <c r="F58" s="75"/>
      <c r="G58" s="76"/>
      <c r="H58" s="77"/>
      <c r="I58" s="317"/>
      <c r="J58" s="253"/>
      <c r="K58" s="50"/>
      <c r="L58" s="50"/>
      <c r="M58" s="50"/>
      <c r="N58" s="314"/>
    </row>
    <row r="59" spans="1:14">
      <c r="A59" s="310"/>
      <c r="B59" s="231" t="s">
        <v>152</v>
      </c>
      <c r="C59" s="73"/>
      <c r="D59" s="31"/>
      <c r="E59" s="74"/>
      <c r="F59" s="75"/>
      <c r="G59" s="76"/>
      <c r="H59" s="77"/>
      <c r="I59" s="317"/>
      <c r="J59" s="253"/>
      <c r="K59" s="50"/>
      <c r="L59" s="50"/>
      <c r="M59" s="50"/>
      <c r="N59" s="314"/>
    </row>
    <row r="60" spans="1:14" ht="15.5" thickBot="1">
      <c r="A60" s="310"/>
      <c r="B60" s="232" t="s">
        <v>153</v>
      </c>
      <c r="C60" s="79"/>
      <c r="D60" s="33"/>
      <c r="E60" s="80"/>
      <c r="F60" s="80"/>
      <c r="G60" s="81"/>
      <c r="H60" s="82"/>
      <c r="I60" s="317"/>
      <c r="J60" s="253"/>
      <c r="K60" s="50"/>
      <c r="L60" s="50"/>
      <c r="M60" s="50"/>
      <c r="N60" s="314"/>
    </row>
    <row r="61" spans="1:14" ht="15.5" thickBot="1">
      <c r="A61" s="310"/>
      <c r="B61" s="191"/>
      <c r="C61" s="73"/>
      <c r="D61" s="31"/>
      <c r="E61" s="199"/>
      <c r="F61" s="75"/>
      <c r="G61" s="195"/>
      <c r="H61" s="196"/>
      <c r="I61" s="317"/>
      <c r="J61" s="253" t="s">
        <v>238</v>
      </c>
      <c r="K61" s="50"/>
      <c r="L61" s="50"/>
      <c r="M61" s="50"/>
      <c r="N61" s="314"/>
    </row>
    <row r="62" spans="1:14" ht="15.65" customHeight="1">
      <c r="A62" s="310"/>
      <c r="B62" s="29"/>
      <c r="C62" s="29"/>
      <c r="D62" s="186" t="s">
        <v>177</v>
      </c>
      <c r="E62" s="70"/>
      <c r="F62" s="70"/>
      <c r="G62" s="71"/>
      <c r="H62" s="72"/>
      <c r="I62" s="317"/>
      <c r="J62" s="253"/>
      <c r="K62" s="50"/>
      <c r="L62" s="50"/>
      <c r="M62" s="50"/>
      <c r="N62" s="314"/>
    </row>
    <row r="63" spans="1:14">
      <c r="A63" s="310"/>
      <c r="B63" s="197" t="s">
        <v>239</v>
      </c>
      <c r="C63" s="194" t="s">
        <v>234</v>
      </c>
      <c r="D63" s="21" t="s">
        <v>146</v>
      </c>
      <c r="E63" s="199">
        <v>21</v>
      </c>
      <c r="F63" s="75" t="s">
        <v>148</v>
      </c>
      <c r="G63" s="195">
        <v>990</v>
      </c>
      <c r="H63" s="77">
        <f>E63*G63</f>
        <v>20790</v>
      </c>
      <c r="I63" s="317"/>
      <c r="J63" s="253"/>
      <c r="K63" s="50"/>
      <c r="L63" s="50"/>
      <c r="M63" s="50"/>
      <c r="N63" s="314"/>
    </row>
    <row r="64" spans="1:14" ht="16.5">
      <c r="A64" s="310"/>
      <c r="B64" s="21" t="s">
        <v>146</v>
      </c>
      <c r="C64" s="73" t="s">
        <v>235</v>
      </c>
      <c r="D64" s="248" t="s">
        <v>236</v>
      </c>
      <c r="E64" s="74">
        <v>26</v>
      </c>
      <c r="F64" s="75" t="s">
        <v>148</v>
      </c>
      <c r="G64" s="76">
        <v>990</v>
      </c>
      <c r="H64" s="77">
        <f>E64*G64</f>
        <v>25740</v>
      </c>
      <c r="I64" s="317"/>
      <c r="J64" s="253"/>
      <c r="K64" s="50"/>
      <c r="L64" s="50"/>
      <c r="M64" s="50"/>
      <c r="N64" s="314"/>
    </row>
    <row r="65" spans="1:14">
      <c r="A65" s="310"/>
      <c r="B65" s="32" t="s">
        <v>170</v>
      </c>
      <c r="C65" s="73"/>
      <c r="D65" s="30" t="s">
        <v>237</v>
      </c>
      <c r="E65" s="74"/>
      <c r="F65" s="75"/>
      <c r="G65" s="76"/>
      <c r="H65" s="77"/>
      <c r="I65" s="317"/>
      <c r="J65" s="253"/>
      <c r="K65" s="50"/>
      <c r="L65" s="50"/>
      <c r="M65" s="50"/>
      <c r="N65" s="314"/>
    </row>
    <row r="66" spans="1:14" ht="15.5" thickBot="1">
      <c r="A66" s="310"/>
      <c r="B66" s="34" t="s">
        <v>151</v>
      </c>
      <c r="C66" s="79"/>
      <c r="D66" s="33"/>
      <c r="E66" s="80"/>
      <c r="F66" s="80"/>
      <c r="G66" s="81"/>
      <c r="H66" s="82"/>
      <c r="I66" s="317"/>
      <c r="J66" s="253"/>
      <c r="K66" s="50"/>
      <c r="L66" s="50"/>
      <c r="M66" s="50"/>
      <c r="N66" s="314"/>
    </row>
    <row r="67" spans="1:14" ht="15.65" customHeight="1" thickBot="1">
      <c r="A67" s="310"/>
      <c r="B67" s="271"/>
      <c r="C67" s="29"/>
      <c r="D67" s="240"/>
      <c r="E67" s="70"/>
      <c r="F67" s="70"/>
      <c r="G67" s="71"/>
      <c r="H67" s="72"/>
      <c r="I67" s="317"/>
      <c r="J67" s="312"/>
      <c r="K67" s="50"/>
      <c r="L67" s="50"/>
      <c r="M67" s="50"/>
      <c r="N67" s="314"/>
    </row>
    <row r="68" spans="1:14" ht="29.5" customHeight="1" thickBot="1">
      <c r="A68" s="310"/>
      <c r="B68" s="29"/>
      <c r="C68" s="29"/>
      <c r="D68" s="283" t="s">
        <v>229</v>
      </c>
      <c r="E68" s="70"/>
      <c r="F68" s="70"/>
      <c r="G68" s="71"/>
      <c r="H68" s="72"/>
      <c r="I68" s="317"/>
      <c r="J68" s="312"/>
      <c r="K68" s="50"/>
      <c r="L68" s="50"/>
      <c r="M68" s="50"/>
      <c r="N68" s="314"/>
    </row>
    <row r="69" spans="1:14" ht="18.5" customHeight="1" thickBot="1">
      <c r="A69" s="311"/>
      <c r="B69" s="260" t="s">
        <v>240</v>
      </c>
      <c r="C69" s="261"/>
      <c r="D69" s="262" t="s">
        <v>241</v>
      </c>
      <c r="E69" s="263">
        <v>720</v>
      </c>
      <c r="F69" s="264" t="s">
        <v>85</v>
      </c>
      <c r="G69" s="265">
        <v>50</v>
      </c>
      <c r="H69" s="265">
        <f t="shared" ref="H69" si="0">E69*G69</f>
        <v>36000</v>
      </c>
      <c r="I69" s="318"/>
      <c r="J69" s="313"/>
      <c r="K69" s="19"/>
      <c r="L69" s="233"/>
      <c r="M69" s="19"/>
      <c r="N69" s="296"/>
    </row>
    <row r="70" spans="1:14" ht="15.5" thickBot="1">
      <c r="A70" s="212"/>
      <c r="B70" s="258"/>
      <c r="C70" s="254"/>
      <c r="D70" s="259"/>
      <c r="E70" s="255"/>
      <c r="F70" s="256"/>
      <c r="G70" s="249"/>
      <c r="H70" s="250"/>
      <c r="I70" s="251"/>
      <c r="J70" s="253"/>
      <c r="K70" s="252"/>
      <c r="L70" s="252"/>
      <c r="M70" s="252"/>
      <c r="N70" s="257"/>
    </row>
    <row r="71" spans="1:14">
      <c r="A71" s="225"/>
      <c r="B71" s="216"/>
      <c r="C71" s="240"/>
      <c r="D71" s="217"/>
      <c r="E71" s="226">
        <f>SUMIF($F$8:$F$70,"M.",$E$8:$E$70)</f>
        <v>419</v>
      </c>
      <c r="F71" s="187" t="s">
        <v>147</v>
      </c>
      <c r="G71" s="222"/>
      <c r="H71" s="237">
        <f>SUMIF($F$8:$F$70,"M.",$H$8:$H$70)</f>
        <v>446280</v>
      </c>
      <c r="I71" s="87"/>
      <c r="J71" s="88"/>
      <c r="K71" s="89"/>
      <c r="L71" s="89"/>
      <c r="M71" s="89"/>
      <c r="N71" s="90"/>
    </row>
    <row r="72" spans="1:14">
      <c r="A72" s="50"/>
      <c r="B72" s="21"/>
      <c r="C72" s="50"/>
      <c r="D72" s="91"/>
      <c r="E72" s="86">
        <f>SUMIF($F$8:$F$70,"PCS.",$E$8:$E$70)</f>
        <v>1778</v>
      </c>
      <c r="F72" s="85" t="s">
        <v>85</v>
      </c>
      <c r="G72" s="50"/>
      <c r="H72" s="238">
        <f>SUMIF($F$8:$F$70,"PCS.",$H$8:$H$70)</f>
        <v>431102</v>
      </c>
      <c r="I72" s="50"/>
      <c r="J72" s="92"/>
      <c r="K72" s="50"/>
      <c r="L72" s="50"/>
      <c r="M72" s="50"/>
      <c r="N72" s="93"/>
    </row>
    <row r="73" spans="1:14">
      <c r="A73" s="20"/>
      <c r="B73" s="62"/>
      <c r="C73" s="20"/>
      <c r="D73" s="241"/>
      <c r="E73" s="86">
        <f>SUMIF($F$8:$F$70,"KG.",$E$8:$E$70)</f>
        <v>10</v>
      </c>
      <c r="F73" s="85" t="s">
        <v>213</v>
      </c>
      <c r="G73" s="50"/>
      <c r="H73" s="238">
        <f>SUMIF($F$8:$F$70,"KG.",$H$8:$H$70)</f>
        <v>10000</v>
      </c>
      <c r="I73" s="50"/>
      <c r="J73" s="92"/>
      <c r="K73" s="50"/>
      <c r="L73" s="50"/>
      <c r="M73" s="50"/>
      <c r="N73" s="93"/>
    </row>
    <row r="74" spans="1:14" ht="14" customHeight="1" thickBot="1">
      <c r="A74" s="242"/>
      <c r="B74" s="243" t="s">
        <v>144</v>
      </c>
      <c r="C74" s="244" t="s">
        <v>388</v>
      </c>
      <c r="D74" s="245"/>
      <c r="E74" s="243"/>
      <c r="F74" s="246"/>
      <c r="G74" s="19" t="s">
        <v>150</v>
      </c>
      <c r="H74" s="247">
        <f>SUM(H8:H70)</f>
        <v>887382</v>
      </c>
      <c r="I74" s="208"/>
      <c r="J74" s="218"/>
      <c r="K74" s="219"/>
      <c r="L74" s="220"/>
      <c r="M74" s="206"/>
      <c r="N74" s="221"/>
    </row>
    <row r="78" spans="1:14">
      <c r="C78" s="3"/>
    </row>
    <row r="79" spans="1:14">
      <c r="C79" s="3"/>
    </row>
    <row r="126" spans="1:1">
      <c r="A126" s="7" t="s">
        <v>99</v>
      </c>
    </row>
  </sheetData>
  <mergeCells count="21">
    <mergeCell ref="J67:J69"/>
    <mergeCell ref="A56:A69"/>
    <mergeCell ref="I56:I69"/>
    <mergeCell ref="N56:N69"/>
    <mergeCell ref="A2:H2"/>
    <mergeCell ref="F4:G4"/>
    <mergeCell ref="A20:A24"/>
    <mergeCell ref="N20:N24"/>
    <mergeCell ref="A8:A12"/>
    <mergeCell ref="N8:N12"/>
    <mergeCell ref="A14:A18"/>
    <mergeCell ref="N14:N18"/>
    <mergeCell ref="N26:N30"/>
    <mergeCell ref="A32:A42"/>
    <mergeCell ref="J32:J42"/>
    <mergeCell ref="A50:A54"/>
    <mergeCell ref="N50:N54"/>
    <mergeCell ref="A44:A48"/>
    <mergeCell ref="N44:N48"/>
    <mergeCell ref="N32:N42"/>
    <mergeCell ref="A26:A30"/>
  </mergeCells>
  <phoneticPr fontId="14"/>
  <pageMargins left="0.51181102362204722" right="0" top="0.74803149606299213" bottom="0.74803149606299213" header="0.31496062992125984" footer="0.31496062992125984"/>
  <pageSetup paperSize="9" scale="35" fitToWidth="0" fitToHeight="0" orientation="portrait" r:id="rId1"/>
  <headerFooter>
    <oddFooter>&amp;C&amp;"Century Gothic,太字"&amp;10&amp;  -   P A G E  3- &amp;P  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B9CA-E3CE-4935-86D2-D635286D4AC7}">
  <sheetPr>
    <pageSetUpPr fitToPage="1"/>
  </sheetPr>
  <dimension ref="A1:O165"/>
  <sheetViews>
    <sheetView view="pageBreakPreview" topLeftCell="B67" zoomScale="80" zoomScaleNormal="60" zoomScaleSheetLayoutView="80" workbookViewId="0">
      <selection activeCell="K20" sqref="K20"/>
    </sheetView>
  </sheetViews>
  <sheetFormatPr defaultRowHeight="15"/>
  <cols>
    <col min="1" max="1" width="7.90625" customWidth="1"/>
    <col min="2" max="2" width="31.90625" style="176" customWidth="1"/>
    <col min="3" max="3" width="27.453125" style="319" customWidth="1"/>
    <col min="4" max="4" width="69.1796875" customWidth="1"/>
    <col min="5" max="5" width="10.453125" customWidth="1"/>
    <col min="6" max="6" width="5.6328125" style="319" customWidth="1"/>
    <col min="7" max="7" width="15.453125" customWidth="1"/>
    <col min="8" max="8" width="13.90625" style="319" customWidth="1"/>
    <col min="9" max="9" width="24.453125" customWidth="1"/>
    <col min="10" max="10" width="14.453125" customWidth="1"/>
    <col min="11" max="11" width="11.453125" style="319" customWidth="1"/>
    <col min="12" max="12" width="25.36328125" style="421" customWidth="1"/>
    <col min="13" max="13" width="10.08984375" style="319" customWidth="1"/>
    <col min="14" max="14" width="7" style="319" customWidth="1"/>
  </cols>
  <sheetData>
    <row r="1" spans="1:14">
      <c r="A1" s="145"/>
      <c r="I1" s="145"/>
      <c r="J1" s="145"/>
      <c r="K1" s="5"/>
      <c r="L1" s="320"/>
      <c r="M1" s="5"/>
      <c r="N1" s="5"/>
    </row>
    <row r="2" spans="1:14" ht="18" thickBot="1">
      <c r="A2" s="315" t="s">
        <v>98</v>
      </c>
      <c r="B2" s="315"/>
      <c r="C2" s="315"/>
      <c r="D2" s="315"/>
      <c r="E2" s="315"/>
      <c r="F2" s="315"/>
      <c r="G2" s="315"/>
      <c r="H2" s="315"/>
      <c r="I2" s="167"/>
      <c r="J2" s="3"/>
      <c r="K2" s="7"/>
      <c r="L2" s="321"/>
      <c r="M2" s="36"/>
      <c r="N2" s="36"/>
    </row>
    <row r="3" spans="1:14" ht="18" thickBot="1">
      <c r="A3" s="178"/>
      <c r="B3" s="179"/>
      <c r="C3" s="178"/>
      <c r="D3" s="178"/>
      <c r="E3" s="178"/>
      <c r="F3" s="178"/>
      <c r="G3" s="178"/>
      <c r="H3" s="178"/>
      <c r="I3" s="167"/>
      <c r="J3" s="3"/>
      <c r="K3" s="7"/>
      <c r="L3" s="321"/>
      <c r="M3" s="36"/>
      <c r="N3" s="36"/>
    </row>
    <row r="4" spans="1:14" ht="21.75" customHeight="1" thickBot="1">
      <c r="A4" s="322" t="s">
        <v>36</v>
      </c>
      <c r="B4" s="24" t="s">
        <v>96</v>
      </c>
      <c r="C4" s="39" t="s">
        <v>86</v>
      </c>
      <c r="D4" s="23" t="s">
        <v>87</v>
      </c>
      <c r="E4" s="39" t="s">
        <v>88</v>
      </c>
      <c r="F4" s="323" t="s">
        <v>89</v>
      </c>
      <c r="G4" s="324"/>
      <c r="H4" s="40" t="s">
        <v>90</v>
      </c>
      <c r="I4" s="41" t="s">
        <v>91</v>
      </c>
      <c r="J4" s="42" t="s">
        <v>92</v>
      </c>
      <c r="K4" s="43" t="s">
        <v>93</v>
      </c>
      <c r="L4" s="325" t="s">
        <v>244</v>
      </c>
      <c r="M4" s="326" t="s">
        <v>94</v>
      </c>
      <c r="N4" s="327" t="s">
        <v>95</v>
      </c>
    </row>
    <row r="5" spans="1:14">
      <c r="A5" s="328"/>
      <c r="B5" s="47"/>
      <c r="C5" s="48"/>
      <c r="D5" s="49"/>
      <c r="E5" s="56"/>
      <c r="F5" s="48"/>
      <c r="G5" s="329"/>
      <c r="H5" s="50"/>
      <c r="I5" s="330"/>
      <c r="J5" s="331"/>
      <c r="K5" s="52"/>
      <c r="L5" s="332"/>
      <c r="M5" s="333"/>
      <c r="N5" s="334"/>
    </row>
    <row r="6" spans="1:14">
      <c r="A6" s="335"/>
      <c r="B6" s="336" t="s">
        <v>97</v>
      </c>
      <c r="C6" s="63"/>
      <c r="D6" s="64" t="str">
        <f>'[4]NARITA '!D6</f>
        <v>FABRIC &amp; PARTS FOR WEAR &amp; SAMPLE CLOTHES</v>
      </c>
      <c r="E6" s="337"/>
      <c r="F6" s="338"/>
      <c r="G6" s="339" t="str">
        <f>'[5]shipper master'!C48</f>
        <v>F.O.B. TOKYO IN YEN</v>
      </c>
      <c r="H6" s="20"/>
      <c r="I6" s="340"/>
      <c r="J6" s="341"/>
      <c r="K6" s="59"/>
      <c r="L6" s="342"/>
      <c r="M6" s="343"/>
      <c r="N6" s="344"/>
    </row>
    <row r="7" spans="1:14">
      <c r="A7" s="335"/>
      <c r="B7" s="62"/>
      <c r="C7" s="63"/>
      <c r="D7" s="64" t="s">
        <v>245</v>
      </c>
      <c r="E7" s="64"/>
      <c r="F7" s="63"/>
      <c r="G7" s="339"/>
      <c r="H7" s="20"/>
      <c r="I7" s="345"/>
      <c r="J7" s="20"/>
      <c r="K7" s="346"/>
      <c r="L7" s="347"/>
      <c r="M7" s="348"/>
      <c r="N7" s="344"/>
    </row>
    <row r="8" spans="1:14" ht="15.5" thickBot="1">
      <c r="A8" s="349"/>
      <c r="B8" s="350"/>
      <c r="C8" s="350"/>
      <c r="D8" s="351"/>
      <c r="E8" s="352"/>
      <c r="F8" s="252"/>
      <c r="G8" s="250"/>
      <c r="H8" s="353"/>
      <c r="I8" s="354"/>
      <c r="J8" s="355"/>
      <c r="K8" s="356"/>
      <c r="L8" s="355"/>
      <c r="M8" s="357"/>
      <c r="N8" s="358"/>
    </row>
    <row r="9" spans="1:14" ht="15" customHeight="1">
      <c r="A9" s="516" t="s">
        <v>368</v>
      </c>
      <c r="B9" s="423"/>
      <c r="C9" s="424"/>
      <c r="D9" s="528" t="s">
        <v>379</v>
      </c>
      <c r="E9" s="425"/>
      <c r="F9" s="426"/>
      <c r="G9" s="427"/>
      <c r="H9" s="428"/>
      <c r="I9" s="359" t="s">
        <v>380</v>
      </c>
      <c r="J9" s="490"/>
      <c r="K9" s="360"/>
      <c r="L9" s="360"/>
      <c r="M9" s="361"/>
      <c r="N9" s="361">
        <v>3</v>
      </c>
    </row>
    <row r="10" spans="1:14">
      <c r="A10" s="517"/>
      <c r="B10" s="442" t="s">
        <v>254</v>
      </c>
      <c r="C10" s="92"/>
      <c r="D10" s="372" t="s">
        <v>248</v>
      </c>
      <c r="E10" s="373"/>
      <c r="F10" s="374"/>
      <c r="G10" s="375"/>
      <c r="H10" s="377"/>
      <c r="I10" s="362"/>
      <c r="J10" s="363"/>
      <c r="K10" s="364"/>
      <c r="L10" s="364"/>
      <c r="M10" s="365"/>
      <c r="N10" s="365"/>
    </row>
    <row r="11" spans="1:14">
      <c r="A11" s="517"/>
      <c r="B11" s="442"/>
      <c r="C11" s="92"/>
      <c r="D11" s="372" t="s">
        <v>256</v>
      </c>
      <c r="E11" s="373">
        <v>24</v>
      </c>
      <c r="F11" s="374" t="s">
        <v>85</v>
      </c>
      <c r="G11" s="375">
        <v>55</v>
      </c>
      <c r="H11" s="377">
        <v>1320</v>
      </c>
      <c r="I11" s="362"/>
      <c r="J11" s="363"/>
      <c r="K11" s="364"/>
      <c r="L11" s="364"/>
      <c r="M11" s="365"/>
      <c r="N11" s="365"/>
    </row>
    <row r="12" spans="1:14" ht="16" customHeight="1">
      <c r="A12" s="517"/>
      <c r="B12" s="442"/>
      <c r="C12" s="92"/>
      <c r="D12" s="372" t="s">
        <v>257</v>
      </c>
      <c r="E12" s="373">
        <v>26</v>
      </c>
      <c r="F12" s="374" t="s">
        <v>85</v>
      </c>
      <c r="G12" s="375">
        <v>57</v>
      </c>
      <c r="H12" s="377">
        <v>1482</v>
      </c>
      <c r="I12" s="362"/>
      <c r="J12" s="363"/>
      <c r="K12" s="364"/>
      <c r="L12" s="364"/>
      <c r="M12" s="365"/>
      <c r="N12" s="365"/>
    </row>
    <row r="13" spans="1:14" ht="16.25" customHeight="1">
      <c r="A13" s="517"/>
      <c r="B13" s="442" t="s">
        <v>258</v>
      </c>
      <c r="C13" s="92"/>
      <c r="D13" s="372" t="s">
        <v>248</v>
      </c>
      <c r="E13" s="373"/>
      <c r="F13" s="374" t="s">
        <v>85</v>
      </c>
      <c r="G13" s="375"/>
      <c r="H13" s="377"/>
      <c r="I13" s="362"/>
      <c r="J13" s="363"/>
      <c r="K13" s="364"/>
      <c r="L13" s="364"/>
      <c r="M13" s="365"/>
      <c r="N13" s="365"/>
    </row>
    <row r="14" spans="1:14">
      <c r="A14" s="517"/>
      <c r="B14" s="442"/>
      <c r="C14" s="92"/>
      <c r="D14" s="372" t="s">
        <v>259</v>
      </c>
      <c r="E14" s="373">
        <v>8</v>
      </c>
      <c r="F14" s="374" t="s">
        <v>85</v>
      </c>
      <c r="G14" s="375">
        <v>315</v>
      </c>
      <c r="H14" s="377">
        <v>2520</v>
      </c>
      <c r="I14" s="362"/>
      <c r="J14" s="363"/>
      <c r="K14" s="364"/>
      <c r="L14" s="364"/>
      <c r="M14" s="365"/>
      <c r="N14" s="365"/>
    </row>
    <row r="15" spans="1:14">
      <c r="A15" s="517"/>
      <c r="B15" s="443"/>
      <c r="C15" s="430"/>
      <c r="D15" s="372" t="s">
        <v>260</v>
      </c>
      <c r="E15" s="373">
        <v>16</v>
      </c>
      <c r="F15" s="374" t="s">
        <v>85</v>
      </c>
      <c r="G15" s="375">
        <v>320</v>
      </c>
      <c r="H15" s="377">
        <v>5120</v>
      </c>
      <c r="I15" s="362"/>
      <c r="J15" s="364"/>
      <c r="K15" s="364"/>
      <c r="L15" s="364"/>
      <c r="M15" s="365"/>
      <c r="N15" s="365"/>
    </row>
    <row r="16" spans="1:14" ht="13.5" customHeight="1">
      <c r="A16" s="517"/>
      <c r="B16" s="443"/>
      <c r="C16" s="430"/>
      <c r="D16" s="372" t="s">
        <v>261</v>
      </c>
      <c r="E16" s="373">
        <v>16</v>
      </c>
      <c r="F16" s="374" t="s">
        <v>85</v>
      </c>
      <c r="G16" s="375">
        <v>325</v>
      </c>
      <c r="H16" s="377">
        <v>5200</v>
      </c>
      <c r="I16" s="362"/>
      <c r="J16" s="363"/>
      <c r="K16" s="364"/>
      <c r="L16" s="364"/>
      <c r="M16" s="365"/>
      <c r="N16" s="365"/>
    </row>
    <row r="17" spans="1:14">
      <c r="A17" s="517"/>
      <c r="B17" s="442"/>
      <c r="C17" s="92"/>
      <c r="D17" s="372" t="s">
        <v>262</v>
      </c>
      <c r="E17" s="373">
        <v>10</v>
      </c>
      <c r="F17" s="374" t="s">
        <v>85</v>
      </c>
      <c r="G17" s="375">
        <v>330</v>
      </c>
      <c r="H17" s="377">
        <v>3300</v>
      </c>
      <c r="I17" s="362"/>
      <c r="J17" s="363"/>
      <c r="K17" s="364"/>
      <c r="L17" s="364"/>
      <c r="M17" s="365"/>
      <c r="N17" s="365"/>
    </row>
    <row r="18" spans="1:14" ht="16.5">
      <c r="A18" s="517"/>
      <c r="B18" s="442" t="s">
        <v>263</v>
      </c>
      <c r="C18" s="92" t="s">
        <v>246</v>
      </c>
      <c r="D18" s="372" t="s">
        <v>335</v>
      </c>
      <c r="E18" s="373">
        <v>300</v>
      </c>
      <c r="F18" s="374" t="s">
        <v>252</v>
      </c>
      <c r="G18" s="375">
        <v>15</v>
      </c>
      <c r="H18" s="377">
        <v>4500</v>
      </c>
      <c r="I18" s="362"/>
      <c r="J18" s="363"/>
      <c r="K18" s="364"/>
      <c r="L18" s="364"/>
      <c r="M18" s="365"/>
      <c r="N18" s="365"/>
    </row>
    <row r="19" spans="1:14" ht="16.25" customHeight="1">
      <c r="A19" s="517"/>
      <c r="B19" s="444"/>
      <c r="C19" s="429"/>
      <c r="D19" s="527" t="s">
        <v>378</v>
      </c>
      <c r="E19" s="436"/>
      <c r="F19" s="437"/>
      <c r="G19" s="438"/>
      <c r="H19" s="439"/>
      <c r="I19" s="362"/>
      <c r="J19" s="363"/>
      <c r="K19" s="364"/>
      <c r="L19" s="364"/>
      <c r="M19" s="365"/>
      <c r="N19" s="365"/>
    </row>
    <row r="20" spans="1:14" ht="16.25" customHeight="1">
      <c r="A20" s="517"/>
      <c r="B20" s="442" t="s">
        <v>258</v>
      </c>
      <c r="C20" s="92"/>
      <c r="D20" s="372" t="s">
        <v>248</v>
      </c>
      <c r="E20" s="373"/>
      <c r="F20" s="374"/>
      <c r="G20" s="375"/>
      <c r="H20" s="377"/>
      <c r="I20" s="362"/>
      <c r="J20" s="363"/>
      <c r="K20" s="364"/>
      <c r="L20" s="364"/>
      <c r="M20" s="365"/>
      <c r="N20" s="365"/>
    </row>
    <row r="21" spans="1:14" ht="16.25" customHeight="1">
      <c r="A21" s="517"/>
      <c r="B21" s="442"/>
      <c r="C21" s="92"/>
      <c r="D21" s="372" t="s">
        <v>264</v>
      </c>
      <c r="E21" s="373">
        <v>15</v>
      </c>
      <c r="F21" s="374" t="s">
        <v>85</v>
      </c>
      <c r="G21" s="375">
        <v>86</v>
      </c>
      <c r="H21" s="377">
        <v>1290</v>
      </c>
      <c r="I21" s="362"/>
      <c r="J21" s="363"/>
      <c r="K21" s="364"/>
      <c r="L21" s="364"/>
      <c r="M21" s="365"/>
      <c r="N21" s="365"/>
    </row>
    <row r="22" spans="1:14" ht="16.25" customHeight="1">
      <c r="A22" s="517"/>
      <c r="B22" s="443"/>
      <c r="C22" s="430"/>
      <c r="D22" s="372" t="s">
        <v>265</v>
      </c>
      <c r="E22" s="373">
        <v>15</v>
      </c>
      <c r="F22" s="374" t="s">
        <v>85</v>
      </c>
      <c r="G22" s="375">
        <v>88</v>
      </c>
      <c r="H22" s="377">
        <v>1320</v>
      </c>
      <c r="I22" s="362"/>
      <c r="J22" s="363"/>
      <c r="K22" s="364"/>
      <c r="L22" s="364"/>
      <c r="M22" s="365"/>
      <c r="N22" s="365"/>
    </row>
    <row r="23" spans="1:14" ht="16.25" customHeight="1">
      <c r="A23" s="517"/>
      <c r="B23" s="443" t="s">
        <v>266</v>
      </c>
      <c r="C23" s="430" t="s">
        <v>267</v>
      </c>
      <c r="D23" s="372" t="s">
        <v>336</v>
      </c>
      <c r="E23" s="373">
        <v>1</v>
      </c>
      <c r="F23" s="374" t="s">
        <v>370</v>
      </c>
      <c r="G23" s="375">
        <v>2700</v>
      </c>
      <c r="H23" s="377">
        <v>2700</v>
      </c>
      <c r="I23" s="362"/>
      <c r="J23" s="363"/>
      <c r="K23" s="364"/>
      <c r="L23" s="364"/>
      <c r="M23" s="365"/>
      <c r="N23" s="365"/>
    </row>
    <row r="24" spans="1:14" ht="16.25" customHeight="1">
      <c r="A24" s="517"/>
      <c r="B24" s="443"/>
      <c r="C24" s="430"/>
      <c r="D24" s="372"/>
      <c r="E24" s="373"/>
      <c r="F24" s="374"/>
      <c r="G24" s="375"/>
      <c r="H24" s="377"/>
      <c r="I24" s="362"/>
      <c r="J24" s="363"/>
      <c r="K24" s="364"/>
      <c r="L24" s="364"/>
      <c r="M24" s="365"/>
      <c r="N24" s="365"/>
    </row>
    <row r="25" spans="1:14" ht="16.25" customHeight="1">
      <c r="A25" s="517"/>
      <c r="B25" s="444"/>
      <c r="C25" s="429"/>
      <c r="D25" s="527" t="s">
        <v>377</v>
      </c>
      <c r="E25" s="436"/>
      <c r="F25" s="437"/>
      <c r="G25" s="438"/>
      <c r="H25" s="439"/>
      <c r="I25" s="362"/>
      <c r="J25" s="363"/>
      <c r="K25" s="364"/>
      <c r="L25" s="364"/>
      <c r="M25" s="365"/>
      <c r="N25" s="365"/>
    </row>
    <row r="26" spans="1:14" ht="16.25" customHeight="1">
      <c r="A26" s="517"/>
      <c r="B26" s="443" t="s">
        <v>268</v>
      </c>
      <c r="C26" s="430"/>
      <c r="D26" s="372" t="s">
        <v>248</v>
      </c>
      <c r="E26" s="373"/>
      <c r="F26" s="374"/>
      <c r="G26" s="375"/>
      <c r="H26" s="377"/>
      <c r="I26" s="362"/>
      <c r="J26" s="363"/>
      <c r="K26" s="364"/>
      <c r="L26" s="364"/>
      <c r="M26" s="365"/>
      <c r="N26" s="365"/>
    </row>
    <row r="27" spans="1:14" ht="16.25" customHeight="1">
      <c r="A27" s="517"/>
      <c r="B27" s="443"/>
      <c r="C27" s="430"/>
      <c r="D27" s="372" t="s">
        <v>269</v>
      </c>
      <c r="E27" s="373">
        <v>10</v>
      </c>
      <c r="F27" s="374" t="s">
        <v>85</v>
      </c>
      <c r="G27" s="375">
        <v>146</v>
      </c>
      <c r="H27" s="377">
        <v>1460</v>
      </c>
      <c r="I27" s="362"/>
      <c r="J27" s="363"/>
      <c r="K27" s="364"/>
      <c r="L27" s="364"/>
      <c r="M27" s="365"/>
      <c r="N27" s="365"/>
    </row>
    <row r="28" spans="1:14" ht="16.25" customHeight="1">
      <c r="A28" s="517"/>
      <c r="B28" s="443"/>
      <c r="C28" s="430"/>
      <c r="D28" s="372" t="s">
        <v>270</v>
      </c>
      <c r="E28" s="373">
        <v>22</v>
      </c>
      <c r="F28" s="374" t="s">
        <v>85</v>
      </c>
      <c r="G28" s="375">
        <v>150</v>
      </c>
      <c r="H28" s="377">
        <v>3300</v>
      </c>
      <c r="I28" s="362"/>
      <c r="J28" s="363"/>
      <c r="K28" s="364"/>
      <c r="L28" s="364"/>
      <c r="M28" s="365"/>
      <c r="N28" s="365"/>
    </row>
    <row r="29" spans="1:14" ht="16.25" customHeight="1">
      <c r="A29" s="517"/>
      <c r="B29" s="443"/>
      <c r="C29" s="430"/>
      <c r="D29" s="372" t="s">
        <v>271</v>
      </c>
      <c r="E29" s="373">
        <v>28</v>
      </c>
      <c r="F29" s="374" t="s">
        <v>85</v>
      </c>
      <c r="G29" s="375">
        <v>153</v>
      </c>
      <c r="H29" s="377">
        <v>4284</v>
      </c>
      <c r="I29" s="362"/>
      <c r="J29" s="363"/>
      <c r="K29" s="364"/>
      <c r="L29" s="364"/>
      <c r="M29" s="365"/>
      <c r="N29" s="365"/>
    </row>
    <row r="30" spans="1:14" ht="16.25" customHeight="1">
      <c r="A30" s="517"/>
      <c r="B30" s="443"/>
      <c r="C30" s="430"/>
      <c r="D30" s="372"/>
      <c r="E30" s="373"/>
      <c r="F30" s="374"/>
      <c r="G30" s="375"/>
      <c r="H30" s="377"/>
      <c r="I30" s="362"/>
      <c r="J30" s="363"/>
      <c r="K30" s="364"/>
      <c r="L30" s="364"/>
      <c r="M30" s="365"/>
      <c r="N30" s="365"/>
    </row>
    <row r="31" spans="1:14" ht="16.25" customHeight="1">
      <c r="A31" s="517"/>
      <c r="B31" s="443" t="s">
        <v>268</v>
      </c>
      <c r="C31" s="430"/>
      <c r="D31" s="372" t="s">
        <v>248</v>
      </c>
      <c r="E31" s="373"/>
      <c r="F31" s="374"/>
      <c r="G31" s="375"/>
      <c r="H31" s="377"/>
      <c r="I31" s="362"/>
      <c r="J31" s="363"/>
      <c r="K31" s="364"/>
      <c r="L31" s="364"/>
      <c r="M31" s="365"/>
      <c r="N31" s="365"/>
    </row>
    <row r="32" spans="1:14" ht="16.25" customHeight="1">
      <c r="A32" s="517"/>
      <c r="B32" s="443"/>
      <c r="C32" s="430"/>
      <c r="D32" s="372" t="s">
        <v>272</v>
      </c>
      <c r="E32" s="373">
        <v>10</v>
      </c>
      <c r="F32" s="374" t="s">
        <v>85</v>
      </c>
      <c r="G32" s="375">
        <v>138</v>
      </c>
      <c r="H32" s="377">
        <v>1380</v>
      </c>
      <c r="I32" s="362"/>
      <c r="J32" s="363"/>
      <c r="K32" s="364"/>
      <c r="L32" s="364"/>
      <c r="M32" s="365"/>
      <c r="N32" s="365"/>
    </row>
    <row r="33" spans="1:14" ht="16.25" customHeight="1">
      <c r="A33" s="517"/>
      <c r="B33" s="443"/>
      <c r="C33" s="430"/>
      <c r="D33" s="372" t="s">
        <v>273</v>
      </c>
      <c r="E33" s="373">
        <v>22</v>
      </c>
      <c r="F33" s="374" t="s">
        <v>85</v>
      </c>
      <c r="G33" s="375">
        <v>139</v>
      </c>
      <c r="H33" s="377">
        <v>3058</v>
      </c>
      <c r="I33" s="362"/>
      <c r="J33" s="363"/>
      <c r="K33" s="364"/>
      <c r="L33" s="364"/>
      <c r="M33" s="365"/>
      <c r="N33" s="365"/>
    </row>
    <row r="34" spans="1:14" ht="16.25" customHeight="1">
      <c r="A34" s="517"/>
      <c r="B34" s="443"/>
      <c r="C34" s="430"/>
      <c r="D34" s="372" t="s">
        <v>274</v>
      </c>
      <c r="E34" s="373">
        <v>28</v>
      </c>
      <c r="F34" s="374" t="s">
        <v>85</v>
      </c>
      <c r="G34" s="375">
        <v>140</v>
      </c>
      <c r="H34" s="377">
        <v>3920</v>
      </c>
      <c r="I34" s="362"/>
      <c r="J34" s="363"/>
      <c r="K34" s="364"/>
      <c r="L34" s="364"/>
      <c r="M34" s="365"/>
      <c r="N34" s="365"/>
    </row>
    <row r="35" spans="1:14" ht="16.5">
      <c r="A35" s="517"/>
      <c r="B35" s="442" t="s">
        <v>275</v>
      </c>
      <c r="C35" s="92" t="s">
        <v>267</v>
      </c>
      <c r="D35" s="372" t="s">
        <v>337</v>
      </c>
      <c r="E35" s="373">
        <v>1</v>
      </c>
      <c r="F35" s="374" t="s">
        <v>370</v>
      </c>
      <c r="G35" s="375">
        <v>2700</v>
      </c>
      <c r="H35" s="377">
        <v>2700</v>
      </c>
      <c r="I35" s="362"/>
      <c r="J35" s="363"/>
      <c r="K35" s="364"/>
      <c r="L35" s="364"/>
      <c r="M35" s="365"/>
      <c r="N35" s="365"/>
    </row>
    <row r="36" spans="1:14" ht="16.5">
      <c r="A36" s="517"/>
      <c r="B36" s="442" t="s">
        <v>276</v>
      </c>
      <c r="C36" s="92"/>
      <c r="D36" s="372" t="s">
        <v>338</v>
      </c>
      <c r="E36" s="373"/>
      <c r="F36" s="374"/>
      <c r="G36" s="375"/>
      <c r="H36" s="377"/>
      <c r="I36" s="362"/>
      <c r="J36" s="363"/>
      <c r="K36" s="364"/>
      <c r="L36" s="364"/>
      <c r="M36" s="365"/>
      <c r="N36" s="365"/>
    </row>
    <row r="37" spans="1:14">
      <c r="A37" s="517"/>
      <c r="B37" s="442"/>
      <c r="C37" s="92"/>
      <c r="D37" s="372" t="s">
        <v>277</v>
      </c>
      <c r="E37" s="373">
        <v>60</v>
      </c>
      <c r="F37" s="374" t="s">
        <v>85</v>
      </c>
      <c r="G37" s="375">
        <v>295</v>
      </c>
      <c r="H37" s="377">
        <v>17700</v>
      </c>
      <c r="I37" s="362"/>
      <c r="J37" s="378"/>
      <c r="K37" s="364"/>
      <c r="L37" s="364"/>
      <c r="M37" s="365"/>
      <c r="N37" s="365"/>
    </row>
    <row r="38" spans="1:14" ht="16.5">
      <c r="A38" s="517"/>
      <c r="B38" s="442" t="s">
        <v>278</v>
      </c>
      <c r="C38" s="92"/>
      <c r="D38" s="372" t="s">
        <v>339</v>
      </c>
      <c r="E38" s="373"/>
      <c r="F38" s="374"/>
      <c r="G38" s="375"/>
      <c r="H38" s="431"/>
      <c r="I38" s="362"/>
      <c r="J38" s="379" t="s">
        <v>381</v>
      </c>
      <c r="K38" s="364"/>
      <c r="L38" s="364"/>
      <c r="M38" s="365"/>
      <c r="N38" s="365"/>
    </row>
    <row r="39" spans="1:14">
      <c r="A39" s="517"/>
      <c r="B39" s="442"/>
      <c r="C39" s="92"/>
      <c r="D39" s="372" t="s">
        <v>279</v>
      </c>
      <c r="E39" s="373">
        <v>2</v>
      </c>
      <c r="F39" s="374" t="s">
        <v>370</v>
      </c>
      <c r="G39" s="375">
        <v>2300</v>
      </c>
      <c r="H39" s="431">
        <v>4600</v>
      </c>
      <c r="I39" s="362"/>
      <c r="J39" s="364"/>
      <c r="K39" s="364"/>
      <c r="L39" s="364"/>
      <c r="M39" s="365"/>
      <c r="N39" s="365"/>
    </row>
    <row r="40" spans="1:14" ht="13.5" customHeight="1">
      <c r="A40" s="517"/>
      <c r="B40" s="443"/>
      <c r="C40" s="430"/>
      <c r="D40" s="372" t="s">
        <v>280</v>
      </c>
      <c r="E40" s="373">
        <v>4</v>
      </c>
      <c r="F40" s="374" t="s">
        <v>147</v>
      </c>
      <c r="G40" s="375">
        <v>90</v>
      </c>
      <c r="H40" s="377">
        <v>360</v>
      </c>
      <c r="I40" s="362"/>
      <c r="J40" s="363"/>
      <c r="K40" s="364"/>
      <c r="L40" s="364"/>
      <c r="M40" s="365"/>
      <c r="N40" s="365"/>
    </row>
    <row r="41" spans="1:14" ht="16.5">
      <c r="A41" s="517"/>
      <c r="B41" s="443" t="s">
        <v>340</v>
      </c>
      <c r="C41" s="430" t="s">
        <v>253</v>
      </c>
      <c r="D41" s="372" t="s">
        <v>341</v>
      </c>
      <c r="E41" s="373">
        <v>60</v>
      </c>
      <c r="F41" s="374" t="s">
        <v>85</v>
      </c>
      <c r="G41" s="375">
        <v>50</v>
      </c>
      <c r="H41" s="431">
        <v>3000</v>
      </c>
      <c r="I41" s="362"/>
      <c r="J41" s="363"/>
      <c r="K41" s="364"/>
      <c r="L41" s="364"/>
      <c r="M41" s="365"/>
      <c r="N41" s="365"/>
    </row>
    <row r="42" spans="1:14" ht="18">
      <c r="A42" s="517"/>
      <c r="B42" s="444"/>
      <c r="C42" s="429"/>
      <c r="D42" s="527" t="s">
        <v>376</v>
      </c>
      <c r="E42" s="436"/>
      <c r="F42" s="437"/>
      <c r="G42" s="438"/>
      <c r="H42" s="439"/>
      <c r="I42" s="362"/>
      <c r="J42" s="363"/>
      <c r="K42" s="364"/>
      <c r="L42" s="364"/>
      <c r="M42" s="365"/>
      <c r="N42" s="365"/>
    </row>
    <row r="43" spans="1:14" ht="16.5">
      <c r="A43" s="517"/>
      <c r="B43" s="442">
        <v>1000</v>
      </c>
      <c r="C43" s="92"/>
      <c r="D43" s="372" t="s">
        <v>342</v>
      </c>
      <c r="E43" s="373"/>
      <c r="F43" s="374"/>
      <c r="G43" s="375"/>
      <c r="H43" s="377"/>
      <c r="I43" s="362"/>
      <c r="J43" s="363"/>
      <c r="K43" s="364"/>
      <c r="L43" s="364"/>
      <c r="M43" s="365"/>
      <c r="N43" s="365"/>
    </row>
    <row r="44" spans="1:14">
      <c r="A44" s="517"/>
      <c r="B44" s="442"/>
      <c r="C44" s="92"/>
      <c r="D44" s="372" t="s">
        <v>281</v>
      </c>
      <c r="E44" s="373">
        <v>53</v>
      </c>
      <c r="F44" s="374" t="s">
        <v>147</v>
      </c>
      <c r="G44" s="375">
        <v>550</v>
      </c>
      <c r="H44" s="377">
        <v>29150</v>
      </c>
      <c r="I44" s="362"/>
      <c r="J44" s="363"/>
      <c r="K44" s="364"/>
      <c r="L44" s="364"/>
      <c r="M44" s="365"/>
      <c r="N44" s="365"/>
    </row>
    <row r="45" spans="1:14">
      <c r="A45" s="517"/>
      <c r="B45" s="442" t="s">
        <v>282</v>
      </c>
      <c r="C45" s="92"/>
      <c r="D45" s="372" t="s">
        <v>343</v>
      </c>
      <c r="E45" s="373"/>
      <c r="F45" s="374"/>
      <c r="G45" s="375"/>
      <c r="H45" s="377"/>
      <c r="I45" s="362"/>
      <c r="J45" s="363"/>
      <c r="K45" s="364"/>
      <c r="L45" s="364"/>
      <c r="M45" s="365"/>
      <c r="N45" s="365"/>
    </row>
    <row r="46" spans="1:14" ht="16.25" customHeight="1">
      <c r="A46" s="517"/>
      <c r="B46" s="442"/>
      <c r="C46" s="92"/>
      <c r="D46" s="372" t="s">
        <v>283</v>
      </c>
      <c r="E46" s="373">
        <v>70</v>
      </c>
      <c r="F46" s="374" t="s">
        <v>85</v>
      </c>
      <c r="G46" s="375">
        <v>80</v>
      </c>
      <c r="H46" s="431">
        <v>5600</v>
      </c>
      <c r="I46" s="362"/>
      <c r="J46" s="363"/>
      <c r="K46" s="364"/>
      <c r="L46" s="364"/>
      <c r="M46" s="365"/>
      <c r="N46" s="365"/>
    </row>
    <row r="47" spans="1:14" ht="16.25" customHeight="1">
      <c r="A47" s="517"/>
      <c r="B47" s="442" t="s">
        <v>284</v>
      </c>
      <c r="C47" s="92"/>
      <c r="D47" s="372" t="s">
        <v>344</v>
      </c>
      <c r="E47" s="373"/>
      <c r="F47" s="374"/>
      <c r="G47" s="375"/>
      <c r="H47" s="377"/>
      <c r="I47" s="362"/>
      <c r="J47" s="363"/>
      <c r="K47" s="364"/>
      <c r="L47" s="364"/>
      <c r="M47" s="365"/>
      <c r="N47" s="365"/>
    </row>
    <row r="48" spans="1:14">
      <c r="A48" s="517"/>
      <c r="B48" s="442"/>
      <c r="C48" s="92"/>
      <c r="D48" s="372" t="s">
        <v>285</v>
      </c>
      <c r="E48" s="373">
        <v>6</v>
      </c>
      <c r="F48" s="374" t="s">
        <v>370</v>
      </c>
      <c r="G48" s="375">
        <v>1600</v>
      </c>
      <c r="H48" s="377">
        <v>9600</v>
      </c>
      <c r="I48" s="362"/>
      <c r="J48" s="363"/>
      <c r="K48" s="364"/>
      <c r="L48" s="364"/>
      <c r="M48" s="365"/>
      <c r="N48" s="365"/>
    </row>
    <row r="49" spans="1:14">
      <c r="A49" s="517"/>
      <c r="B49" s="442"/>
      <c r="C49" s="92"/>
      <c r="D49" s="372" t="s">
        <v>286</v>
      </c>
      <c r="E49" s="373">
        <v>5</v>
      </c>
      <c r="F49" s="374" t="s">
        <v>147</v>
      </c>
      <c r="G49" s="375">
        <v>70</v>
      </c>
      <c r="H49" s="431">
        <v>350</v>
      </c>
      <c r="I49" s="362"/>
      <c r="J49" s="363"/>
      <c r="K49" s="364"/>
      <c r="L49" s="364"/>
      <c r="M49" s="365"/>
      <c r="N49" s="365"/>
    </row>
    <row r="50" spans="1:14" ht="16.5">
      <c r="A50" s="517"/>
      <c r="B50" s="442" t="s">
        <v>275</v>
      </c>
      <c r="C50" s="92" t="s">
        <v>267</v>
      </c>
      <c r="D50" s="372" t="s">
        <v>345</v>
      </c>
      <c r="E50" s="373">
        <v>5</v>
      </c>
      <c r="F50" s="374" t="s">
        <v>370</v>
      </c>
      <c r="G50" s="375">
        <v>2700</v>
      </c>
      <c r="H50" s="377">
        <v>13500</v>
      </c>
      <c r="I50" s="362"/>
      <c r="J50" s="363"/>
      <c r="K50" s="364"/>
      <c r="L50" s="364"/>
      <c r="M50" s="365"/>
      <c r="N50" s="365"/>
    </row>
    <row r="51" spans="1:14" ht="16.5">
      <c r="A51" s="517"/>
      <c r="B51" s="443" t="s">
        <v>287</v>
      </c>
      <c r="C51" s="430"/>
      <c r="D51" s="372" t="s">
        <v>346</v>
      </c>
      <c r="E51" s="373"/>
      <c r="F51" s="374"/>
      <c r="G51" s="375"/>
      <c r="H51" s="377"/>
      <c r="I51" s="362"/>
      <c r="J51" s="364"/>
      <c r="K51" s="364"/>
      <c r="L51" s="364"/>
      <c r="M51" s="365"/>
      <c r="N51" s="365"/>
    </row>
    <row r="52" spans="1:14" ht="13.5" customHeight="1">
      <c r="A52" s="517"/>
      <c r="B52" s="442"/>
      <c r="C52" s="92"/>
      <c r="D52" s="503" t="s">
        <v>288</v>
      </c>
      <c r="E52" s="373">
        <v>145</v>
      </c>
      <c r="F52" s="374" t="s">
        <v>85</v>
      </c>
      <c r="G52" s="375">
        <v>10</v>
      </c>
      <c r="H52" s="377">
        <v>1450</v>
      </c>
      <c r="I52" s="362"/>
      <c r="J52" s="363"/>
      <c r="K52" s="364"/>
      <c r="L52" s="364"/>
      <c r="M52" s="365"/>
      <c r="N52" s="365"/>
    </row>
    <row r="53" spans="1:14" ht="18">
      <c r="A53" s="517"/>
      <c r="B53" s="444"/>
      <c r="C53" s="429"/>
      <c r="D53" s="510" t="s">
        <v>375</v>
      </c>
      <c r="E53" s="436"/>
      <c r="F53" s="437"/>
      <c r="G53" s="438"/>
      <c r="H53" s="439"/>
      <c r="I53" s="362"/>
      <c r="J53" s="363"/>
      <c r="K53" s="364"/>
      <c r="L53" s="364"/>
      <c r="M53" s="365"/>
      <c r="N53" s="365"/>
    </row>
    <row r="54" spans="1:14" ht="16.5">
      <c r="A54" s="517"/>
      <c r="B54" s="442" t="s">
        <v>250</v>
      </c>
      <c r="C54" s="92"/>
      <c r="D54" s="503" t="s">
        <v>347</v>
      </c>
      <c r="E54" s="373"/>
      <c r="F54" s="374"/>
      <c r="G54" s="375"/>
      <c r="H54" s="377"/>
      <c r="I54" s="362"/>
      <c r="J54" s="363"/>
      <c r="K54" s="364"/>
      <c r="L54" s="364"/>
      <c r="M54" s="365"/>
      <c r="N54" s="365"/>
    </row>
    <row r="55" spans="1:14">
      <c r="A55" s="517"/>
      <c r="B55" s="442"/>
      <c r="C55" s="92"/>
      <c r="D55" s="503" t="s">
        <v>289</v>
      </c>
      <c r="E55" s="373">
        <v>58</v>
      </c>
      <c r="F55" s="374" t="s">
        <v>147</v>
      </c>
      <c r="G55" s="375">
        <v>420</v>
      </c>
      <c r="H55" s="377">
        <v>24360</v>
      </c>
      <c r="I55" s="362"/>
      <c r="J55" s="363"/>
      <c r="K55" s="364"/>
      <c r="L55" s="364"/>
      <c r="M55" s="365"/>
      <c r="N55" s="365"/>
    </row>
    <row r="56" spans="1:14" ht="16.25" customHeight="1">
      <c r="A56" s="517"/>
      <c r="B56" s="442">
        <v>1000</v>
      </c>
      <c r="C56" s="92"/>
      <c r="D56" s="503" t="s">
        <v>247</v>
      </c>
      <c r="E56" s="373"/>
      <c r="F56" s="374"/>
      <c r="G56" s="375"/>
      <c r="H56" s="377"/>
      <c r="I56" s="362"/>
      <c r="J56" s="363"/>
      <c r="K56" s="364"/>
      <c r="L56" s="364"/>
      <c r="M56" s="365"/>
      <c r="N56" s="365"/>
    </row>
    <row r="57" spans="1:14" ht="16.25" customHeight="1">
      <c r="A57" s="517"/>
      <c r="B57" s="442"/>
      <c r="C57" s="92"/>
      <c r="D57" s="503" t="s">
        <v>290</v>
      </c>
      <c r="E57" s="373">
        <v>16</v>
      </c>
      <c r="F57" s="374" t="s">
        <v>147</v>
      </c>
      <c r="G57" s="375">
        <v>580</v>
      </c>
      <c r="H57" s="377">
        <v>9280</v>
      </c>
      <c r="I57" s="362"/>
      <c r="J57" s="363"/>
      <c r="K57" s="364"/>
      <c r="L57" s="364"/>
      <c r="M57" s="365"/>
      <c r="N57" s="365"/>
    </row>
    <row r="58" spans="1:14">
      <c r="A58" s="517"/>
      <c r="B58" s="442" t="s">
        <v>291</v>
      </c>
      <c r="C58" s="92"/>
      <c r="D58" s="503" t="s">
        <v>248</v>
      </c>
      <c r="E58" s="373"/>
      <c r="F58" s="374"/>
      <c r="G58" s="432"/>
      <c r="H58" s="377"/>
      <c r="I58" s="362"/>
      <c r="J58" s="378"/>
      <c r="K58" s="364"/>
      <c r="L58" s="364"/>
      <c r="M58" s="498"/>
      <c r="N58" s="365"/>
    </row>
    <row r="59" spans="1:14">
      <c r="A59" s="517"/>
      <c r="B59" s="433"/>
      <c r="C59" s="440"/>
      <c r="D59" s="505" t="s">
        <v>292</v>
      </c>
      <c r="E59" s="434">
        <v>8</v>
      </c>
      <c r="F59" s="374" t="s">
        <v>85</v>
      </c>
      <c r="G59" s="77">
        <v>140</v>
      </c>
      <c r="H59" s="435">
        <v>1120</v>
      </c>
      <c r="I59" s="362"/>
      <c r="J59" s="491"/>
      <c r="K59" s="252"/>
      <c r="L59" s="370"/>
      <c r="M59" s="252"/>
      <c r="N59" s="365"/>
    </row>
    <row r="60" spans="1:14">
      <c r="A60" s="517"/>
      <c r="B60" s="433"/>
      <c r="C60" s="50"/>
      <c r="D60" s="506" t="s">
        <v>293</v>
      </c>
      <c r="E60" s="398">
        <v>21</v>
      </c>
      <c r="F60" s="374" t="s">
        <v>85</v>
      </c>
      <c r="G60" s="77">
        <v>142</v>
      </c>
      <c r="H60" s="435">
        <v>2982</v>
      </c>
      <c r="I60" s="362"/>
      <c r="J60" s="491"/>
      <c r="K60" s="252"/>
      <c r="L60" s="370"/>
      <c r="M60" s="252"/>
      <c r="N60" s="365"/>
    </row>
    <row r="61" spans="1:14">
      <c r="A61" s="517"/>
      <c r="B61" s="433"/>
      <c r="C61" s="50"/>
      <c r="D61" s="506" t="s">
        <v>294</v>
      </c>
      <c r="E61" s="398">
        <v>21</v>
      </c>
      <c r="F61" s="374" t="s">
        <v>85</v>
      </c>
      <c r="G61" s="77">
        <v>145</v>
      </c>
      <c r="H61" s="435">
        <v>3045</v>
      </c>
      <c r="I61" s="362"/>
      <c r="J61" s="491"/>
      <c r="K61" s="252"/>
      <c r="L61" s="370"/>
      <c r="M61" s="252"/>
      <c r="N61" s="365"/>
    </row>
    <row r="62" spans="1:14" ht="14" customHeight="1">
      <c r="A62" s="517"/>
      <c r="B62" s="444"/>
      <c r="C62" s="452"/>
      <c r="D62" s="513" t="s">
        <v>374</v>
      </c>
      <c r="E62" s="437"/>
      <c r="F62" s="460"/>
      <c r="G62" s="437"/>
      <c r="H62" s="439"/>
      <c r="I62" s="362"/>
      <c r="J62" s="492"/>
      <c r="K62" s="493"/>
      <c r="L62" s="493"/>
      <c r="M62" s="252"/>
      <c r="N62" s="365"/>
    </row>
    <row r="63" spans="1:14">
      <c r="A63" s="517"/>
      <c r="B63" s="433" t="s">
        <v>291</v>
      </c>
      <c r="C63" s="453"/>
      <c r="D63" s="505" t="s">
        <v>248</v>
      </c>
      <c r="E63" s="466"/>
      <c r="F63" s="465"/>
      <c r="G63" s="375"/>
      <c r="H63" s="431"/>
      <c r="I63" s="362"/>
      <c r="J63" s="252"/>
      <c r="K63" s="493"/>
      <c r="L63" s="493"/>
      <c r="M63" s="252"/>
      <c r="N63" s="365"/>
    </row>
    <row r="64" spans="1:14">
      <c r="A64" s="517"/>
      <c r="B64" s="433"/>
      <c r="C64" s="453"/>
      <c r="D64" s="505" t="s">
        <v>295</v>
      </c>
      <c r="E64" s="466">
        <v>6</v>
      </c>
      <c r="F64" s="374" t="s">
        <v>85</v>
      </c>
      <c r="G64" s="375">
        <v>150</v>
      </c>
      <c r="H64" s="431">
        <v>900</v>
      </c>
      <c r="I64" s="362"/>
      <c r="J64" s="252"/>
      <c r="K64" s="493"/>
      <c r="L64" s="493"/>
      <c r="M64" s="252"/>
      <c r="N64" s="365"/>
    </row>
    <row r="65" spans="1:14">
      <c r="A65" s="517"/>
      <c r="B65" s="433"/>
      <c r="C65" s="453"/>
      <c r="D65" s="505" t="s">
        <v>296</v>
      </c>
      <c r="E65" s="466">
        <v>28</v>
      </c>
      <c r="F65" s="374" t="s">
        <v>85</v>
      </c>
      <c r="G65" s="375">
        <v>152</v>
      </c>
      <c r="H65" s="431">
        <v>4256</v>
      </c>
      <c r="I65" s="362"/>
      <c r="J65" s="252"/>
      <c r="K65" s="493"/>
      <c r="L65" s="493"/>
      <c r="M65" s="252"/>
      <c r="N65" s="365"/>
    </row>
    <row r="66" spans="1:14">
      <c r="A66" s="517"/>
      <c r="B66" s="433"/>
      <c r="C66" s="453"/>
      <c r="D66" s="505" t="s">
        <v>297</v>
      </c>
      <c r="E66" s="466">
        <v>36</v>
      </c>
      <c r="F66" s="374" t="s">
        <v>85</v>
      </c>
      <c r="G66" s="375">
        <v>155</v>
      </c>
      <c r="H66" s="431">
        <v>5580</v>
      </c>
      <c r="I66" s="362"/>
      <c r="J66" s="252"/>
      <c r="K66" s="493"/>
      <c r="L66" s="493"/>
      <c r="M66" s="252"/>
      <c r="N66" s="365"/>
    </row>
    <row r="67" spans="1:14" ht="16.5">
      <c r="A67" s="517"/>
      <c r="B67" s="445" t="s">
        <v>298</v>
      </c>
      <c r="C67" s="50"/>
      <c r="D67" s="505" t="s">
        <v>348</v>
      </c>
      <c r="E67" s="373"/>
      <c r="F67" s="374"/>
      <c r="G67" s="77"/>
      <c r="H67" s="431"/>
      <c r="I67" s="362"/>
      <c r="J67" s="252"/>
      <c r="K67" s="493"/>
      <c r="L67" s="493"/>
      <c r="M67" s="252"/>
      <c r="N67" s="365"/>
    </row>
    <row r="68" spans="1:14">
      <c r="A68" s="517"/>
      <c r="B68" s="433"/>
      <c r="C68" s="453"/>
      <c r="D68" s="505" t="s">
        <v>299</v>
      </c>
      <c r="E68" s="466">
        <v>3</v>
      </c>
      <c r="F68" s="465" t="s">
        <v>370</v>
      </c>
      <c r="G68" s="375">
        <v>1900</v>
      </c>
      <c r="H68" s="431">
        <v>5700</v>
      </c>
      <c r="I68" s="362"/>
      <c r="J68" s="252"/>
      <c r="K68" s="493"/>
      <c r="L68" s="493"/>
      <c r="M68" s="252"/>
      <c r="N68" s="365"/>
    </row>
    <row r="69" spans="1:14" s="418" customFormat="1" ht="18">
      <c r="A69" s="517"/>
      <c r="B69" s="446"/>
      <c r="C69" s="441"/>
      <c r="D69" s="513" t="s">
        <v>373</v>
      </c>
      <c r="E69" s="436"/>
      <c r="F69" s="437"/>
      <c r="G69" s="461"/>
      <c r="H69" s="439"/>
      <c r="I69" s="362"/>
      <c r="J69" s="493"/>
      <c r="K69" s="493"/>
      <c r="L69" s="493"/>
      <c r="M69" s="252"/>
      <c r="N69" s="365"/>
    </row>
    <row r="70" spans="1:14" s="418" customFormat="1" ht="16.5">
      <c r="A70" s="517"/>
      <c r="B70" s="445" t="s">
        <v>349</v>
      </c>
      <c r="C70" s="50"/>
      <c r="D70" s="505" t="s">
        <v>350</v>
      </c>
      <c r="E70" s="373"/>
      <c r="F70" s="374"/>
      <c r="G70" s="77"/>
      <c r="H70" s="431"/>
      <c r="I70" s="362"/>
      <c r="J70" s="493"/>
      <c r="K70" s="493"/>
      <c r="L70" s="493"/>
      <c r="M70" s="252"/>
      <c r="N70" s="365"/>
    </row>
    <row r="71" spans="1:14">
      <c r="A71" s="517"/>
      <c r="B71" s="445"/>
      <c r="C71" s="50"/>
      <c r="D71" s="505" t="s">
        <v>300</v>
      </c>
      <c r="E71" s="373">
        <v>101</v>
      </c>
      <c r="F71" s="374" t="s">
        <v>147</v>
      </c>
      <c r="G71" s="77">
        <v>580</v>
      </c>
      <c r="H71" s="431">
        <v>58580</v>
      </c>
      <c r="I71" s="362"/>
      <c r="J71" s="493"/>
      <c r="K71" s="493"/>
      <c r="L71" s="493"/>
      <c r="M71" s="252"/>
      <c r="N71" s="365"/>
    </row>
    <row r="72" spans="1:14" ht="14" customHeight="1">
      <c r="A72" s="517"/>
      <c r="B72" s="449" t="s">
        <v>268</v>
      </c>
      <c r="C72" s="454"/>
      <c r="D72" s="503" t="s">
        <v>248</v>
      </c>
      <c r="E72" s="374"/>
      <c r="F72" s="374"/>
      <c r="G72" s="374"/>
      <c r="H72" s="474"/>
      <c r="I72" s="362"/>
      <c r="J72" s="494"/>
      <c r="K72" s="493"/>
      <c r="L72" s="493"/>
      <c r="M72" s="252"/>
      <c r="N72" s="365"/>
    </row>
    <row r="73" spans="1:14">
      <c r="A73" s="517"/>
      <c r="B73" s="433"/>
      <c r="C73" s="453"/>
      <c r="D73" s="505" t="s">
        <v>301</v>
      </c>
      <c r="E73" s="466">
        <v>8</v>
      </c>
      <c r="F73" s="374" t="s">
        <v>85</v>
      </c>
      <c r="G73" s="375">
        <v>130</v>
      </c>
      <c r="H73" s="431">
        <v>1040</v>
      </c>
      <c r="I73" s="362"/>
      <c r="J73" s="252"/>
      <c r="K73" s="493"/>
      <c r="L73" s="493"/>
      <c r="M73" s="252"/>
      <c r="N73" s="365"/>
    </row>
    <row r="74" spans="1:14">
      <c r="A74" s="517"/>
      <c r="B74" s="433"/>
      <c r="C74" s="453"/>
      <c r="D74" s="505" t="s">
        <v>302</v>
      </c>
      <c r="E74" s="466">
        <v>28</v>
      </c>
      <c r="F74" s="374" t="s">
        <v>85</v>
      </c>
      <c r="G74" s="375">
        <v>132</v>
      </c>
      <c r="H74" s="431">
        <v>3696</v>
      </c>
      <c r="I74" s="362"/>
      <c r="J74" s="252"/>
      <c r="K74" s="493"/>
      <c r="L74" s="493"/>
      <c r="M74" s="252"/>
      <c r="N74" s="365"/>
    </row>
    <row r="75" spans="1:14">
      <c r="A75" s="517"/>
      <c r="B75" s="433"/>
      <c r="C75" s="453"/>
      <c r="D75" s="505" t="s">
        <v>303</v>
      </c>
      <c r="E75" s="466">
        <v>24</v>
      </c>
      <c r="F75" s="374" t="s">
        <v>85</v>
      </c>
      <c r="G75" s="375">
        <v>135</v>
      </c>
      <c r="H75" s="431">
        <v>3240</v>
      </c>
      <c r="I75" s="362"/>
      <c r="J75" s="252"/>
      <c r="K75" s="493"/>
      <c r="L75" s="493"/>
      <c r="M75" s="252"/>
      <c r="N75" s="365"/>
    </row>
    <row r="76" spans="1:14" ht="16.5">
      <c r="A76" s="517"/>
      <c r="B76" s="445" t="s">
        <v>275</v>
      </c>
      <c r="C76" s="50" t="s">
        <v>267</v>
      </c>
      <c r="D76" s="505" t="s">
        <v>351</v>
      </c>
      <c r="E76" s="373">
        <v>3</v>
      </c>
      <c r="F76" s="374" t="s">
        <v>370</v>
      </c>
      <c r="G76" s="77">
        <v>3000</v>
      </c>
      <c r="H76" s="431">
        <v>9000</v>
      </c>
      <c r="I76" s="362"/>
      <c r="J76" s="252"/>
      <c r="K76" s="493"/>
      <c r="L76" s="493"/>
      <c r="M76" s="252"/>
      <c r="N76" s="365"/>
    </row>
    <row r="77" spans="1:14" ht="18">
      <c r="A77" s="517"/>
      <c r="B77" s="447"/>
      <c r="C77" s="455"/>
      <c r="D77" s="513" t="s">
        <v>372</v>
      </c>
      <c r="E77" s="467"/>
      <c r="F77" s="437"/>
      <c r="G77" s="461"/>
      <c r="H77" s="439"/>
      <c r="I77" s="362"/>
      <c r="J77" s="252"/>
      <c r="K77" s="493"/>
      <c r="L77" s="493"/>
      <c r="M77" s="252"/>
      <c r="N77" s="365"/>
    </row>
    <row r="78" spans="1:14">
      <c r="A78" s="517"/>
      <c r="B78" s="433" t="s">
        <v>304</v>
      </c>
      <c r="C78" s="453"/>
      <c r="D78" s="505" t="s">
        <v>248</v>
      </c>
      <c r="E78" s="466"/>
      <c r="F78" s="374"/>
      <c r="G78" s="77"/>
      <c r="H78" s="431"/>
      <c r="I78" s="362"/>
      <c r="J78" s="252"/>
      <c r="K78" s="493"/>
      <c r="L78" s="493"/>
      <c r="M78" s="252"/>
      <c r="N78" s="365"/>
    </row>
    <row r="79" spans="1:14">
      <c r="A79" s="517"/>
      <c r="B79" s="448"/>
      <c r="C79" s="456"/>
      <c r="D79" s="508" t="s">
        <v>305</v>
      </c>
      <c r="E79" s="468">
        <v>4</v>
      </c>
      <c r="F79" s="374" t="s">
        <v>85</v>
      </c>
      <c r="G79" s="462">
        <v>60</v>
      </c>
      <c r="H79" s="469">
        <v>240</v>
      </c>
      <c r="I79" s="362"/>
      <c r="J79" s="493"/>
      <c r="K79" s="493"/>
      <c r="L79" s="493"/>
      <c r="M79" s="493"/>
      <c r="N79" s="365"/>
    </row>
    <row r="80" spans="1:14">
      <c r="A80" s="517"/>
      <c r="B80" s="433"/>
      <c r="C80" s="453"/>
      <c r="D80" s="505" t="s">
        <v>306</v>
      </c>
      <c r="E80" s="466">
        <v>11</v>
      </c>
      <c r="F80" s="374" t="s">
        <v>85</v>
      </c>
      <c r="G80" s="375">
        <v>62</v>
      </c>
      <c r="H80" s="431">
        <v>682</v>
      </c>
      <c r="I80" s="362"/>
      <c r="J80" s="252"/>
      <c r="K80" s="493"/>
      <c r="L80" s="493"/>
      <c r="M80" s="252"/>
      <c r="N80" s="365"/>
    </row>
    <row r="81" spans="1:14">
      <c r="A81" s="517"/>
      <c r="B81" s="433"/>
      <c r="C81" s="453"/>
      <c r="D81" s="505" t="s">
        <v>307</v>
      </c>
      <c r="E81" s="466">
        <v>15</v>
      </c>
      <c r="F81" s="374" t="s">
        <v>85</v>
      </c>
      <c r="G81" s="375">
        <v>64</v>
      </c>
      <c r="H81" s="431">
        <v>960</v>
      </c>
      <c r="I81" s="362"/>
      <c r="J81" s="252"/>
      <c r="K81" s="493"/>
      <c r="L81" s="493"/>
      <c r="M81" s="252"/>
      <c r="N81" s="365"/>
    </row>
    <row r="82" spans="1:14">
      <c r="A82" s="517"/>
      <c r="B82" s="445" t="s">
        <v>268</v>
      </c>
      <c r="C82" s="50"/>
      <c r="D82" s="505" t="s">
        <v>308</v>
      </c>
      <c r="E82" s="373">
        <v>4</v>
      </c>
      <c r="F82" s="374" t="s">
        <v>85</v>
      </c>
      <c r="G82" s="77">
        <v>105</v>
      </c>
      <c r="H82" s="431">
        <v>420</v>
      </c>
      <c r="I82" s="362"/>
      <c r="J82" s="252"/>
      <c r="K82" s="493"/>
      <c r="L82" s="493"/>
      <c r="M82" s="252"/>
      <c r="N82" s="365"/>
    </row>
    <row r="83" spans="1:14">
      <c r="A83" s="517"/>
      <c r="B83" s="433"/>
      <c r="C83" s="453"/>
      <c r="D83" s="505" t="s">
        <v>309</v>
      </c>
      <c r="E83" s="466">
        <v>11</v>
      </c>
      <c r="F83" s="374" t="s">
        <v>85</v>
      </c>
      <c r="G83" s="375">
        <v>107</v>
      </c>
      <c r="H83" s="431">
        <v>1177</v>
      </c>
      <c r="I83" s="362"/>
      <c r="J83" s="252"/>
      <c r="K83" s="493"/>
      <c r="L83" s="493"/>
      <c r="M83" s="252"/>
      <c r="N83" s="365"/>
    </row>
    <row r="84" spans="1:14" s="418" customFormat="1">
      <c r="A84" s="517"/>
      <c r="B84" s="445"/>
      <c r="C84" s="50"/>
      <c r="D84" s="505" t="s">
        <v>310</v>
      </c>
      <c r="E84" s="373">
        <v>15</v>
      </c>
      <c r="F84" s="374" t="s">
        <v>85</v>
      </c>
      <c r="G84" s="77">
        <v>110</v>
      </c>
      <c r="H84" s="431">
        <v>1650</v>
      </c>
      <c r="I84" s="362"/>
      <c r="J84" s="493"/>
      <c r="K84" s="493"/>
      <c r="L84" s="493"/>
      <c r="M84" s="252"/>
      <c r="N84" s="365"/>
    </row>
    <row r="85" spans="1:14">
      <c r="A85" s="517"/>
      <c r="B85" s="433" t="s">
        <v>311</v>
      </c>
      <c r="C85" s="453"/>
      <c r="D85" s="505" t="s">
        <v>312</v>
      </c>
      <c r="E85" s="466">
        <v>4</v>
      </c>
      <c r="F85" s="374" t="s">
        <v>85</v>
      </c>
      <c r="G85" s="375">
        <v>112</v>
      </c>
      <c r="H85" s="431">
        <v>448</v>
      </c>
      <c r="I85" s="362"/>
      <c r="J85" s="252"/>
      <c r="K85" s="493"/>
      <c r="L85" s="493"/>
      <c r="M85" s="252"/>
      <c r="N85" s="365"/>
    </row>
    <row r="86" spans="1:14" ht="14" customHeight="1">
      <c r="A86" s="517"/>
      <c r="B86" s="449"/>
      <c r="C86" s="454"/>
      <c r="D86" s="503" t="s">
        <v>313</v>
      </c>
      <c r="E86" s="471">
        <v>11</v>
      </c>
      <c r="F86" s="374" t="s">
        <v>85</v>
      </c>
      <c r="G86" s="471">
        <v>115</v>
      </c>
      <c r="H86" s="475">
        <v>1265</v>
      </c>
      <c r="I86" s="362"/>
      <c r="J86" s="494"/>
      <c r="K86" s="493"/>
      <c r="L86" s="493"/>
      <c r="M86" s="252"/>
      <c r="N86" s="365"/>
    </row>
    <row r="87" spans="1:14" ht="14" customHeight="1">
      <c r="A87" s="517"/>
      <c r="B87" s="445"/>
      <c r="C87" s="50"/>
      <c r="D87" s="509" t="s">
        <v>314</v>
      </c>
      <c r="E87" s="470">
        <v>15</v>
      </c>
      <c r="F87" s="374" t="s">
        <v>85</v>
      </c>
      <c r="G87" s="463">
        <v>117</v>
      </c>
      <c r="H87" s="377">
        <v>1755</v>
      </c>
      <c r="I87" s="362"/>
      <c r="J87" s="494"/>
      <c r="K87" s="493"/>
      <c r="L87" s="493"/>
      <c r="M87" s="252"/>
      <c r="N87" s="365"/>
    </row>
    <row r="88" spans="1:14" ht="14" customHeight="1">
      <c r="A88" s="517"/>
      <c r="B88" s="445" t="s">
        <v>315</v>
      </c>
      <c r="C88" s="50"/>
      <c r="D88" s="509" t="s">
        <v>312</v>
      </c>
      <c r="E88" s="470">
        <v>4</v>
      </c>
      <c r="F88" s="374" t="s">
        <v>85</v>
      </c>
      <c r="G88" s="463">
        <v>112</v>
      </c>
      <c r="H88" s="377">
        <v>448</v>
      </c>
      <c r="I88" s="362"/>
      <c r="J88" s="494"/>
      <c r="K88" s="493"/>
      <c r="L88" s="493"/>
      <c r="M88" s="252"/>
      <c r="N88" s="365"/>
    </row>
    <row r="89" spans="1:14">
      <c r="A89" s="517"/>
      <c r="B89" s="445"/>
      <c r="C89" s="50"/>
      <c r="D89" s="509" t="s">
        <v>313</v>
      </c>
      <c r="E89" s="470">
        <v>11</v>
      </c>
      <c r="F89" s="374" t="s">
        <v>85</v>
      </c>
      <c r="G89" s="463">
        <v>115</v>
      </c>
      <c r="H89" s="377">
        <v>1265</v>
      </c>
      <c r="I89" s="362"/>
      <c r="J89" s="493"/>
      <c r="K89" s="493"/>
      <c r="L89" s="493"/>
      <c r="M89" s="252"/>
      <c r="N89" s="365"/>
    </row>
    <row r="90" spans="1:14" ht="14" customHeight="1">
      <c r="A90" s="517"/>
      <c r="B90" s="449"/>
      <c r="C90" s="454"/>
      <c r="D90" s="503" t="s">
        <v>314</v>
      </c>
      <c r="E90" s="471">
        <v>15</v>
      </c>
      <c r="F90" s="374" t="s">
        <v>85</v>
      </c>
      <c r="G90" s="471">
        <v>117</v>
      </c>
      <c r="H90" s="480">
        <v>1755</v>
      </c>
      <c r="I90" s="362"/>
      <c r="J90" s="494"/>
      <c r="K90" s="493"/>
      <c r="L90" s="493"/>
      <c r="M90" s="252"/>
      <c r="N90" s="365"/>
    </row>
    <row r="91" spans="1:14" ht="16.5">
      <c r="A91" s="517"/>
      <c r="B91" s="433" t="s">
        <v>316</v>
      </c>
      <c r="C91" s="453"/>
      <c r="D91" s="509" t="s">
        <v>353</v>
      </c>
      <c r="E91" s="472"/>
      <c r="F91" s="473"/>
      <c r="G91" s="464"/>
      <c r="H91" s="377"/>
      <c r="I91" s="362"/>
      <c r="J91" s="252"/>
      <c r="K91" s="493"/>
      <c r="L91" s="493"/>
      <c r="M91" s="252"/>
      <c r="N91" s="365"/>
    </row>
    <row r="92" spans="1:14">
      <c r="A92" s="517"/>
      <c r="B92" s="433"/>
      <c r="C92" s="453"/>
      <c r="D92" s="509" t="s">
        <v>317</v>
      </c>
      <c r="E92" s="472">
        <v>200</v>
      </c>
      <c r="F92" s="473" t="s">
        <v>252</v>
      </c>
      <c r="G92" s="464">
        <v>25</v>
      </c>
      <c r="H92" s="377">
        <v>5000</v>
      </c>
      <c r="I92" s="362"/>
      <c r="J92" s="252"/>
      <c r="K92" s="493"/>
      <c r="L92" s="493"/>
      <c r="M92" s="252"/>
      <c r="N92" s="365"/>
    </row>
    <row r="93" spans="1:14" ht="16.5">
      <c r="A93" s="517"/>
      <c r="B93" s="433" t="s">
        <v>318</v>
      </c>
      <c r="C93" s="453"/>
      <c r="D93" s="509" t="s">
        <v>352</v>
      </c>
      <c r="E93" s="472">
        <v>200</v>
      </c>
      <c r="F93" s="374" t="s">
        <v>85</v>
      </c>
      <c r="G93" s="464">
        <v>4</v>
      </c>
      <c r="H93" s="377">
        <v>800</v>
      </c>
      <c r="I93" s="362"/>
      <c r="J93" s="252"/>
      <c r="K93" s="493"/>
      <c r="L93" s="493"/>
      <c r="M93" s="252"/>
      <c r="N93" s="365"/>
    </row>
    <row r="94" spans="1:14" ht="18">
      <c r="A94" s="517"/>
      <c r="B94" s="446"/>
      <c r="C94" s="441"/>
      <c r="D94" s="513" t="s">
        <v>371</v>
      </c>
      <c r="E94" s="436"/>
      <c r="F94" s="437"/>
      <c r="G94" s="461"/>
      <c r="H94" s="439"/>
      <c r="I94" s="362"/>
      <c r="J94" s="252"/>
      <c r="K94" s="493"/>
      <c r="L94" s="493"/>
      <c r="M94" s="252"/>
      <c r="N94" s="365"/>
    </row>
    <row r="95" spans="1:14">
      <c r="A95" s="517"/>
      <c r="B95" s="433" t="s">
        <v>304</v>
      </c>
      <c r="C95" s="453"/>
      <c r="D95" s="509" t="s">
        <v>248</v>
      </c>
      <c r="E95" s="472"/>
      <c r="F95" s="471"/>
      <c r="G95" s="463"/>
      <c r="H95" s="377"/>
      <c r="I95" s="362"/>
      <c r="J95" s="252"/>
      <c r="K95" s="493"/>
      <c r="L95" s="493"/>
      <c r="M95" s="252"/>
      <c r="N95" s="365"/>
    </row>
    <row r="96" spans="1:14">
      <c r="A96" s="517"/>
      <c r="B96" s="433"/>
      <c r="C96" s="453"/>
      <c r="D96" s="509" t="s">
        <v>319</v>
      </c>
      <c r="E96" s="472">
        <v>50</v>
      </c>
      <c r="F96" s="374" t="s">
        <v>85</v>
      </c>
      <c r="G96" s="479">
        <v>55</v>
      </c>
      <c r="H96" s="480">
        <v>2750</v>
      </c>
      <c r="I96" s="362"/>
      <c r="J96" s="252"/>
      <c r="K96" s="493"/>
      <c r="L96" s="493"/>
      <c r="M96" s="252"/>
      <c r="N96" s="365"/>
    </row>
    <row r="97" spans="1:15">
      <c r="A97" s="517"/>
      <c r="B97" s="445"/>
      <c r="C97" s="50"/>
      <c r="D97" s="509" t="s">
        <v>320</v>
      </c>
      <c r="E97" s="470">
        <v>50</v>
      </c>
      <c r="F97" s="374" t="s">
        <v>85</v>
      </c>
      <c r="G97" s="481">
        <v>48</v>
      </c>
      <c r="H97" s="480">
        <v>2400</v>
      </c>
      <c r="I97" s="362"/>
      <c r="J97" s="252"/>
      <c r="K97" s="493"/>
      <c r="L97" s="493"/>
      <c r="M97" s="252"/>
      <c r="N97" s="365"/>
    </row>
    <row r="98" spans="1:15" ht="16.5">
      <c r="A98" s="517"/>
      <c r="B98" s="433" t="s">
        <v>275</v>
      </c>
      <c r="C98" s="453" t="s">
        <v>267</v>
      </c>
      <c r="D98" s="509" t="s">
        <v>345</v>
      </c>
      <c r="E98" s="472">
        <v>2</v>
      </c>
      <c r="F98" s="471" t="s">
        <v>370</v>
      </c>
      <c r="G98" s="479">
        <v>2700</v>
      </c>
      <c r="H98" s="480">
        <v>5400</v>
      </c>
      <c r="I98" s="362"/>
      <c r="J98" s="252"/>
      <c r="K98" s="493"/>
      <c r="L98" s="493"/>
      <c r="M98" s="252"/>
      <c r="N98" s="365"/>
    </row>
    <row r="99" spans="1:15" ht="16.5">
      <c r="A99" s="517"/>
      <c r="B99" s="433" t="s">
        <v>321</v>
      </c>
      <c r="C99" s="453" t="s">
        <v>249</v>
      </c>
      <c r="D99" s="509" t="s">
        <v>354</v>
      </c>
      <c r="E99" s="472">
        <v>100</v>
      </c>
      <c r="F99" s="374" t="s">
        <v>85</v>
      </c>
      <c r="G99" s="479">
        <v>200</v>
      </c>
      <c r="H99" s="480">
        <v>20000</v>
      </c>
      <c r="I99" s="362"/>
      <c r="J99" s="252"/>
      <c r="K99" s="493"/>
      <c r="L99" s="493"/>
      <c r="M99" s="252"/>
      <c r="N99" s="365"/>
    </row>
    <row r="100" spans="1:15" ht="18">
      <c r="A100" s="517"/>
      <c r="B100" s="450"/>
      <c r="C100" s="457"/>
      <c r="D100" s="510" t="s">
        <v>356</v>
      </c>
      <c r="E100" s="436"/>
      <c r="F100" s="437"/>
      <c r="G100" s="482"/>
      <c r="H100" s="483"/>
      <c r="I100" s="362"/>
      <c r="J100" s="494"/>
      <c r="K100" s="493"/>
      <c r="L100" s="493"/>
      <c r="M100" s="252"/>
      <c r="N100" s="365"/>
    </row>
    <row r="101" spans="1:15" ht="16.5">
      <c r="A101" s="517"/>
      <c r="B101" s="442">
        <v>2001</v>
      </c>
      <c r="C101" s="50" t="s">
        <v>322</v>
      </c>
      <c r="D101" s="509" t="s">
        <v>355</v>
      </c>
      <c r="E101" s="470">
        <v>20</v>
      </c>
      <c r="F101" s="471" t="s">
        <v>147</v>
      </c>
      <c r="G101" s="479">
        <v>345</v>
      </c>
      <c r="H101" s="480">
        <v>6900</v>
      </c>
      <c r="I101" s="362"/>
      <c r="J101" s="494"/>
      <c r="K101" s="493"/>
      <c r="L101" s="493"/>
      <c r="M101" s="252"/>
      <c r="N101" s="365"/>
    </row>
    <row r="102" spans="1:15">
      <c r="A102" s="517"/>
      <c r="B102" s="442" t="s">
        <v>323</v>
      </c>
      <c r="C102" s="50" t="s">
        <v>324</v>
      </c>
      <c r="D102" s="503" t="s">
        <v>325</v>
      </c>
      <c r="E102" s="470">
        <v>42</v>
      </c>
      <c r="F102" s="374" t="s">
        <v>85</v>
      </c>
      <c r="G102" s="479">
        <v>20</v>
      </c>
      <c r="H102" s="480">
        <v>840</v>
      </c>
      <c r="I102" s="362"/>
      <c r="J102" s="493"/>
      <c r="K102" s="493"/>
      <c r="L102" s="493"/>
      <c r="M102" s="252"/>
      <c r="N102" s="365"/>
    </row>
    <row r="103" spans="1:15">
      <c r="A103" s="517"/>
      <c r="B103" s="442" t="s">
        <v>326</v>
      </c>
      <c r="C103" s="50" t="s">
        <v>324</v>
      </c>
      <c r="D103" s="511" t="s">
        <v>325</v>
      </c>
      <c r="E103" s="470">
        <v>42</v>
      </c>
      <c r="F103" s="374" t="s">
        <v>85</v>
      </c>
      <c r="G103" s="479">
        <v>20</v>
      </c>
      <c r="H103" s="480">
        <v>840</v>
      </c>
      <c r="I103" s="362"/>
      <c r="J103" s="495"/>
      <c r="K103" s="493"/>
      <c r="L103" s="493"/>
      <c r="M103" s="252"/>
      <c r="N103" s="365"/>
    </row>
    <row r="104" spans="1:15">
      <c r="A104" s="517"/>
      <c r="B104" s="433" t="s">
        <v>327</v>
      </c>
      <c r="C104" s="50"/>
      <c r="D104" s="511" t="s">
        <v>328</v>
      </c>
      <c r="E104" s="472">
        <v>1</v>
      </c>
      <c r="F104" s="471" t="s">
        <v>370</v>
      </c>
      <c r="G104" s="479">
        <v>2000</v>
      </c>
      <c r="H104" s="480">
        <v>2000</v>
      </c>
      <c r="I104" s="362"/>
      <c r="J104" s="493"/>
      <c r="K104" s="493"/>
      <c r="L104" s="493"/>
      <c r="M104" s="252"/>
      <c r="N104" s="365"/>
    </row>
    <row r="105" spans="1:15">
      <c r="A105" s="517"/>
      <c r="B105" s="433" t="s">
        <v>329</v>
      </c>
      <c r="C105" s="476" t="s">
        <v>251</v>
      </c>
      <c r="D105" s="509" t="s">
        <v>330</v>
      </c>
      <c r="E105" s="472">
        <v>1</v>
      </c>
      <c r="F105" s="473" t="s">
        <v>370</v>
      </c>
      <c r="G105" s="481"/>
      <c r="H105" s="484"/>
      <c r="I105" s="362"/>
      <c r="J105" s="496"/>
      <c r="K105" s="252"/>
      <c r="L105" s="370"/>
      <c r="M105" s="252"/>
      <c r="N105" s="365"/>
    </row>
    <row r="106" spans="1:15" ht="18">
      <c r="A106" s="517"/>
      <c r="B106" s="447"/>
      <c r="C106" s="441"/>
      <c r="D106" s="510" t="s">
        <v>358</v>
      </c>
      <c r="E106" s="477"/>
      <c r="F106" s="478"/>
      <c r="G106" s="482"/>
      <c r="H106" s="485"/>
      <c r="I106" s="362"/>
      <c r="J106" s="496"/>
      <c r="K106" s="252"/>
      <c r="L106" s="370"/>
      <c r="M106" s="252"/>
      <c r="N106" s="365"/>
    </row>
    <row r="107" spans="1:15">
      <c r="A107" s="517"/>
      <c r="B107" s="433">
        <v>9900</v>
      </c>
      <c r="C107" s="50" t="s">
        <v>331</v>
      </c>
      <c r="D107" s="512" t="s">
        <v>247</v>
      </c>
      <c r="E107" s="471">
        <v>5</v>
      </c>
      <c r="F107" s="473" t="s">
        <v>147</v>
      </c>
      <c r="G107" s="481">
        <v>680</v>
      </c>
      <c r="H107" s="480">
        <v>3400</v>
      </c>
      <c r="I107" s="362"/>
      <c r="J107" s="496"/>
      <c r="K107" s="252"/>
      <c r="L107" s="370"/>
      <c r="M107" s="252"/>
      <c r="N107" s="365"/>
    </row>
    <row r="108" spans="1:15">
      <c r="A108" s="517"/>
      <c r="B108" s="433">
        <v>1702</v>
      </c>
      <c r="C108" s="50" t="s">
        <v>249</v>
      </c>
      <c r="D108" s="505" t="s">
        <v>332</v>
      </c>
      <c r="E108" s="374">
        <v>6</v>
      </c>
      <c r="F108" s="374" t="s">
        <v>147</v>
      </c>
      <c r="G108" s="486">
        <v>70</v>
      </c>
      <c r="H108" s="487">
        <v>420</v>
      </c>
      <c r="I108" s="362"/>
      <c r="J108" s="493"/>
      <c r="K108" s="499"/>
      <c r="L108" s="500"/>
      <c r="M108" s="499"/>
      <c r="N108" s="365"/>
    </row>
    <row r="109" spans="1:15" ht="18">
      <c r="A109" s="517"/>
      <c r="B109" s="447"/>
      <c r="C109" s="459"/>
      <c r="D109" s="513" t="s">
        <v>357</v>
      </c>
      <c r="E109" s="437"/>
      <c r="F109" s="437"/>
      <c r="G109" s="482"/>
      <c r="H109" s="483"/>
      <c r="I109" s="362"/>
      <c r="J109" s="493"/>
      <c r="K109" s="499"/>
      <c r="L109" s="500"/>
      <c r="M109" s="499"/>
      <c r="N109" s="365"/>
    </row>
    <row r="110" spans="1:15">
      <c r="A110" s="517"/>
      <c r="B110" s="433" t="s">
        <v>333</v>
      </c>
      <c r="C110" s="458"/>
      <c r="D110" s="514" t="s">
        <v>255</v>
      </c>
      <c r="E110" s="374"/>
      <c r="F110" s="374"/>
      <c r="G110" s="486"/>
      <c r="H110" s="487"/>
      <c r="I110" s="362"/>
      <c r="J110" s="493"/>
      <c r="K110" s="499"/>
      <c r="L110" s="500"/>
      <c r="M110" s="499"/>
      <c r="N110" s="365"/>
    </row>
    <row r="111" spans="1:15" s="319" customFormat="1" ht="15.5" thickBot="1">
      <c r="A111" s="518"/>
      <c r="B111" s="451"/>
      <c r="C111" s="410"/>
      <c r="D111" s="515" t="s">
        <v>334</v>
      </c>
      <c r="E111" s="366">
        <v>42</v>
      </c>
      <c r="F111" s="374" t="s">
        <v>85</v>
      </c>
      <c r="G111" s="488">
        <v>90</v>
      </c>
      <c r="H111" s="489">
        <v>3780</v>
      </c>
      <c r="I111" s="380"/>
      <c r="J111" s="497"/>
      <c r="K111" s="501"/>
      <c r="L111" s="497"/>
      <c r="M111" s="502"/>
      <c r="N111" s="381"/>
      <c r="O111"/>
    </row>
    <row r="112" spans="1:15" ht="15.5" thickBot="1">
      <c r="A112" s="382"/>
      <c r="B112" s="252"/>
      <c r="C112" s="367"/>
      <c r="D112" s="368"/>
      <c r="E112" s="369"/>
      <c r="F112" s="370"/>
      <c r="G112" s="383"/>
      <c r="H112" s="384"/>
      <c r="I112" s="385"/>
      <c r="J112" s="386"/>
      <c r="K112" s="387"/>
      <c r="L112" s="364"/>
      <c r="M112" s="388"/>
      <c r="N112" s="389"/>
    </row>
    <row r="113" spans="1:15">
      <c r="A113" s="390"/>
      <c r="B113" s="216" t="s">
        <v>144</v>
      </c>
      <c r="C113" s="186" t="s">
        <v>389</v>
      </c>
      <c r="D113" s="217"/>
      <c r="E113" s="391">
        <f>SUMIF($F$9:$F$111,"M.",$E$9:$E$111)</f>
        <v>268</v>
      </c>
      <c r="F113" s="187" t="s">
        <v>147</v>
      </c>
      <c r="G113" s="392"/>
      <c r="H113" s="393">
        <f>SUMIF($F$9:$F$111,"M.",$H$9:$H$111)</f>
        <v>132800</v>
      </c>
      <c r="I113" s="392"/>
      <c r="J113" s="394"/>
      <c r="K113" s="395"/>
      <c r="L113" s="371"/>
      <c r="M113" s="72"/>
      <c r="N113" s="396"/>
    </row>
    <row r="114" spans="1:15">
      <c r="A114" s="397"/>
      <c r="B114" s="21"/>
      <c r="C114" s="50"/>
      <c r="D114" s="91"/>
      <c r="E114" s="398">
        <f>SUMIF($F$9:$F$111,"PCS.",$E$9:$E$111)</f>
        <v>1411</v>
      </c>
      <c r="F114" s="85" t="s">
        <v>85</v>
      </c>
      <c r="G114" s="399"/>
      <c r="H114" s="400">
        <f>SUMIF($F$9:$F$111,"PCS.",$H$9:$H$111)</f>
        <v>136038</v>
      </c>
      <c r="I114" s="329"/>
      <c r="J114" s="401"/>
      <c r="K114" s="402"/>
      <c r="L114" s="374"/>
      <c r="M114" s="50"/>
      <c r="N114" s="403"/>
    </row>
    <row r="115" spans="1:15">
      <c r="A115" s="519"/>
      <c r="B115" s="62"/>
      <c r="C115" s="20"/>
      <c r="D115" s="520"/>
      <c r="E115" s="521">
        <f>SUMIF($F$9:$F$111,"SET.",$E$9:$E$111)</f>
        <v>500</v>
      </c>
      <c r="F115" s="522" t="s">
        <v>252</v>
      </c>
      <c r="G115" s="523"/>
      <c r="H115" s="524">
        <f>SUMIF($F$9:$F$111,"SET.",$H$9:$H$111)</f>
        <v>9500</v>
      </c>
      <c r="I115" s="241"/>
      <c r="J115" s="525"/>
      <c r="K115" s="357"/>
      <c r="L115" s="376"/>
      <c r="M115" s="20"/>
      <c r="N115" s="526"/>
    </row>
    <row r="116" spans="1:15" ht="15.5" thickBot="1">
      <c r="A116" s="242"/>
      <c r="B116" s="404"/>
      <c r="C116" s="19"/>
      <c r="D116" s="405"/>
      <c r="E116" s="406">
        <f>SUMIF($F$9:$F$111,"ROLL.",$E$9:$E$111)</f>
        <v>25</v>
      </c>
      <c r="F116" s="407" t="s">
        <v>370</v>
      </c>
      <c r="G116" s="408"/>
      <c r="H116" s="409">
        <f>SUMIF($F$9:$F$111,"ROLL.",$H$9:$H$111)</f>
        <v>55200</v>
      </c>
      <c r="I116" s="410"/>
      <c r="J116" s="411"/>
      <c r="K116" s="412"/>
      <c r="L116" s="366"/>
      <c r="M116" s="19"/>
      <c r="N116" s="413"/>
    </row>
    <row r="117" spans="1:15" ht="14" customHeight="1" thickBot="1">
      <c r="A117" s="414"/>
      <c r="B117" s="36" t="s">
        <v>144</v>
      </c>
      <c r="C117" s="106"/>
      <c r="D117" s="106"/>
      <c r="E117" s="36"/>
      <c r="F117" s="415"/>
      <c r="G117" s="416" t="s">
        <v>150</v>
      </c>
      <c r="H117" s="417">
        <f>SUM(H9:H112)</f>
        <v>333538</v>
      </c>
      <c r="I117" s="208"/>
      <c r="J117" s="218"/>
      <c r="K117" s="219"/>
      <c r="L117" s="220"/>
      <c r="M117" s="206"/>
      <c r="N117" s="221"/>
    </row>
    <row r="118" spans="1:15" s="319" customFormat="1">
      <c r="A118"/>
      <c r="B118" s="176"/>
      <c r="C118" s="419"/>
      <c r="D118" s="419"/>
      <c r="E118"/>
      <c r="G118"/>
      <c r="I118" s="419"/>
      <c r="J118" s="419"/>
      <c r="K118" s="420"/>
      <c r="L118" s="419"/>
      <c r="O118"/>
    </row>
    <row r="165" spans="1:15" s="176" customFormat="1" ht="20">
      <c r="A165" s="422" t="s">
        <v>99</v>
      </c>
      <c r="C165" s="319"/>
      <c r="D165"/>
      <c r="E165"/>
      <c r="F165" s="319"/>
      <c r="G165"/>
      <c r="H165" s="319"/>
      <c r="I165"/>
      <c r="J165"/>
      <c r="K165" s="319"/>
      <c r="L165" s="421"/>
      <c r="M165" s="319"/>
      <c r="N165" s="319"/>
      <c r="O165"/>
    </row>
  </sheetData>
  <mergeCells count="6">
    <mergeCell ref="A2:H2"/>
    <mergeCell ref="F4:G4"/>
    <mergeCell ref="M9:M57"/>
    <mergeCell ref="I9:I111"/>
    <mergeCell ref="N9:N111"/>
    <mergeCell ref="A9:A111"/>
  </mergeCells>
  <phoneticPr fontId="14"/>
  <pageMargins left="0.51181102362204722" right="0" top="0.74803149606299213" bottom="0.74803149606299213" header="0.31496062992125984" footer="0.31496062992125984"/>
  <pageSetup paperSize="9" scale="35" fitToHeight="0" orientation="portrait" r:id="rId1"/>
  <headerFooter>
    <oddFooter>&amp;C&amp;"Century Gothic,太字"&amp;10&amp;  -   P A G E  3- &amp;P  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9116-90FB-4047-B450-817A19232B01}">
  <sheetPr>
    <pageSetUpPr fitToPage="1"/>
  </sheetPr>
  <dimension ref="A1:D182"/>
  <sheetViews>
    <sheetView view="pageBreakPreview" zoomScale="50" zoomScaleNormal="70" zoomScaleSheetLayoutView="50" workbookViewId="0">
      <selection activeCell="J45" sqref="J45"/>
    </sheetView>
  </sheetViews>
  <sheetFormatPr defaultRowHeight="15"/>
  <cols>
    <col min="1" max="1" width="7.90625" customWidth="1"/>
    <col min="2" max="2" width="38.08984375" style="176" customWidth="1"/>
    <col min="3" max="3" width="81.6328125" customWidth="1"/>
    <col min="4" max="4" width="23.6328125" customWidth="1"/>
  </cols>
  <sheetData>
    <row r="1" spans="1:4" ht="17.5" customHeight="1">
      <c r="A1" s="145"/>
    </row>
    <row r="2" spans="1:4" ht="15" customHeight="1">
      <c r="A2" s="315" t="s">
        <v>141</v>
      </c>
      <c r="B2" s="315"/>
      <c r="C2" s="177"/>
    </row>
    <row r="3" spans="1:4" ht="15.65" customHeight="1" thickBot="1">
      <c r="A3" s="178"/>
      <c r="B3" s="179"/>
      <c r="C3" s="178"/>
    </row>
    <row r="4" spans="1:4" ht="21.75" customHeight="1" thickBot="1">
      <c r="A4" s="180" t="s">
        <v>36</v>
      </c>
      <c r="B4" s="24" t="s">
        <v>96</v>
      </c>
      <c r="C4" s="42" t="s">
        <v>87</v>
      </c>
      <c r="D4" s="181" t="s">
        <v>142</v>
      </c>
    </row>
    <row r="5" spans="1:4" ht="16" customHeight="1">
      <c r="A5" s="309" t="s">
        <v>160</v>
      </c>
      <c r="B5" s="29"/>
      <c r="C5" s="186" t="s">
        <v>176</v>
      </c>
      <c r="D5" s="182"/>
    </row>
    <row r="6" spans="1:4" ht="16" customHeight="1">
      <c r="A6" s="310"/>
      <c r="B6" s="197" t="s">
        <v>171</v>
      </c>
      <c r="C6" s="21" t="s">
        <v>149</v>
      </c>
      <c r="D6" s="234" t="s">
        <v>183</v>
      </c>
    </row>
    <row r="7" spans="1:4" ht="16" customHeight="1">
      <c r="A7" s="310"/>
      <c r="B7" s="21" t="s">
        <v>161</v>
      </c>
      <c r="C7" s="209" t="s">
        <v>164</v>
      </c>
      <c r="D7" s="183" t="s">
        <v>65</v>
      </c>
    </row>
    <row r="8" spans="1:4" ht="16" customHeight="1">
      <c r="A8" s="310"/>
      <c r="B8" s="32" t="s">
        <v>172</v>
      </c>
      <c r="C8" s="31" t="s">
        <v>173</v>
      </c>
      <c r="D8" s="234"/>
    </row>
    <row r="9" spans="1:4" ht="16" customHeight="1" thickBot="1">
      <c r="A9" s="311"/>
      <c r="B9" s="34" t="s">
        <v>163</v>
      </c>
      <c r="C9" s="33"/>
      <c r="D9" s="235"/>
    </row>
    <row r="10" spans="1:4" ht="15" customHeight="1" thickBot="1">
      <c r="A10" s="211"/>
      <c r="B10" s="197"/>
      <c r="C10" s="198"/>
      <c r="D10" s="223"/>
    </row>
    <row r="11" spans="1:4" ht="21.75" customHeight="1" thickBot="1">
      <c r="A11" s="180" t="s">
        <v>36</v>
      </c>
      <c r="B11" s="24" t="s">
        <v>96</v>
      </c>
      <c r="C11" s="236" t="s">
        <v>87</v>
      </c>
      <c r="D11" s="181" t="s">
        <v>142</v>
      </c>
    </row>
    <row r="12" spans="1:4" ht="17" customHeight="1">
      <c r="A12" s="309" t="s">
        <v>193</v>
      </c>
      <c r="B12" s="29"/>
      <c r="C12" s="186" t="s">
        <v>189</v>
      </c>
      <c r="D12" s="192"/>
    </row>
    <row r="13" spans="1:4" ht="16.399999999999999" customHeight="1">
      <c r="A13" s="310"/>
      <c r="B13" s="197" t="s">
        <v>186</v>
      </c>
      <c r="C13" s="21" t="s">
        <v>100</v>
      </c>
      <c r="D13" s="183" t="s">
        <v>182</v>
      </c>
    </row>
    <row r="14" spans="1:4" ht="15" customHeight="1">
      <c r="A14" s="310"/>
      <c r="B14" s="21" t="s">
        <v>100</v>
      </c>
      <c r="C14" s="209" t="s">
        <v>164</v>
      </c>
      <c r="D14" s="183" t="s">
        <v>65</v>
      </c>
    </row>
    <row r="15" spans="1:4" ht="15" customHeight="1">
      <c r="A15" s="310"/>
      <c r="B15" s="32" t="s">
        <v>187</v>
      </c>
      <c r="C15" s="31" t="s">
        <v>190</v>
      </c>
      <c r="D15" s="183"/>
    </row>
    <row r="16" spans="1:4" ht="15" customHeight="1" thickBot="1">
      <c r="A16" s="311"/>
      <c r="B16" s="34" t="s">
        <v>163</v>
      </c>
      <c r="C16" s="33"/>
      <c r="D16" s="224"/>
    </row>
    <row r="17" spans="1:4" ht="15" customHeight="1" thickBot="1">
      <c r="A17" s="212"/>
      <c r="B17" s="34"/>
      <c r="C17" s="269"/>
      <c r="D17" s="270"/>
    </row>
    <row r="18" spans="1:4" ht="21.75" customHeight="1" thickBot="1">
      <c r="A18" s="180" t="s">
        <v>36</v>
      </c>
      <c r="B18" s="24" t="s">
        <v>96</v>
      </c>
      <c r="C18" s="236" t="s">
        <v>87</v>
      </c>
      <c r="D18" s="181" t="s">
        <v>142</v>
      </c>
    </row>
    <row r="19" spans="1:4" ht="16.5" customHeight="1">
      <c r="A19" s="309" t="s">
        <v>167</v>
      </c>
      <c r="B19" s="29"/>
      <c r="C19" s="186" t="s">
        <v>162</v>
      </c>
      <c r="D19" s="183"/>
    </row>
    <row r="20" spans="1:4" ht="16.399999999999999" customHeight="1">
      <c r="A20" s="310"/>
      <c r="B20" s="197" t="s">
        <v>194</v>
      </c>
      <c r="C20" s="21" t="s">
        <v>149</v>
      </c>
      <c r="D20" s="183" t="s">
        <v>182</v>
      </c>
    </row>
    <row r="21" spans="1:4" ht="15" customHeight="1">
      <c r="A21" s="310"/>
      <c r="B21" s="21" t="s">
        <v>149</v>
      </c>
      <c r="C21" s="209" t="s">
        <v>164</v>
      </c>
      <c r="D21" s="183" t="s">
        <v>181</v>
      </c>
    </row>
    <row r="22" spans="1:4" ht="15" customHeight="1">
      <c r="A22" s="310"/>
      <c r="B22" s="32" t="s">
        <v>166</v>
      </c>
      <c r="C22" s="31" t="s">
        <v>165</v>
      </c>
      <c r="D22" s="183"/>
    </row>
    <row r="23" spans="1:4" ht="15" customHeight="1" thickBot="1">
      <c r="A23" s="311"/>
      <c r="B23" s="34" t="s">
        <v>163</v>
      </c>
      <c r="C23" s="33"/>
      <c r="D23" s="185"/>
    </row>
    <row r="24" spans="1:4" ht="15" customHeight="1" thickBot="1">
      <c r="A24" s="212"/>
      <c r="B24" s="34"/>
      <c r="C24" s="269"/>
      <c r="D24" s="270"/>
    </row>
    <row r="25" spans="1:4" ht="21.75" customHeight="1" thickBot="1">
      <c r="A25" s="180" t="s">
        <v>36</v>
      </c>
      <c r="B25" s="24" t="s">
        <v>96</v>
      </c>
      <c r="C25" s="236" t="s">
        <v>87</v>
      </c>
      <c r="D25" s="181" t="s">
        <v>142</v>
      </c>
    </row>
    <row r="26" spans="1:4" ht="16.5" customHeight="1">
      <c r="A26" s="309" t="s">
        <v>202</v>
      </c>
      <c r="B26" s="29"/>
      <c r="C26" s="186" t="s">
        <v>200</v>
      </c>
      <c r="D26" s="183"/>
    </row>
    <row r="27" spans="1:4" ht="16.399999999999999" customHeight="1">
      <c r="A27" s="310"/>
      <c r="B27" s="197" t="s">
        <v>198</v>
      </c>
      <c r="C27" s="21" t="s">
        <v>149</v>
      </c>
      <c r="D27" s="183" t="s">
        <v>182</v>
      </c>
    </row>
    <row r="28" spans="1:4" ht="15" customHeight="1">
      <c r="A28" s="310"/>
      <c r="B28" s="21" t="s">
        <v>149</v>
      </c>
      <c r="C28" s="209" t="s">
        <v>211</v>
      </c>
      <c r="D28" s="183" t="s">
        <v>181</v>
      </c>
    </row>
    <row r="29" spans="1:4" ht="15" customHeight="1">
      <c r="A29" s="310"/>
      <c r="B29" s="32" t="s">
        <v>210</v>
      </c>
      <c r="C29" s="31" t="s">
        <v>212</v>
      </c>
      <c r="D29" s="183"/>
    </row>
    <row r="30" spans="1:4" ht="15" customHeight="1" thickBot="1">
      <c r="A30" s="311"/>
      <c r="B30" s="34" t="s">
        <v>151</v>
      </c>
      <c r="C30" s="33"/>
      <c r="D30" s="185"/>
    </row>
    <row r="31" spans="1:4" ht="15" customHeight="1" thickBot="1">
      <c r="A31" s="212"/>
      <c r="B31" s="34"/>
      <c r="C31" s="33"/>
      <c r="D31" s="184"/>
    </row>
    <row r="32" spans="1:4" ht="21.75" customHeight="1" thickBot="1">
      <c r="A32" s="180" t="s">
        <v>36</v>
      </c>
      <c r="B32" s="24" t="s">
        <v>96</v>
      </c>
      <c r="C32" s="268" t="s">
        <v>87</v>
      </c>
      <c r="D32" s="181" t="s">
        <v>142</v>
      </c>
    </row>
    <row r="33" spans="1:4" ht="16.5" customHeight="1">
      <c r="A33" s="297" t="s">
        <v>214</v>
      </c>
      <c r="B33" s="228"/>
      <c r="C33" s="186" t="s">
        <v>204</v>
      </c>
      <c r="D33" s="183"/>
    </row>
    <row r="34" spans="1:4" ht="16.399999999999999" customHeight="1">
      <c r="A34" s="298"/>
      <c r="B34" s="229" t="s">
        <v>203</v>
      </c>
      <c r="C34" s="21" t="s">
        <v>100</v>
      </c>
      <c r="D34" s="183"/>
    </row>
    <row r="35" spans="1:4" ht="15" customHeight="1">
      <c r="A35" s="298"/>
      <c r="B35" s="230" t="s">
        <v>168</v>
      </c>
      <c r="C35" s="198"/>
      <c r="D35" s="183"/>
    </row>
    <row r="36" spans="1:4" ht="15" customHeight="1">
      <c r="A36" s="298"/>
      <c r="B36" s="231" t="s">
        <v>208</v>
      </c>
      <c r="C36" s="30"/>
      <c r="D36" s="183"/>
    </row>
    <row r="37" spans="1:4" ht="15" customHeight="1" thickBot="1">
      <c r="A37" s="298"/>
      <c r="B37" s="232" t="s">
        <v>153</v>
      </c>
      <c r="C37" s="33"/>
      <c r="D37" s="234" t="s">
        <v>382</v>
      </c>
    </row>
    <row r="38" spans="1:4" ht="21.75" customHeight="1" thickBot="1">
      <c r="A38" s="298"/>
      <c r="B38" s="273"/>
      <c r="C38" s="31"/>
      <c r="D38" s="234" t="s">
        <v>183</v>
      </c>
    </row>
    <row r="39" spans="1:4" ht="16.5" customHeight="1">
      <c r="A39" s="298"/>
      <c r="B39" s="272"/>
      <c r="C39" s="186" t="s">
        <v>200</v>
      </c>
      <c r="D39" s="234" t="s">
        <v>181</v>
      </c>
    </row>
    <row r="40" spans="1:4" ht="16.399999999999999" customHeight="1">
      <c r="A40" s="298"/>
      <c r="B40" s="229" t="s">
        <v>207</v>
      </c>
      <c r="C40" s="21" t="s">
        <v>161</v>
      </c>
      <c r="D40" s="183"/>
    </row>
    <row r="41" spans="1:4" ht="15" customHeight="1">
      <c r="A41" s="298"/>
      <c r="B41" s="230" t="s">
        <v>168</v>
      </c>
      <c r="C41" s="198"/>
      <c r="D41" s="183"/>
    </row>
    <row r="42" spans="1:4" ht="15" customHeight="1">
      <c r="A42" s="298"/>
      <c r="B42" s="231" t="s">
        <v>208</v>
      </c>
      <c r="C42" s="30"/>
      <c r="D42" s="183"/>
    </row>
    <row r="43" spans="1:4" ht="15" customHeight="1" thickBot="1">
      <c r="A43" s="299"/>
      <c r="B43" s="232" t="s">
        <v>209</v>
      </c>
      <c r="C43" s="33"/>
      <c r="D43" s="185"/>
    </row>
    <row r="44" spans="1:4" ht="15" customHeight="1" thickBot="1">
      <c r="A44" s="211"/>
      <c r="B44" s="197"/>
      <c r="C44" s="198"/>
      <c r="D44" s="223"/>
    </row>
    <row r="45" spans="1:4" ht="21.75" customHeight="1" thickBot="1">
      <c r="A45" s="180" t="s">
        <v>36</v>
      </c>
      <c r="B45" s="24" t="s">
        <v>96</v>
      </c>
      <c r="C45" s="236" t="s">
        <v>87</v>
      </c>
      <c r="D45" s="181" t="s">
        <v>142</v>
      </c>
    </row>
    <row r="46" spans="1:4" ht="17" customHeight="1">
      <c r="A46" s="309" t="s">
        <v>225</v>
      </c>
      <c r="B46" s="274"/>
      <c r="C46" s="186" t="s">
        <v>221</v>
      </c>
      <c r="D46" s="192"/>
    </row>
    <row r="47" spans="1:4" ht="16.399999999999999" customHeight="1">
      <c r="A47" s="310"/>
      <c r="B47" s="275" t="s">
        <v>215</v>
      </c>
      <c r="C47" s="30" t="s">
        <v>149</v>
      </c>
      <c r="D47" s="183" t="s">
        <v>384</v>
      </c>
    </row>
    <row r="48" spans="1:4" ht="15" customHeight="1">
      <c r="A48" s="310"/>
      <c r="B48" s="275" t="s">
        <v>216</v>
      </c>
      <c r="C48" s="30" t="s">
        <v>168</v>
      </c>
      <c r="D48" s="183" t="s">
        <v>181</v>
      </c>
    </row>
    <row r="49" spans="1:4" ht="15" customHeight="1">
      <c r="A49" s="310"/>
      <c r="B49" s="276" t="s">
        <v>149</v>
      </c>
      <c r="C49" s="31"/>
      <c r="D49" s="183"/>
    </row>
    <row r="50" spans="1:4" ht="15" customHeight="1" thickBot="1">
      <c r="A50" s="311"/>
      <c r="B50" s="277" t="s">
        <v>217</v>
      </c>
      <c r="C50" s="269"/>
      <c r="D50" s="183"/>
    </row>
    <row r="51" spans="1:4" ht="15" customHeight="1" thickBot="1">
      <c r="A51" s="211"/>
      <c r="B51" s="197"/>
      <c r="C51" s="198"/>
      <c r="D51" s="223"/>
    </row>
    <row r="52" spans="1:4" ht="21.75" customHeight="1" thickBot="1">
      <c r="A52" s="180" t="s">
        <v>36</v>
      </c>
      <c r="B52" s="24" t="s">
        <v>96</v>
      </c>
      <c r="C52" s="236" t="s">
        <v>87</v>
      </c>
      <c r="D52" s="181" t="s">
        <v>142</v>
      </c>
    </row>
    <row r="53" spans="1:4" ht="22.5" customHeight="1">
      <c r="A53" s="303" t="s">
        <v>226</v>
      </c>
      <c r="B53" s="29"/>
      <c r="C53" s="283" t="s">
        <v>229</v>
      </c>
      <c r="D53" s="192"/>
    </row>
    <row r="54" spans="1:4" ht="16.399999999999999" customHeight="1">
      <c r="A54" s="304"/>
      <c r="B54" s="197" t="s">
        <v>227</v>
      </c>
      <c r="C54" s="284"/>
      <c r="D54" s="183" t="s">
        <v>182</v>
      </c>
    </row>
    <row r="55" spans="1:4" ht="15" customHeight="1">
      <c r="A55" s="304"/>
      <c r="B55" s="21"/>
      <c r="C55" s="209"/>
      <c r="D55" s="183" t="s">
        <v>181</v>
      </c>
    </row>
    <row r="56" spans="1:4" ht="15" customHeight="1">
      <c r="A56" s="304"/>
      <c r="B56" s="32"/>
      <c r="C56" s="31"/>
      <c r="D56" s="183"/>
    </row>
    <row r="57" spans="1:4" ht="15" customHeight="1" thickBot="1">
      <c r="A57" s="305"/>
      <c r="B57" s="34"/>
      <c r="C57" s="33"/>
      <c r="D57" s="183"/>
    </row>
    <row r="58" spans="1:4" ht="15" customHeight="1" thickBot="1">
      <c r="A58" s="212"/>
      <c r="B58" s="34"/>
      <c r="C58" s="33"/>
      <c r="D58" s="184"/>
    </row>
    <row r="59" spans="1:4" ht="21.75" customHeight="1" thickBot="1">
      <c r="A59" s="180" t="s">
        <v>36</v>
      </c>
      <c r="B59" s="24" t="s">
        <v>96</v>
      </c>
      <c r="C59" s="236" t="s">
        <v>87</v>
      </c>
      <c r="D59" s="181" t="s">
        <v>142</v>
      </c>
    </row>
    <row r="60" spans="1:4" ht="16.5" customHeight="1">
      <c r="A60" s="309" t="s">
        <v>242</v>
      </c>
      <c r="B60" s="228"/>
      <c r="C60" s="186" t="s">
        <v>177</v>
      </c>
      <c r="D60" s="183"/>
    </row>
    <row r="61" spans="1:4" ht="16.399999999999999" customHeight="1">
      <c r="A61" s="310"/>
      <c r="B61" s="229" t="s">
        <v>157</v>
      </c>
      <c r="C61" s="30" t="s">
        <v>146</v>
      </c>
      <c r="D61" s="183"/>
    </row>
    <row r="62" spans="1:4" ht="15" customHeight="1">
      <c r="A62" s="310"/>
      <c r="B62" s="230" t="s">
        <v>158</v>
      </c>
      <c r="C62" s="30"/>
      <c r="D62" s="183"/>
    </row>
    <row r="63" spans="1:4" ht="15" customHeight="1">
      <c r="A63" s="310"/>
      <c r="B63" s="231" t="s">
        <v>152</v>
      </c>
      <c r="C63" s="31"/>
      <c r="D63" s="183"/>
    </row>
    <row r="64" spans="1:4" ht="15" customHeight="1" thickBot="1">
      <c r="A64" s="310"/>
      <c r="B64" s="232" t="s">
        <v>153</v>
      </c>
      <c r="C64" s="33"/>
      <c r="D64" s="234" t="s">
        <v>382</v>
      </c>
    </row>
    <row r="65" spans="1:4" ht="21.75" customHeight="1" thickBot="1">
      <c r="A65" s="310"/>
      <c r="B65" s="191"/>
      <c r="C65" s="31"/>
      <c r="D65" s="234" t="s">
        <v>183</v>
      </c>
    </row>
    <row r="66" spans="1:4" ht="16.5" customHeight="1">
      <c r="A66" s="310"/>
      <c r="B66" s="29"/>
      <c r="C66" s="186" t="s">
        <v>177</v>
      </c>
      <c r="D66" s="234" t="s">
        <v>65</v>
      </c>
    </row>
    <row r="67" spans="1:4" ht="16.399999999999999" customHeight="1">
      <c r="A67" s="310"/>
      <c r="B67" s="197" t="s">
        <v>239</v>
      </c>
      <c r="C67" s="21" t="s">
        <v>146</v>
      </c>
      <c r="D67" s="183"/>
    </row>
    <row r="68" spans="1:4" ht="16.399999999999999" customHeight="1">
      <c r="A68" s="310"/>
      <c r="B68" s="21" t="s">
        <v>146</v>
      </c>
      <c r="C68" s="248" t="s">
        <v>236</v>
      </c>
      <c r="D68" s="183"/>
    </row>
    <row r="69" spans="1:4" ht="16.399999999999999" customHeight="1">
      <c r="A69" s="310"/>
      <c r="B69" s="32" t="s">
        <v>170</v>
      </c>
      <c r="C69" s="30" t="s">
        <v>237</v>
      </c>
      <c r="D69" s="183"/>
    </row>
    <row r="70" spans="1:4" ht="16.399999999999999" customHeight="1" thickBot="1">
      <c r="A70" s="310"/>
      <c r="B70" s="34" t="s">
        <v>151</v>
      </c>
      <c r="C70" s="33"/>
      <c r="D70" s="183"/>
    </row>
    <row r="71" spans="1:4" ht="15" customHeight="1" thickBot="1">
      <c r="A71" s="310"/>
      <c r="B71" s="271"/>
      <c r="C71" s="240"/>
      <c r="D71" s="183"/>
    </row>
    <row r="72" spans="1:4" ht="24.5" customHeight="1" thickBot="1">
      <c r="A72" s="310"/>
      <c r="B72" s="29"/>
      <c r="C72" s="283" t="s">
        <v>229</v>
      </c>
      <c r="D72" s="183"/>
    </row>
    <row r="73" spans="1:4" ht="15" customHeight="1" thickBot="1">
      <c r="A73" s="311"/>
      <c r="B73" s="260" t="s">
        <v>240</v>
      </c>
      <c r="C73" s="262" t="s">
        <v>241</v>
      </c>
      <c r="D73" s="185"/>
    </row>
    <row r="74" spans="1:4" ht="15" customHeight="1" thickBot="1">
      <c r="A74" s="212"/>
      <c r="B74" s="34"/>
      <c r="C74" s="33"/>
      <c r="D74" s="184"/>
    </row>
    <row r="75" spans="1:4" ht="21.75" customHeight="1" thickBot="1">
      <c r="A75" s="180" t="s">
        <v>36</v>
      </c>
      <c r="B75" s="24" t="s">
        <v>96</v>
      </c>
      <c r="C75" s="268" t="s">
        <v>87</v>
      </c>
      <c r="D75" s="181" t="s">
        <v>142</v>
      </c>
    </row>
    <row r="76" spans="1:4" ht="17" customHeight="1">
      <c r="A76" s="516" t="s">
        <v>368</v>
      </c>
      <c r="B76" s="423"/>
      <c r="C76" s="186" t="s">
        <v>359</v>
      </c>
      <c r="D76" s="266"/>
    </row>
    <row r="77" spans="1:4" ht="16.399999999999999" customHeight="1">
      <c r="A77" s="517"/>
      <c r="B77" s="442" t="s">
        <v>254</v>
      </c>
      <c r="C77" s="372" t="s">
        <v>248</v>
      </c>
      <c r="D77" s="183"/>
    </row>
    <row r="78" spans="1:4" ht="15" customHeight="1">
      <c r="A78" s="517"/>
      <c r="B78" s="442"/>
      <c r="C78" s="372" t="s">
        <v>256</v>
      </c>
      <c r="D78" s="183"/>
    </row>
    <row r="79" spans="1:4" ht="15" customHeight="1">
      <c r="A79" s="517"/>
      <c r="B79" s="442"/>
      <c r="C79" s="372" t="s">
        <v>257</v>
      </c>
      <c r="D79" s="183"/>
    </row>
    <row r="80" spans="1:4" ht="15" customHeight="1">
      <c r="A80" s="517"/>
      <c r="B80" s="442" t="s">
        <v>258</v>
      </c>
      <c r="C80" s="372" t="s">
        <v>248</v>
      </c>
      <c r="D80" s="183"/>
    </row>
    <row r="81" spans="1:4" ht="15" customHeight="1">
      <c r="A81" s="517"/>
      <c r="B81" s="442"/>
      <c r="C81" s="372" t="s">
        <v>259</v>
      </c>
      <c r="D81" s="267"/>
    </row>
    <row r="82" spans="1:4" ht="21.75" customHeight="1">
      <c r="A82" s="517"/>
      <c r="B82" s="443"/>
      <c r="C82" s="372" t="s">
        <v>260</v>
      </c>
      <c r="D82" s="192"/>
    </row>
    <row r="83" spans="1:4" ht="17" customHeight="1">
      <c r="A83" s="517"/>
      <c r="B83" s="443"/>
      <c r="C83" s="372" t="s">
        <v>261</v>
      </c>
      <c r="D83" s="192"/>
    </row>
    <row r="84" spans="1:4" ht="16.399999999999999" customHeight="1">
      <c r="A84" s="517"/>
      <c r="B84" s="442"/>
      <c r="C84" s="372" t="s">
        <v>262</v>
      </c>
      <c r="D84" s="183"/>
    </row>
    <row r="85" spans="1:4" ht="15" customHeight="1">
      <c r="A85" s="517"/>
      <c r="B85" s="442" t="s">
        <v>263</v>
      </c>
      <c r="C85" s="372" t="s">
        <v>335</v>
      </c>
      <c r="D85" s="183"/>
    </row>
    <row r="86" spans="1:4" ht="15" customHeight="1">
      <c r="A86" s="517"/>
      <c r="B86" s="444"/>
      <c r="C86" s="244" t="s">
        <v>360</v>
      </c>
      <c r="D86" s="183"/>
    </row>
    <row r="87" spans="1:4" ht="15" customHeight="1">
      <c r="A87" s="517"/>
      <c r="B87" s="442" t="s">
        <v>258</v>
      </c>
      <c r="C87" s="372" t="s">
        <v>248</v>
      </c>
      <c r="D87" s="183"/>
    </row>
    <row r="88" spans="1:4" ht="15" customHeight="1">
      <c r="A88" s="517"/>
      <c r="B88" s="442"/>
      <c r="C88" s="372" t="s">
        <v>264</v>
      </c>
      <c r="D88" s="183"/>
    </row>
    <row r="89" spans="1:4" ht="21.75" customHeight="1">
      <c r="A89" s="517"/>
      <c r="B89" s="443"/>
      <c r="C89" s="372" t="s">
        <v>265</v>
      </c>
      <c r="D89" s="234" t="s">
        <v>183</v>
      </c>
    </row>
    <row r="90" spans="1:4" ht="16.5" customHeight="1">
      <c r="A90" s="517"/>
      <c r="B90" s="443" t="s">
        <v>266</v>
      </c>
      <c r="C90" s="372" t="s">
        <v>336</v>
      </c>
      <c r="D90" s="183" t="s">
        <v>65</v>
      </c>
    </row>
    <row r="91" spans="1:4" ht="16.399999999999999" customHeight="1">
      <c r="A91" s="517"/>
      <c r="B91" s="443"/>
      <c r="C91" s="372"/>
      <c r="D91" s="183"/>
    </row>
    <row r="92" spans="1:4" ht="15" customHeight="1">
      <c r="A92" s="517"/>
      <c r="B92" s="444"/>
      <c r="C92" s="244" t="s">
        <v>361</v>
      </c>
      <c r="D92" s="183"/>
    </row>
    <row r="93" spans="1:4" ht="15" customHeight="1">
      <c r="A93" s="517"/>
      <c r="B93" s="443" t="s">
        <v>268</v>
      </c>
      <c r="C93" s="372" t="s">
        <v>248</v>
      </c>
      <c r="D93" s="183"/>
    </row>
    <row r="94" spans="1:4" ht="15" customHeight="1">
      <c r="A94" s="517"/>
      <c r="B94" s="443"/>
      <c r="C94" s="372" t="s">
        <v>269</v>
      </c>
      <c r="D94" s="267"/>
    </row>
    <row r="95" spans="1:4" ht="15" customHeight="1">
      <c r="A95" s="517"/>
      <c r="B95" s="443"/>
      <c r="C95" s="372" t="s">
        <v>270</v>
      </c>
      <c r="D95" s="184"/>
    </row>
    <row r="96" spans="1:4" ht="21.75" customHeight="1">
      <c r="A96" s="517"/>
      <c r="B96" s="443"/>
      <c r="C96" s="372" t="s">
        <v>271</v>
      </c>
      <c r="D96" s="192"/>
    </row>
    <row r="97" spans="1:4" ht="16.5" customHeight="1">
      <c r="A97" s="517"/>
      <c r="B97" s="443"/>
      <c r="C97" s="372"/>
      <c r="D97" s="183"/>
    </row>
    <row r="98" spans="1:4" ht="16.399999999999999" customHeight="1">
      <c r="A98" s="517"/>
      <c r="B98" s="443" t="s">
        <v>268</v>
      </c>
      <c r="C98" s="372" t="s">
        <v>248</v>
      </c>
      <c r="D98" s="183"/>
    </row>
    <row r="99" spans="1:4" ht="15" customHeight="1">
      <c r="A99" s="517"/>
      <c r="B99" s="443"/>
      <c r="C99" s="372" t="s">
        <v>272</v>
      </c>
      <c r="D99" s="183"/>
    </row>
    <row r="100" spans="1:4" ht="15" customHeight="1">
      <c r="A100" s="517"/>
      <c r="B100" s="443"/>
      <c r="C100" s="372" t="s">
        <v>273</v>
      </c>
      <c r="D100" s="183"/>
    </row>
    <row r="101" spans="1:4" ht="15" customHeight="1">
      <c r="A101" s="517"/>
      <c r="B101" s="443"/>
      <c r="C101" s="372" t="s">
        <v>274</v>
      </c>
      <c r="D101" s="529"/>
    </row>
    <row r="102" spans="1:4" ht="15" customHeight="1">
      <c r="A102" s="517"/>
      <c r="B102" s="442" t="s">
        <v>275</v>
      </c>
      <c r="C102" s="372" t="s">
        <v>337</v>
      </c>
      <c r="D102" s="529"/>
    </row>
    <row r="103" spans="1:4" ht="15" customHeight="1">
      <c r="A103" s="517"/>
      <c r="B103" s="442" t="s">
        <v>276</v>
      </c>
      <c r="C103" s="372" t="s">
        <v>338</v>
      </c>
      <c r="D103" s="529"/>
    </row>
    <row r="104" spans="1:4" ht="15" customHeight="1">
      <c r="A104" s="517"/>
      <c r="B104" s="442"/>
      <c r="C104" s="372" t="s">
        <v>277</v>
      </c>
      <c r="D104" s="529"/>
    </row>
    <row r="105" spans="1:4" ht="15" customHeight="1">
      <c r="A105" s="517"/>
      <c r="B105" s="442" t="s">
        <v>278</v>
      </c>
      <c r="C105" s="372" t="s">
        <v>339</v>
      </c>
      <c r="D105" s="529"/>
    </row>
    <row r="106" spans="1:4" ht="15" customHeight="1">
      <c r="A106" s="517"/>
      <c r="B106" s="442"/>
      <c r="C106" s="372" t="s">
        <v>279</v>
      </c>
      <c r="D106" s="529"/>
    </row>
    <row r="107" spans="1:4" ht="15" customHeight="1">
      <c r="A107" s="517"/>
      <c r="B107" s="443"/>
      <c r="C107" s="372" t="s">
        <v>280</v>
      </c>
      <c r="D107" s="529"/>
    </row>
    <row r="108" spans="1:4" ht="15" customHeight="1">
      <c r="A108" s="517"/>
      <c r="B108" s="443" t="s">
        <v>340</v>
      </c>
      <c r="C108" s="372" t="s">
        <v>341</v>
      </c>
      <c r="D108" s="529"/>
    </row>
    <row r="109" spans="1:4" ht="15" customHeight="1">
      <c r="A109" s="517"/>
      <c r="B109" s="444"/>
      <c r="C109" s="244" t="s">
        <v>362</v>
      </c>
      <c r="D109" s="529"/>
    </row>
    <row r="110" spans="1:4" ht="15" customHeight="1">
      <c r="A110" s="517"/>
      <c r="B110" s="442">
        <v>1000</v>
      </c>
      <c r="C110" s="372" t="s">
        <v>342</v>
      </c>
      <c r="D110" s="529"/>
    </row>
    <row r="111" spans="1:4" ht="15" customHeight="1">
      <c r="A111" s="517"/>
      <c r="B111" s="442"/>
      <c r="C111" s="372" t="s">
        <v>281</v>
      </c>
      <c r="D111" s="529"/>
    </row>
    <row r="112" spans="1:4" ht="15" customHeight="1">
      <c r="A112" s="517"/>
      <c r="B112" s="442" t="s">
        <v>282</v>
      </c>
      <c r="C112" s="372" t="s">
        <v>343</v>
      </c>
      <c r="D112" s="529"/>
    </row>
    <row r="113" spans="1:4" ht="15" customHeight="1">
      <c r="A113" s="517"/>
      <c r="B113" s="442"/>
      <c r="C113" s="372" t="s">
        <v>283</v>
      </c>
      <c r="D113" s="529"/>
    </row>
    <row r="114" spans="1:4" ht="15" customHeight="1">
      <c r="A114" s="517"/>
      <c r="B114" s="442" t="s">
        <v>284</v>
      </c>
      <c r="C114" s="372" t="s">
        <v>344</v>
      </c>
      <c r="D114" s="529"/>
    </row>
    <row r="115" spans="1:4" ht="15" customHeight="1">
      <c r="A115" s="517"/>
      <c r="B115" s="442"/>
      <c r="C115" s="372" t="s">
        <v>285</v>
      </c>
      <c r="D115" s="529"/>
    </row>
    <row r="116" spans="1:4" ht="15" customHeight="1">
      <c r="A116" s="517"/>
      <c r="B116" s="442"/>
      <c r="C116" s="372" t="s">
        <v>286</v>
      </c>
      <c r="D116" s="529"/>
    </row>
    <row r="117" spans="1:4" ht="15" customHeight="1">
      <c r="A117" s="517"/>
      <c r="B117" s="442" t="s">
        <v>275</v>
      </c>
      <c r="C117" s="372" t="s">
        <v>345</v>
      </c>
      <c r="D117" s="529"/>
    </row>
    <row r="118" spans="1:4" ht="15" customHeight="1">
      <c r="A118" s="517"/>
      <c r="B118" s="443" t="s">
        <v>287</v>
      </c>
      <c r="C118" s="372" t="s">
        <v>346</v>
      </c>
      <c r="D118" s="529"/>
    </row>
    <row r="119" spans="1:4" ht="15" customHeight="1">
      <c r="A119" s="517"/>
      <c r="B119" s="442"/>
      <c r="C119" s="503" t="s">
        <v>288</v>
      </c>
      <c r="D119" s="529"/>
    </row>
    <row r="120" spans="1:4" ht="15" customHeight="1">
      <c r="A120" s="517"/>
      <c r="B120" s="444"/>
      <c r="C120" s="504" t="s">
        <v>363</v>
      </c>
      <c r="D120" s="529"/>
    </row>
    <row r="121" spans="1:4" ht="15" customHeight="1">
      <c r="A121" s="517"/>
      <c r="B121" s="442" t="s">
        <v>250</v>
      </c>
      <c r="C121" s="503" t="s">
        <v>347</v>
      </c>
      <c r="D121" s="529"/>
    </row>
    <row r="122" spans="1:4" ht="15" customHeight="1">
      <c r="A122" s="517"/>
      <c r="B122" s="442"/>
      <c r="C122" s="503" t="s">
        <v>289</v>
      </c>
      <c r="D122" s="529"/>
    </row>
    <row r="123" spans="1:4" ht="15" customHeight="1">
      <c r="A123" s="517"/>
      <c r="B123" s="442">
        <v>1000</v>
      </c>
      <c r="C123" s="503" t="s">
        <v>247</v>
      </c>
      <c r="D123" s="529"/>
    </row>
    <row r="124" spans="1:4" ht="15" customHeight="1">
      <c r="A124" s="517"/>
      <c r="B124" s="442"/>
      <c r="C124" s="503" t="s">
        <v>290</v>
      </c>
      <c r="D124" s="529"/>
    </row>
    <row r="125" spans="1:4" ht="15" customHeight="1">
      <c r="A125" s="517"/>
      <c r="B125" s="442" t="s">
        <v>291</v>
      </c>
      <c r="C125" s="503" t="s">
        <v>248</v>
      </c>
      <c r="D125" s="530"/>
    </row>
    <row r="126" spans="1:4" ht="21.75" customHeight="1">
      <c r="A126" s="517"/>
      <c r="B126" s="433"/>
      <c r="C126" s="505" t="s">
        <v>292</v>
      </c>
      <c r="D126" s="531"/>
    </row>
    <row r="127" spans="1:4" ht="16.5" customHeight="1">
      <c r="A127" s="517"/>
      <c r="B127" s="433"/>
      <c r="C127" s="506" t="s">
        <v>293</v>
      </c>
      <c r="D127" s="532"/>
    </row>
    <row r="128" spans="1:4" ht="16.399999999999999" customHeight="1">
      <c r="A128" s="517"/>
      <c r="B128" s="433"/>
      <c r="C128" s="506" t="s">
        <v>294</v>
      </c>
      <c r="D128" s="532"/>
    </row>
    <row r="129" spans="1:4" ht="15" customHeight="1">
      <c r="A129" s="517"/>
      <c r="B129" s="444"/>
      <c r="C129" s="507" t="s">
        <v>364</v>
      </c>
      <c r="D129" s="532"/>
    </row>
    <row r="130" spans="1:4" ht="15" customHeight="1">
      <c r="A130" s="517"/>
      <c r="B130" s="433" t="s">
        <v>291</v>
      </c>
      <c r="C130" s="505" t="s">
        <v>248</v>
      </c>
      <c r="D130" s="532"/>
    </row>
    <row r="131" spans="1:4" ht="16.5" customHeight="1">
      <c r="A131" s="517"/>
      <c r="B131" s="433"/>
      <c r="C131" s="505" t="s">
        <v>295</v>
      </c>
      <c r="D131" s="532"/>
    </row>
    <row r="132" spans="1:4" ht="16.399999999999999" customHeight="1">
      <c r="A132" s="517"/>
      <c r="B132" s="433"/>
      <c r="C132" s="505" t="s">
        <v>296</v>
      </c>
      <c r="D132" s="532"/>
    </row>
    <row r="133" spans="1:4" ht="15" customHeight="1">
      <c r="A133" s="517"/>
      <c r="B133" s="433"/>
      <c r="C133" s="505" t="s">
        <v>297</v>
      </c>
      <c r="D133" s="532"/>
    </row>
    <row r="134" spans="1:4" ht="25" customHeight="1">
      <c r="A134" s="517"/>
      <c r="B134" s="445" t="s">
        <v>298</v>
      </c>
      <c r="C134" s="505" t="s">
        <v>348</v>
      </c>
      <c r="D134" s="532"/>
    </row>
    <row r="135" spans="1:4" ht="15.5" customHeight="1">
      <c r="A135" s="517"/>
      <c r="B135" s="433"/>
      <c r="C135" s="505" t="s">
        <v>299</v>
      </c>
      <c r="D135" s="530"/>
    </row>
    <row r="136" spans="1:4" ht="21" customHeight="1">
      <c r="A136" s="517"/>
      <c r="B136" s="446"/>
      <c r="C136" s="507" t="s">
        <v>365</v>
      </c>
      <c r="D136" s="531"/>
    </row>
    <row r="137" spans="1:4" ht="15" customHeight="1">
      <c r="A137" s="517"/>
      <c r="B137" s="445" t="s">
        <v>349</v>
      </c>
      <c r="C137" s="505" t="s">
        <v>350</v>
      </c>
      <c r="D137" s="530"/>
    </row>
    <row r="138" spans="1:4" ht="18" customHeight="1">
      <c r="A138" s="517"/>
      <c r="B138" s="445"/>
      <c r="C138" s="505" t="s">
        <v>300</v>
      </c>
      <c r="D138" s="531"/>
    </row>
    <row r="139" spans="1:4" ht="16.399999999999999" customHeight="1">
      <c r="A139" s="517"/>
      <c r="B139" s="449" t="s">
        <v>268</v>
      </c>
      <c r="C139" s="503" t="s">
        <v>248</v>
      </c>
      <c r="D139" s="532"/>
    </row>
    <row r="140" spans="1:4" ht="16.399999999999999" customHeight="1">
      <c r="A140" s="517"/>
      <c r="B140" s="433"/>
      <c r="C140" s="505" t="s">
        <v>301</v>
      </c>
      <c r="D140" s="532"/>
    </row>
    <row r="141" spans="1:4" ht="16.399999999999999" customHeight="1">
      <c r="A141" s="517"/>
      <c r="B141" s="433"/>
      <c r="C141" s="505" t="s">
        <v>302</v>
      </c>
      <c r="D141" s="532"/>
    </row>
    <row r="142" spans="1:4" ht="16.399999999999999" customHeight="1">
      <c r="A142" s="517"/>
      <c r="B142" s="433"/>
      <c r="C142" s="505" t="s">
        <v>303</v>
      </c>
      <c r="D142" s="532"/>
    </row>
    <row r="143" spans="1:4" ht="16.399999999999999" customHeight="1">
      <c r="A143" s="517"/>
      <c r="B143" s="445" t="s">
        <v>275</v>
      </c>
      <c r="C143" s="505" t="s">
        <v>351</v>
      </c>
      <c r="D143" s="532"/>
    </row>
    <row r="144" spans="1:4" ht="16.399999999999999" customHeight="1">
      <c r="A144" s="517"/>
      <c r="B144" s="447"/>
      <c r="C144" s="507" t="s">
        <v>366</v>
      </c>
      <c r="D144" s="532"/>
    </row>
    <row r="145" spans="1:4" ht="16.399999999999999" customHeight="1">
      <c r="A145" s="517"/>
      <c r="B145" s="433" t="s">
        <v>304</v>
      </c>
      <c r="C145" s="505" t="s">
        <v>248</v>
      </c>
      <c r="D145" s="532"/>
    </row>
    <row r="146" spans="1:4" ht="16.399999999999999" customHeight="1">
      <c r="A146" s="517"/>
      <c r="B146" s="448"/>
      <c r="C146" s="508" t="s">
        <v>305</v>
      </c>
      <c r="D146" s="532"/>
    </row>
    <row r="147" spans="1:4" ht="16.399999999999999" customHeight="1">
      <c r="A147" s="517"/>
      <c r="B147" s="433"/>
      <c r="C147" s="505" t="s">
        <v>306</v>
      </c>
      <c r="D147" s="532"/>
    </row>
    <row r="148" spans="1:4" ht="16.399999999999999" customHeight="1">
      <c r="A148" s="517"/>
      <c r="B148" s="433"/>
      <c r="C148" s="505" t="s">
        <v>307</v>
      </c>
      <c r="D148" s="532"/>
    </row>
    <row r="149" spans="1:4" ht="16.399999999999999" customHeight="1">
      <c r="A149" s="517"/>
      <c r="B149" s="445" t="s">
        <v>268</v>
      </c>
      <c r="C149" s="505" t="s">
        <v>308</v>
      </c>
      <c r="D149" s="532"/>
    </row>
    <row r="150" spans="1:4" ht="15" customHeight="1">
      <c r="A150" s="517"/>
      <c r="B150" s="433"/>
      <c r="C150" s="505" t="s">
        <v>309</v>
      </c>
      <c r="D150" s="533"/>
    </row>
    <row r="151" spans="1:4" ht="15" customHeight="1">
      <c r="A151" s="517"/>
      <c r="B151" s="445"/>
      <c r="C151" s="505" t="s">
        <v>310</v>
      </c>
      <c r="D151" s="530"/>
    </row>
    <row r="152" spans="1:4" ht="15" customHeight="1">
      <c r="A152" s="517"/>
      <c r="B152" s="433" t="s">
        <v>311</v>
      </c>
      <c r="C152" s="505" t="s">
        <v>312</v>
      </c>
      <c r="D152" s="530"/>
    </row>
    <row r="153" spans="1:4" ht="15" customHeight="1">
      <c r="A153" s="517"/>
      <c r="B153" s="449"/>
      <c r="C153" s="503" t="s">
        <v>313</v>
      </c>
      <c r="D153" s="530"/>
    </row>
    <row r="154" spans="1:4" ht="15" customHeight="1">
      <c r="A154" s="517"/>
      <c r="B154" s="445"/>
      <c r="C154" s="509" t="s">
        <v>314</v>
      </c>
      <c r="D154" s="530"/>
    </row>
    <row r="155" spans="1:4" ht="15" customHeight="1">
      <c r="A155" s="517"/>
      <c r="B155" s="445" t="s">
        <v>315</v>
      </c>
      <c r="C155" s="509" t="s">
        <v>312</v>
      </c>
      <c r="D155" s="530"/>
    </row>
    <row r="156" spans="1:4" ht="15.65" customHeight="1">
      <c r="A156" s="517"/>
      <c r="B156" s="445"/>
      <c r="C156" s="509" t="s">
        <v>313</v>
      </c>
      <c r="D156" s="530"/>
    </row>
    <row r="157" spans="1:4" ht="15" customHeight="1">
      <c r="A157" s="517"/>
      <c r="B157" s="449"/>
      <c r="C157" s="503" t="s">
        <v>314</v>
      </c>
      <c r="D157" s="530"/>
    </row>
    <row r="158" spans="1:4" ht="15" customHeight="1">
      <c r="A158" s="517"/>
      <c r="B158" s="433" t="s">
        <v>316</v>
      </c>
      <c r="C158" s="509" t="s">
        <v>353</v>
      </c>
      <c r="D158" s="530"/>
    </row>
    <row r="159" spans="1:4" ht="15" customHeight="1">
      <c r="A159" s="517"/>
      <c r="B159" s="433"/>
      <c r="C159" s="509" t="s">
        <v>317</v>
      </c>
      <c r="D159" s="530"/>
    </row>
    <row r="160" spans="1:4" ht="15" customHeight="1">
      <c r="A160" s="517"/>
      <c r="B160" s="433" t="s">
        <v>318</v>
      </c>
      <c r="C160" s="509" t="s">
        <v>352</v>
      </c>
      <c r="D160" s="530"/>
    </row>
    <row r="161" spans="1:4" ht="15" customHeight="1">
      <c r="A161" s="517"/>
      <c r="B161" s="446"/>
      <c r="C161" s="507" t="s">
        <v>367</v>
      </c>
      <c r="D161" s="530"/>
    </row>
    <row r="162" spans="1:4" ht="15" customHeight="1">
      <c r="A162" s="517"/>
      <c r="B162" s="433" t="s">
        <v>304</v>
      </c>
      <c r="C162" s="509" t="s">
        <v>248</v>
      </c>
      <c r="D162" s="530"/>
    </row>
    <row r="163" spans="1:4" ht="15" customHeight="1">
      <c r="A163" s="517"/>
      <c r="B163" s="433"/>
      <c r="C163" s="509" t="s">
        <v>319</v>
      </c>
      <c r="D163" s="530"/>
    </row>
    <row r="164" spans="1:4" ht="15" customHeight="1">
      <c r="A164" s="517"/>
      <c r="B164" s="445"/>
      <c r="C164" s="509" t="s">
        <v>320</v>
      </c>
      <c r="D164" s="530"/>
    </row>
    <row r="165" spans="1:4" ht="15" customHeight="1">
      <c r="A165" s="517"/>
      <c r="B165" s="433" t="s">
        <v>275</v>
      </c>
      <c r="C165" s="509" t="s">
        <v>345</v>
      </c>
      <c r="D165" s="530"/>
    </row>
    <row r="166" spans="1:4" ht="14.15" customHeight="1">
      <c r="A166" s="517"/>
      <c r="B166" s="433" t="s">
        <v>321</v>
      </c>
      <c r="C166" s="509" t="s">
        <v>354</v>
      </c>
      <c r="D166" s="530"/>
    </row>
    <row r="167" spans="1:4" ht="15" customHeight="1">
      <c r="A167" s="517"/>
      <c r="B167" s="450"/>
      <c r="C167" s="504" t="s">
        <v>385</v>
      </c>
      <c r="D167" s="530"/>
    </row>
    <row r="168" spans="1:4" ht="15" customHeight="1">
      <c r="A168" s="517"/>
      <c r="B168" s="442">
        <v>2001</v>
      </c>
      <c r="C168" s="509" t="s">
        <v>355</v>
      </c>
      <c r="D168" s="530"/>
    </row>
    <row r="169" spans="1:4" ht="15" customHeight="1">
      <c r="A169" s="517"/>
      <c r="B169" s="442" t="s">
        <v>323</v>
      </c>
      <c r="C169" s="503" t="s">
        <v>325</v>
      </c>
      <c r="D169" s="530"/>
    </row>
    <row r="170" spans="1:4" ht="15" customHeight="1">
      <c r="A170" s="517"/>
      <c r="B170" s="442" t="s">
        <v>326</v>
      </c>
      <c r="C170" s="511" t="s">
        <v>325</v>
      </c>
      <c r="D170" s="530"/>
    </row>
    <row r="171" spans="1:4" ht="15" customHeight="1">
      <c r="A171" s="517"/>
      <c r="B171" s="433" t="s">
        <v>327</v>
      </c>
      <c r="C171" s="511" t="s">
        <v>328</v>
      </c>
      <c r="D171" s="530"/>
    </row>
    <row r="172" spans="1:4" ht="15" customHeight="1">
      <c r="A172" s="517"/>
      <c r="B172" s="433" t="s">
        <v>329</v>
      </c>
      <c r="C172" s="509" t="s">
        <v>330</v>
      </c>
      <c r="D172" s="530"/>
    </row>
    <row r="173" spans="1:4" ht="12.65" customHeight="1">
      <c r="A173" s="517"/>
      <c r="B173" s="447"/>
      <c r="C173" s="504" t="s">
        <v>386</v>
      </c>
      <c r="D173" s="530"/>
    </row>
    <row r="174" spans="1:4" ht="15.65" customHeight="1">
      <c r="A174" s="517"/>
      <c r="B174" s="433">
        <v>9900</v>
      </c>
      <c r="C174" s="512" t="s">
        <v>247</v>
      </c>
      <c r="D174" s="530"/>
    </row>
    <row r="175" spans="1:4" ht="17" customHeight="1">
      <c r="A175" s="517"/>
      <c r="B175" s="433">
        <v>1702</v>
      </c>
      <c r="C175" s="505" t="s">
        <v>332</v>
      </c>
      <c r="D175" s="530"/>
    </row>
    <row r="176" spans="1:4" ht="21.75" customHeight="1">
      <c r="A176" s="517"/>
      <c r="B176" s="447"/>
      <c r="C176" s="507" t="s">
        <v>387</v>
      </c>
      <c r="D176" s="530"/>
    </row>
    <row r="177" spans="1:4" ht="19" customHeight="1">
      <c r="A177" s="517"/>
      <c r="B177" s="433" t="s">
        <v>333</v>
      </c>
      <c r="C177" s="505" t="s">
        <v>255</v>
      </c>
      <c r="D177" s="530"/>
    </row>
    <row r="178" spans="1:4" ht="20" customHeight="1" thickBot="1">
      <c r="A178" s="518"/>
      <c r="B178" s="451"/>
      <c r="C178" s="515" t="s">
        <v>334</v>
      </c>
      <c r="D178" s="533"/>
    </row>
    <row r="179" spans="1:4">
      <c r="A179" s="162"/>
      <c r="B179" s="162"/>
      <c r="C179" s="162"/>
      <c r="D179" s="162"/>
    </row>
    <row r="180" spans="1:4">
      <c r="A180" s="162"/>
      <c r="B180" s="162"/>
      <c r="C180" s="162"/>
      <c r="D180" s="162"/>
    </row>
    <row r="181" spans="1:4">
      <c r="A181" s="162"/>
      <c r="B181" s="162"/>
      <c r="C181" s="162"/>
      <c r="D181" s="162"/>
    </row>
    <row r="182" spans="1:4">
      <c r="A182" s="162"/>
      <c r="B182" s="162"/>
      <c r="C182" s="162"/>
      <c r="D182" s="162"/>
    </row>
  </sheetData>
  <mergeCells count="10">
    <mergeCell ref="A2:B2"/>
    <mergeCell ref="A5:A9"/>
    <mergeCell ref="A12:A16"/>
    <mergeCell ref="A19:A23"/>
    <mergeCell ref="A33:A43"/>
    <mergeCell ref="A46:A50"/>
    <mergeCell ref="A60:A73"/>
    <mergeCell ref="A26:A30"/>
    <mergeCell ref="A53:A57"/>
    <mergeCell ref="A76:A178"/>
  </mergeCells>
  <phoneticPr fontId="14"/>
  <pageMargins left="0.51181102362204722" right="0" top="0.74803149606299213" bottom="0.74803149606299213" header="0.31496062992125984" footer="0.31496062992125984"/>
  <pageSetup paperSize="9" scale="63" fitToHeight="0" orientation="portrait" r:id="rId1"/>
  <headerFooter>
    <oddFooter>&amp;C&amp;"Century Gothic,太字"&amp;10&amp;  -   P A G E  3- &amp;P   -</oddFooter>
  </headerFooter>
  <rowBreaks count="1" manualBreakCount="1">
    <brk id="7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shipper master</vt:lpstr>
      <vt:lpstr>case mark </vt:lpstr>
      <vt:lpstr>invoice</vt:lpstr>
      <vt:lpstr>NARITA </vt:lpstr>
      <vt:lpstr>NARITA (2)</vt:lpstr>
      <vt:lpstr>LABEL</vt:lpstr>
      <vt:lpstr>LABEL!Print_Area</vt:lpstr>
      <vt:lpstr>'NARITA '!Print_Area</vt:lpstr>
      <vt:lpstr>'NARITA (2)'!Print_Area</vt:lpstr>
      <vt:lpstr>LABEL!Print_Titles</vt:lpstr>
      <vt:lpstr>'NARITA '!Print_Titles</vt:lpstr>
      <vt:lpstr>'NARITA (2)'!Print_Titles</vt:lpstr>
    </vt:vector>
  </TitlesOfParts>
  <Company>I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 Lam</dc:creator>
  <cp:lastModifiedBy>銀月 後藤</cp:lastModifiedBy>
  <cp:lastPrinted>2024-11-22T00:33:10Z</cp:lastPrinted>
  <dcterms:created xsi:type="dcterms:W3CDTF">2002-07-31T13:14:08Z</dcterms:created>
  <dcterms:modified xsi:type="dcterms:W3CDTF">2025-12-19T10:55:27Z</dcterms:modified>
</cp:coreProperties>
</file>